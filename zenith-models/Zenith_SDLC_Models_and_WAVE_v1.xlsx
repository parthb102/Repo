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comments5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drawings/vmlDrawing5.vml" ContentType="application/vnd.openxmlformats-officedocument.vmlDrawing"/>
  <Override PartName="/xl/drawings/vmlDrawing6.vml" ContentType="application/vnd.openxmlformats-officedocument.vmlDrawing"/>
  <Override PartName="/xl/drawings/vmlDrawing7.vml" ContentType="application/vnd.openxmlformats-officedocument.vmlDrawing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comments9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6.xml" ContentType="application/vnd.openxmlformats-officedocument.spreadsheetml.comments+xml"/>
  <Override PartName="/xl/styles.xml" ContentType="application/vnd.openxmlformats-officedocument.spreadsheetml.styles+xml"/>
  <Override PartName="/xl/comments3.xml" ContentType="application/vnd.openxmlformats-officedocument.spreadsheetml.comments+xml"/>
  <Override PartName="/xl/comments8.xml" ContentType="application/vnd.openxmlformats-officedocument.spreadsheetml.comments+xml"/>
  <Override PartName="/xl/theme/theme1.xml" ContentType="application/vnd.openxmlformats-officedocument.theme+xml"/>
  <Override PartName="/xl/comments7.xml" ContentType="application/vnd.openxmlformats-officedocument.spreadsheetml.comments+xml"/>
  <Override PartName="/xl/workbook.xml" ContentType="application/vnd.openxmlformats-officedocument.spreadsheetml.sheet.main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structions" sheetId="2" state="visible" r:id="rId4"/>
    <sheet name="Rate Card" sheetId="3" state="visible" r:id="rId5"/>
    <sheet name="Summary" sheetId="4" state="visible" r:id="rId6"/>
    <sheet name="SDLC-1 Model" sheetId="5" state="visible" r:id="rId7"/>
    <sheet name="SDLC-1 WAVE" sheetId="6" state="visible" r:id="rId8"/>
    <sheet name="SDLC-2 Model" sheetId="7" state="visible" r:id="rId9"/>
    <sheet name="SDLC-2 WAVE" sheetId="8" state="visible" r:id="rId10"/>
    <sheet name="Standard Template" sheetId="9" state="visible" r:id="rId11"/>
  </sheets>
  <definedNames>
    <definedName function="false" hidden="false" localSheetId="1" name="_xlnm.Print_Area" vbProcedure="false">Instructions!$B$18:$CB$224</definedName>
    <definedName function="false" hidden="false" localSheetId="1" name="_xlnm.Print_Titles" vbProcedure="false">Instructions!$A:$I,Instructions!$18:$32</definedName>
    <definedName function="false" hidden="false" localSheetId="8" name="_xlnm.Print_Area" vbProcedure="false">'Standard Template'!$B$1:$CB$170</definedName>
    <definedName function="false" hidden="false" localSheetId="8" name="_xlnm.Print_Titles" vbProcedure="false">'Standard Template'!$A:$I,'Standard Template'!$1:$13</definedName>
    <definedName function="false" hidden="false" localSheetId="1" name="_xlnm.Print_Titles" vbProcedure="false">Instructions!$18:$32,Instructions!$A:$I</definedName>
    <definedName function="false" hidden="false" localSheetId="8" name="_xlnm.Print_Titles" vbProcedure="false">'Standard Template'!$1:$13,'Standard Template'!$A:$I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77" authorId="0">
      <text>
        <r>
          <rPr>
            <sz val="10"/>
            <rFont val="Arial"/>
            <family val="2"/>
          </rPr>
          <t xml:space="preserve">Recurring Benefit - Revenue: incremental revenue to be realized from Initiative execution</t>
        </r>
      </text>
    </comment>
    <comment ref="E82" authorId="0">
      <text>
        <r>
          <rPr>
            <sz val="10"/>
            <rFont val="Arial"/>
            <family val="2"/>
          </rPr>
          <t xml:space="preserve">Recurring Costs - Costs: incremental costs to be realized from Initiative execution</t>
        </r>
      </text>
    </comment>
    <comment ref="E90" authorId="0">
      <text>
        <r>
          <rPr>
            <sz val="10"/>
            <rFont val="Arial"/>
            <family val="2"/>
          </rPr>
          <t xml:space="preserve">Recurring Benefit - Costs: cost savings to be realized from Initiative execution</t>
        </r>
      </text>
    </comment>
    <comment ref="E100" authorId="0">
      <text>
        <r>
          <rPr>
            <sz val="10"/>
            <rFont val="Arial"/>
            <family val="2"/>
          </rPr>
          <t xml:space="preserve">Recurring Benefits: total value of incremental revenue and cost savings to be realized from Initiative execution</t>
        </r>
      </text>
    </comment>
    <comment ref="E104" authorId="0">
      <text>
        <r>
          <rPr>
            <sz val="10"/>
            <rFont val="Arial"/>
            <family val="2"/>
          </rPr>
          <t xml:space="preserve">Recurring Costs - Revenue: lost revenue to be realized from Initiative execution</t>
        </r>
      </text>
    </comment>
    <comment ref="E109" authorId="0">
      <text>
        <r>
          <rPr>
            <sz val="10"/>
            <rFont val="Arial"/>
            <family val="2"/>
          </rPr>
          <t xml:space="preserve">Recurring Costs - Costs: incremental costs to be realized from Initiative execution</t>
        </r>
      </text>
    </comment>
    <comment ref="E117" authorId="0">
      <text>
        <r>
          <rPr>
            <sz val="10"/>
            <rFont val="Arial"/>
            <family val="2"/>
          </rPr>
          <t xml:space="preserve">Recurring Costs - Costs: incremental costs to be realized from Initiative execution</t>
        </r>
      </text>
    </comment>
    <comment ref="E126" authorId="0">
      <text>
        <r>
          <rPr>
            <sz val="10"/>
            <rFont val="Arial"/>
            <family val="2"/>
          </rPr>
          <t xml:space="preserve">Recurring Costs: total value of lost revenue and incremental cost to be realized from Initiative execution</t>
        </r>
      </text>
    </comment>
    <comment ref="R75" authorId="0">
      <text>
        <r>
          <rPr>
            <sz val="10"/>
            <rFont val="Arial"/>
            <family val="2"/>
          </rPr>
          <t xml:space="preserve">Check: Annual Run Rate (column K) must equal 2030 value (colum P)</t>
        </r>
      </text>
    </comment>
    <comment ref="R102" authorId="0">
      <text>
        <r>
          <rPr>
            <sz val="10"/>
            <rFont val="Arial"/>
            <family val="2"/>
          </rPr>
          <t xml:space="preserve">Check: Annual Run Rate (column K) must equal 2030 value (colum P)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8" authorId="0">
      <text>
        <r>
          <rPr>
            <sz val="10"/>
            <rFont val="Arial"/>
            <family val="2"/>
          </rPr>
          <t xml:space="preserve">Yearly / Monthly / Hourly — drives which rate column is used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13" authorId="0">
      <text>
        <r>
          <rPr>
            <sz val="10"/>
            <rFont val="Arial"/>
            <family val="2"/>
          </rPr>
          <t xml:space="preserve">Benefits start in this month; feeds the WAVE 'Estimated L4 date'</t>
        </r>
      </text>
    </comment>
    <comment ref="D51" authorId="0">
      <text>
        <r>
          <rPr>
            <sz val="10"/>
            <rFont val="Arial"/>
            <family val="2"/>
          </rPr>
          <t xml:space="preserve">Benefit ramps linearly from 0% at go-live to 100% after this many months (same convention as the Servicing S2 model: scale-up phase drives the ramp).</t>
        </r>
      </text>
    </comment>
    <comment ref="F65" authorId="0">
      <text>
        <r>
          <rPr>
            <sz val="10"/>
            <rFont val="Arial"/>
            <family val="2"/>
          </rPr>
          <t xml:space="preserve">Low=10% Medium=15% High=20% Very high=50% (see Rate Card)</t>
        </r>
      </text>
    </comment>
    <comment ref="F66" authorId="0">
      <text>
        <r>
          <rPr>
            <sz val="10"/>
            <rFont val="Arial"/>
            <family val="2"/>
          </rPr>
          <t xml:space="preserve">Low=10% Medium=15% High=20% Very high=50% (see Rate Card)</t>
        </r>
      </text>
    </comment>
    <comment ref="F67" authorId="0">
      <text>
        <r>
          <rPr>
            <sz val="10"/>
            <rFont val="Arial"/>
            <family val="2"/>
          </rPr>
          <t xml:space="preserve">Low=10% Medium=15% High=20% Very high=50% (see Rate Card)</t>
        </r>
      </text>
    </comment>
    <comment ref="F68" authorId="0">
      <text>
        <r>
          <rPr>
            <sz val="10"/>
            <rFont val="Arial"/>
            <family val="2"/>
          </rPr>
          <t xml:space="preserve">Low=10% Medium=15% High=20% Very high=50% (see Rate Card)</t>
        </r>
      </text>
    </comment>
    <comment ref="I65" authorId="0">
      <text>
        <r>
          <rPr>
            <sz val="10"/>
            <rFont val="Arial"/>
            <family val="2"/>
          </rPr>
          <t xml:space="preserve">Default = Rate Card capitalization policy. Type a % to override.</t>
        </r>
      </text>
    </comment>
    <comment ref="I66" authorId="0">
      <text>
        <r>
          <rPr>
            <sz val="10"/>
            <rFont val="Arial"/>
            <family val="2"/>
          </rPr>
          <t xml:space="preserve">Default = Rate Card capitalization policy. Type a % to override.</t>
        </r>
      </text>
    </comment>
    <comment ref="I67" authorId="0">
      <text>
        <r>
          <rPr>
            <sz val="10"/>
            <rFont val="Arial"/>
            <family val="2"/>
          </rPr>
          <t xml:space="preserve">Default = Rate Card capitalization policy. Type a % to override.</t>
        </r>
      </text>
    </comment>
    <comment ref="I68" authorId="0">
      <text>
        <r>
          <rPr>
            <sz val="10"/>
            <rFont val="Arial"/>
            <family val="2"/>
          </rPr>
          <t xml:space="preserve">Default = Rate Card capitalization policy. Type a % to override.</t>
        </r>
      </text>
    </comment>
    <comment ref="K58" authorId="0">
      <text>
        <r>
          <rPr>
            <sz val="10"/>
            <rFont val="Arial"/>
            <family val="2"/>
          </rPr>
          <t xml:space="preserve">Annual run rate = 2030 value (matches WAVE check rule)</t>
        </r>
      </text>
    </comment>
    <comment ref="K105" authorId="0">
      <text>
        <r>
          <rPr>
            <sz val="10"/>
            <rFont val="Arial"/>
            <family val="2"/>
          </rPr>
          <t xml:space="preserve">Annual run rate = 2030 value (matches WAVE check rule)</t>
        </r>
      </text>
    </comment>
    <comment ref="K106" authorId="0">
      <text>
        <r>
          <rPr>
            <sz val="10"/>
            <rFont val="Arial"/>
            <family val="2"/>
          </rPr>
          <t xml:space="preserve">Annual run rate = 2030 value (matches WAVE check rule)</t>
        </r>
      </text>
    </comment>
    <comment ref="K107" authorId="0">
      <text>
        <r>
          <rPr>
            <sz val="10"/>
            <rFont val="Arial"/>
            <family val="2"/>
          </rPr>
          <t xml:space="preserve">Annual run rate = 2030 value (matches WAVE check rule)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R63" authorId="0">
      <text>
        <r>
          <rPr>
            <sz val="10"/>
            <rFont val="Arial"/>
            <family val="2"/>
          </rPr>
          <t xml:space="preserve">Check: Annual Run Rate (column K) must equal 2030 value (colum P)</t>
        </r>
      </text>
    </comment>
    <comment ref="R91" authorId="0">
      <text>
        <r>
          <rPr>
            <sz val="10"/>
            <rFont val="Arial"/>
            <family val="2"/>
          </rPr>
          <t xml:space="preserve">Check: Annual Run Rate (column K) must equal 2030 value (colum P)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13" authorId="0">
      <text>
        <r>
          <rPr>
            <sz val="10"/>
            <rFont val="Arial"/>
            <family val="2"/>
          </rPr>
          <t xml:space="preserve">Benefits start in this month; feeds the WAVE 'Estimated L4 date'</t>
        </r>
      </text>
    </comment>
    <comment ref="D46" authorId="0">
      <text>
        <r>
          <rPr>
            <sz val="10"/>
            <rFont val="Arial"/>
            <family val="2"/>
          </rPr>
          <t xml:space="preserve">Benefit ramps linearly from 0% at go-live to 100% after this many months (same convention as the Servicing S2 model: scale-up phase drives the ramp).</t>
        </r>
      </text>
    </comment>
    <comment ref="F60" authorId="0">
      <text>
        <r>
          <rPr>
            <sz val="10"/>
            <rFont val="Arial"/>
            <family val="2"/>
          </rPr>
          <t xml:space="preserve">Low=10% Medium=15% High=20% Very high=50% (see Rate Card)</t>
        </r>
      </text>
    </comment>
    <comment ref="F61" authorId="0">
      <text>
        <r>
          <rPr>
            <sz val="10"/>
            <rFont val="Arial"/>
            <family val="2"/>
          </rPr>
          <t xml:space="preserve">Low=10% Medium=15% High=20% Very high=50% (see Rate Card)</t>
        </r>
      </text>
    </comment>
    <comment ref="F62" authorId="0">
      <text>
        <r>
          <rPr>
            <sz val="10"/>
            <rFont val="Arial"/>
            <family val="2"/>
          </rPr>
          <t xml:space="preserve">Low=10% Medium=15% High=20% Very high=50% (see Rate Card)</t>
        </r>
      </text>
    </comment>
    <comment ref="F63" authorId="0">
      <text>
        <r>
          <rPr>
            <sz val="10"/>
            <rFont val="Arial"/>
            <family val="2"/>
          </rPr>
          <t xml:space="preserve">Low=10% Medium=15% High=20% Very high=50% (see Rate Card)</t>
        </r>
      </text>
    </comment>
    <comment ref="I60" authorId="0">
      <text>
        <r>
          <rPr>
            <sz val="10"/>
            <rFont val="Arial"/>
            <family val="2"/>
          </rPr>
          <t xml:space="preserve">Default = Rate Card capitalization policy. Type a % to override.</t>
        </r>
      </text>
    </comment>
    <comment ref="I61" authorId="0">
      <text>
        <r>
          <rPr>
            <sz val="10"/>
            <rFont val="Arial"/>
            <family val="2"/>
          </rPr>
          <t xml:space="preserve">Default = Rate Card capitalization policy. Type a % to override.</t>
        </r>
      </text>
    </comment>
    <comment ref="I62" authorId="0">
      <text>
        <r>
          <rPr>
            <sz val="10"/>
            <rFont val="Arial"/>
            <family val="2"/>
          </rPr>
          <t xml:space="preserve">Default = Rate Card capitalization policy. Type a % to override.</t>
        </r>
      </text>
    </comment>
    <comment ref="I63" authorId="0">
      <text>
        <r>
          <rPr>
            <sz val="10"/>
            <rFont val="Arial"/>
            <family val="2"/>
          </rPr>
          <t xml:space="preserve">Default = Rate Card capitalization policy. Type a % to override.</t>
        </r>
      </text>
    </comment>
    <comment ref="K53" authorId="0">
      <text>
        <r>
          <rPr>
            <sz val="10"/>
            <rFont val="Arial"/>
            <family val="2"/>
          </rPr>
          <t xml:space="preserve">Annual run rate = 2030 value (matches WAVE check rule)</t>
        </r>
      </text>
    </comment>
    <comment ref="K99" authorId="0">
      <text>
        <r>
          <rPr>
            <sz val="10"/>
            <rFont val="Arial"/>
            <family val="2"/>
          </rPr>
          <t xml:space="preserve">Annual run rate = 2030 value (matches WAVE check rule)</t>
        </r>
      </text>
    </comment>
    <comment ref="K100" authorId="0">
      <text>
        <r>
          <rPr>
            <sz val="10"/>
            <rFont val="Arial"/>
            <family val="2"/>
          </rPr>
          <t xml:space="preserve">Annual run rate = 2030 value (matches WAVE check rule)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R63" authorId="0">
      <text>
        <r>
          <rPr>
            <sz val="10"/>
            <rFont val="Arial"/>
            <family val="2"/>
          </rPr>
          <t xml:space="preserve">Check: Annual Run Rate (column K) must equal 2030 value (colum P)</t>
        </r>
      </text>
    </comment>
    <comment ref="R91" authorId="0">
      <text>
        <r>
          <rPr>
            <sz val="10"/>
            <rFont val="Arial"/>
            <family val="2"/>
          </rPr>
          <t xml:space="preserve">Check: Annual Run Rate (column K) must equal 2030 value (colum P)</t>
        </r>
      </text>
    </comment>
  </commentList>
</comments>
</file>

<file path=xl/comments9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R63" authorId="0">
      <text>
        <r>
          <rPr>
            <sz val="10"/>
            <rFont val="Arial"/>
            <family val="2"/>
          </rPr>
          <t xml:space="preserve">Check: Annual Run Rate (column K) must equal 2030 value (colum P)</t>
        </r>
      </text>
    </comment>
    <comment ref="R91" authorId="0">
      <text>
        <r>
          <rPr>
            <sz val="10"/>
            <rFont val="Arial"/>
            <family val="2"/>
          </rPr>
          <t xml:space="preserve">Check: Annual Run Rate (column K) must equal 2030 value (colum P)</t>
        </r>
      </text>
    </comment>
  </commentList>
</comments>
</file>

<file path=xl/sharedStrings.xml><?xml version="1.0" encoding="utf-8"?>
<sst xmlns="http://schemas.openxmlformats.org/spreadsheetml/2006/main" count="1106" uniqueCount="462">
  <si>
    <t xml:space="preserve">PROJECT ZENITH — SDLC WORKSTREAM | INITIATIVE MODELS &amp; WAVE TEMPLATES</t>
  </si>
  <si>
    <t xml:space="preserve">Workstream</t>
  </si>
  <si>
    <t xml:space="preserve">SDLC — Raise engineering throughput and reimagine PDLC through agentic loop engineering. ELT sponsor: Srini | WSL: Pooja | IOs: Pooja, Aruna.</t>
  </si>
  <si>
    <t xml:space="preserve">Purpose</t>
  </si>
  <si>
    <t xml:space="preserve">One file per workstream: each initiative has a Model sheet (all logic and inputs) formula-linked into its own copy of the standard WAVE business-case template. S2 gate: Sep 3/4; S3: Sep 18.</t>
  </si>
  <si>
    <t xml:space="preserve">Version / status</t>
  </si>
  <si>
    <t xml:space="preserve">v1 — structure complete; SDLC baselines pending data requests (models compute $0 until baseline inputs are populated; impact-driver rates are seeded from the Aug 13 / Board decks).</t>
  </si>
  <si>
    <t xml:space="preserve">Prepared</t>
  </si>
  <si>
    <t xml:space="preserve">Prepared by AAO model build, 31 Aug 2026. Sources: Project Zenith workplan vS_1; Zenith Business Case Template by Lever (WAVE); Aug 13 deck pp. 9, 19–21; Board deck pp. 12, 22.</t>
  </si>
  <si>
    <t xml:space="preserve">Sources</t>
  </si>
  <si>
    <t xml:space="preserve">Workplan SDLC tab (initiatives, data POV); SDLC Data Requests tab (12 requests, 4 shared by Pooja); WAVE standard template (reference copy at the end of this file).</t>
  </si>
  <si>
    <t xml:space="preserve">HOW THIS FILE IS ORGANIZED</t>
  </si>
  <si>
    <t xml:space="preserve">Cover</t>
  </si>
  <si>
    <t xml:space="preserve">This sheet — orientation, legend, deviations, open items.</t>
  </si>
  <si>
    <t xml:space="preserve">Instructions</t>
  </si>
  <si>
    <t xml:space="preserve">The WAVE template's own instruction sheet (as uploaded; dead broken-reference drop-down cells cleared).</t>
  </si>
  <si>
    <t xml:space="preserve">Rate Card</t>
  </si>
  <si>
    <t xml:space="preserve">Shared people-cost engine: rate basis (yearly/monthly/hourly), role table + blended rate, contingency reference, capitalization policy.</t>
  </si>
  <si>
    <t xml:space="preserve">Summary</t>
  </si>
  <si>
    <t xml:space="preserve">Portfolio roll-up of both initiatives (links to WAVE sheets).</t>
  </si>
  <si>
    <t xml:space="preserve">SDLC-1 Model / SDLC-1 WAVE</t>
  </si>
  <si>
    <t xml:space="preserve">Agentic loop engineering — model + linked WAVE template.</t>
  </si>
  <si>
    <t xml:space="preserve">SDLC-2 Model / SDLC-2 WAVE</t>
  </si>
  <si>
    <t xml:space="preserve">PDLC re-imagination — model + linked WAVE template.</t>
  </si>
  <si>
    <t xml:space="preserve">Standard Template</t>
  </si>
  <si>
    <t xml:space="preserve">Reference copy of the standard WAVE template (only error-guard fixes applied — see deviations).</t>
  </si>
  <si>
    <t xml:space="preserve">COLOR LEGEND</t>
  </si>
  <si>
    <t xml:space="preserve">Input — change freely</t>
  </si>
  <si>
    <t xml:space="preserve">Formula — do not overwrite</t>
  </si>
  <si>
    <t xml:space="preserve">Link to another sheet</t>
  </si>
  <si>
    <t xml:space="preserve">Section band</t>
  </si>
  <si>
    <t xml:space="preserve">MODEL -&gt; WAVE LINKING</t>
  </si>
  <si>
    <t xml:space="preserve">• Each initiative has a '&lt;code&gt; Model' sheet (all logic and inputs) and a '&lt;code&gt; WAVE' sheet (the standard template). The WAVE sheet contains NO hardcoded numbers for this initiative — its benefit/cost rows link (green) to the Model sheet's feed rows in $M.</t>
  </si>
  <si>
    <t xml:space="preserve">• Model sheets use the same time grid as WAVE: columns L:P = FY2026–2030 annual, columns T:CA = Jan-2026..Dec-2030 monthly. Annual cells are SUMIFS of the monthly grid, so the WAVE monthly-vs-annual checks (CI1:CM1) pass by construction.</t>
  </si>
  <si>
    <t xml:space="preserve">• The 'Ann. Run Rate' (K) on feed rows is defined as the 2030 value, matching the WAVE rule 'Annualized Run Rate (K) = 2030 Value (P)'. Keep ramps reaching 100% before 2030.</t>
  </si>
  <si>
    <t xml:space="preserve">• Benefits ramp linearly from the go-live date over 'months to full run rate' — same convention as the Servicing S2 model. One-time costs spread evenly over each milestone's billing months.</t>
  </si>
  <si>
    <t xml:space="preserve">• People costs: milestone labor = Team size x Billing months x blended monthly rate (Rate Card) x (1 + contingency). Capitalization: each milestone carries a Cap % (default from Rate Card policy) that splits labor into WAVE CapEx vs OTC rows. Same for non-labor one-time items.</t>
  </si>
  <si>
    <t xml:space="preserve">DEVIATIONS FROM THE STANDARD WAVE TEMPLATE (documented fixes)</t>
  </si>
  <si>
    <t xml:space="preserve">• WAVE 'Recurring Benefits Total' run-rate cell K88: standard template has =SUM(-K68,K76,K84), which negates revenue in the run-rate column only (annual columns sum straight). Fixed here to =SUM(K68,K76,K84) so revenue-bearing cases pass the template's own K-vs-2030 check.</t>
  </si>
  <si>
    <t xml:space="preserve">• WAVE ROI cell G163: standard template divides the BASELINE column (I117) by one-time cost; fixed to use the run-rate NRB (K117). Both G163 (ROI) and G164 (IRR) are IFERROR-guarded so a blank or zero-cost state shows 'n/a' instead of DIV/0- and NUM-errors.</t>
  </si>
  <si>
    <t xml:space="preserve">• WAVE label cells I64/I92 ('TTM TTM 6/1/26' in the source, caused by a text period in H18): now display the Section I baseline period directly (=$H$18).</t>
  </si>
  <si>
    <t xml:space="preserve">• Template's illustrative prefills in rows 79/107 (I79=J21 link, J107=J26 link) neutralized on unused rows so phantom values cannot appear; the Section I generic 'xxxx' placeholder blocks (template rows 31-57) are cleared on initiative WAVE sheets.</t>
  </si>
  <si>
    <t xml:space="preserve">• On populated WAVE rows the K 'Ann. Run Rate' cell links the model's run-rate cell directly instead of recomputing I-J / J-I (J is built from I and that same cell, so the arithmetic is identical); this keeps K bit-identical to the 2030 column so the R-column run-rate checks stay exact in Excel.</t>
  </si>
  <si>
    <t xml:space="preserve">• Payback timeline (row 161 / G165): the template's chain formula stalls whenever a year's cumulative cash flow is exactly zero (its own example shows payback '0 yrs' despite a -6.2M cumulative in 2027). Replaced with a robust per-year form: 1 if cumulative CF &lt; 0, the crossing-year fraction when it turns positive, else 0; G165 shows '&gt;5' when payback is not reached inside the 2026-30 horizon.</t>
  </si>
  <si>
    <t xml:space="preserve">• The reference 'Standard Template' tab at the end of this file carries ONLY the error-guard fixes (G163/G164 IFERROR wraps, robust payback row) so the file recalculates clean; every other cell is byte-identical to the uploaded template, including its original K88/I64 quirks and all check machinery (R1, CI1:CM1), WACC 9.5%, cash-basis CapEx treatment. The 'Instructions' tab is as uploaded except its dead broken-reference (REF) hidden drop-down cells were cleared (broken in the source file).</t>
  </si>
  <si>
    <t xml:space="preserve">OPEN ITEMS / QC FLAGS CARRIED FROM SOURCE MATERIALS</t>
  </si>
  <si>
    <t xml:space="preserve">• No SDLC sizing model file was provided — only the workplan. These models are built from the workplan's data POV and impact-driver ranges; every baseline is an explicit PENDING input (currently 0), so benefits read $0 until data request #1 (FTE/cost baseline) lands.</t>
  </si>
  <si>
    <t xml:space="preserve">• Productivity/adoption/capture rates are PLACEHOLDERS from preliminary deck ranges — validate with Finance.</t>
  </si>
  <si>
    <t xml:space="preserve">• Investment build shape mirrors the Servicing S2 delivery pod (4/2mo plan, 8/5mo build, 5/6mo scale-up, PM 8%, contingency 10%, milestone contingency 10% = S2 risk adjustment) as the consistent standard — refine with IOs.</t>
  </si>
  <si>
    <t xml:space="preserve">• Rate Card role rates are placeholders; Servicing S2 reference: $200k/yr blended delivery, $180k/yr run team.</t>
  </si>
  <si>
    <t xml:space="preserve">• Capitalization %s (Build/Test 80% default) need Finance sign-off (ASC 350-40).</t>
  </si>
  <si>
    <t xml:space="preserve">INPUTS &amp; ASSUMPTIONS</t>
  </si>
  <si>
    <t xml:space="preserve">Initiative #</t>
  </si>
  <si>
    <t xml:space="preserve">Initiative Owner</t>
  </si>
  <si>
    <t xml:space="preserve">John Smith</t>
  </si>
  <si>
    <t xml:space="preserve">Initiative Name</t>
  </si>
  <si>
    <t xml:space="preserve">Leverage agentic AI for customer service and care centers, reducing number of calls handled by live customer care agents and increasing productivity</t>
  </si>
  <si>
    <t xml:space="preserve">Names - 5-7 words</t>
  </si>
  <si>
    <t xml:space="preserve">Descriptions - 10-20 words</t>
  </si>
  <si>
    <t xml:space="preserve">Estimated L4 date</t>
  </si>
  <si>
    <t xml:space="preserve">Net Recurring Benefit ($M)</t>
  </si>
  <si>
    <t xml:space="preserve">SECTION I - PRIMARY VALUE DRIVER (ILLUSTRATIVE)</t>
  </si>
  <si>
    <t xml:space="preserve">CHECKS</t>
  </si>
  <si>
    <t xml:space="preserve">Illustrative example of value driver explanation - please edit fields to reflect value drivers for your Initiative</t>
  </si>
  <si>
    <t xml:space="preserve">Criteria (Column Reference)</t>
  </si>
  <si>
    <t xml:space="preserve">Check</t>
  </si>
  <si>
    <t xml:space="preserve">Troubleshoot:</t>
  </si>
  <si>
    <t xml:space="preserve">Baseline</t>
  </si>
  <si>
    <t xml:space="preserve">Period</t>
  </si>
  <si>
    <t xml:space="preserve">KPI</t>
  </si>
  <si>
    <t xml:space="preserve">Inputs</t>
  </si>
  <si>
    <t xml:space="preserve">(A) Annualized Run Rate (K) = 2030 Value (P)</t>
  </si>
  <si>
    <t xml:space="preserve"># of calls handled by live agents</t>
  </si>
  <si>
    <t xml:space="preserve">[A]</t>
  </si>
  <si>
    <t xml:space="preserve">FY2025</t>
  </si>
  <si>
    <t xml:space="preserve"># of calls</t>
  </si>
  <si>
    <t xml:space="preserve">(B) 2026 Value (L) = Sum of Monthly 2026 Values (CC)</t>
  </si>
  <si>
    <t xml:space="preserve">AHT</t>
  </si>
  <si>
    <t xml:space="preserve">[B]</t>
  </si>
  <si>
    <t xml:space="preserve">FY 2026</t>
  </si>
  <si>
    <t xml:space="preserve">Seconds</t>
  </si>
  <si>
    <t xml:space="preserve">(C) 2027 Value (M) = Sum of Monthly 2027 Values (CD)</t>
  </si>
  <si>
    <t xml:space="preserve"># of live agents handling calls</t>
  </si>
  <si>
    <t xml:space="preserve">[C]</t>
  </si>
  <si>
    <t xml:space="preserve">FY 2025</t>
  </si>
  <si>
    <t xml:space="preserve"># of live agents</t>
  </si>
  <si>
    <t xml:space="preserve">(D) 2028 Value (N) = Sum of Monthly 2028 Values (CE)</t>
  </si>
  <si>
    <t xml:space="preserve">Average cost per agent</t>
  </si>
  <si>
    <t xml:space="preserve">$ / agent</t>
  </si>
  <si>
    <t xml:space="preserve">(E) 2029 Value (O) = Sum of Monthly 2029 Values (CF)</t>
  </si>
  <si>
    <t xml:space="preserve">Total spend on contact center for queue X</t>
  </si>
  <si>
    <t xml:space="preserve">[D]</t>
  </si>
  <si>
    <t xml:space="preserve">$USD M</t>
  </si>
  <si>
    <t xml:space="preserve">(F) 2030 Value (P) = Sum of Monthly 2030 Values (CG)</t>
  </si>
  <si>
    <t xml:space="preserve">Goal</t>
  </si>
  <si>
    <t xml:space="preserve">D</t>
  </si>
  <si>
    <t xml:space="preserve">[E]</t>
  </si>
  <si>
    <t xml:space="preserve">[F]</t>
  </si>
  <si>
    <t xml:space="preserve">[G]</t>
  </si>
  <si>
    <t xml:space="preserve">[H]</t>
  </si>
  <si>
    <t xml:space="preserve">FY2026</t>
  </si>
  <si>
    <t xml:space="preserve">Incremental Improvement</t>
  </si>
  <si>
    <t xml:space="preserve">[A]-[E]</t>
  </si>
  <si>
    <t xml:space="preserve">[B]-[F]</t>
  </si>
  <si>
    <t xml:space="preserve">[C]-[G]</t>
  </si>
  <si>
    <t xml:space="preserve">Total spend on contact center queue X</t>
  </si>
  <si>
    <t xml:space="preserve">[D]-[H]</t>
  </si>
  <si>
    <t xml:space="preserve">USD M</t>
  </si>
  <si>
    <t xml:space="preserve"># xxxx</t>
  </si>
  <si>
    <t xml:space="preserve">xxxx unit cost</t>
  </si>
  <si>
    <t xml:space="preserve">$ xxxx</t>
  </si>
  <si>
    <t xml:space="preserve">xxxx total spend</t>
  </si>
  <si>
    <t xml:space="preserve">$USD K</t>
  </si>
  <si>
    <t xml:space="preserve">[A]-[C]</t>
  </si>
  <si>
    <t xml:space="preserve">$ / xxxx</t>
  </si>
  <si>
    <t xml:space="preserve">[B]-[D]</t>
  </si>
  <si>
    <t xml:space="preserve">SECTION II - NET RECURRING BENEFITS</t>
  </si>
  <si>
    <t xml:space="preserve">ANNUAL SUMMARY</t>
  </si>
  <si>
    <t xml:space="preserve">CHECK CELLS</t>
  </si>
  <si>
    <t xml:space="preserve">RECURRING BENEFITS</t>
  </si>
  <si>
    <t xml:space="preserve">Comment</t>
  </si>
  <si>
    <t xml:space="preserve">Ann. Run Rate</t>
  </si>
  <si>
    <t xml:space="preserve">Impacted BU</t>
  </si>
  <si>
    <t xml:space="preserve">FY25 Hist.</t>
  </si>
  <si>
    <t xml:space="preserve">Future State</t>
  </si>
  <si>
    <t xml:space="preserve">Increment</t>
  </si>
  <si>
    <t xml:space="preserve">Revenue</t>
  </si>
  <si>
    <t xml:space="preserve">Revenue Subtotal</t>
  </si>
  <si>
    <t xml:space="preserve">Cost of Sales</t>
  </si>
  <si>
    <t xml:space="preserve">Cost of Sales Subtotal</t>
  </si>
  <si>
    <t xml:space="preserve">OPEX</t>
  </si>
  <si>
    <t xml:space="preserve">OPEX - Temporary Workers</t>
  </si>
  <si>
    <t xml:space="preserve">Global Risk</t>
  </si>
  <si>
    <t xml:space="preserve">OpEx subtotal</t>
  </si>
  <si>
    <t xml:space="preserve">Recurring Benefits Total</t>
  </si>
  <si>
    <t xml:space="preserve">RECURRING COSTS TO ACHIEVE IMPACT</t>
  </si>
  <si>
    <t xml:space="preserve">OPEX - SaaS SW</t>
  </si>
  <si>
    <t xml:space="preserve">Platform licencing &amp; LLM inference</t>
  </si>
  <si>
    <t xml:space="preserve">OPEX - Cloud Services</t>
  </si>
  <si>
    <t xml:space="preserve">Cloud infra</t>
  </si>
  <si>
    <t xml:space="preserve">Recurring Costs Total</t>
  </si>
  <si>
    <t xml:space="preserve">Net Recurring Benefit</t>
  </si>
  <si>
    <t xml:space="preserve">SECTION III - ONE-TIME IMPLEMENTATION</t>
  </si>
  <si>
    <t xml:space="preserve">ONE-TIME BENEFITS</t>
  </si>
  <si>
    <t xml:space="preserve">Working Capital</t>
  </si>
  <si>
    <t xml:space="preserve">Working Capital Subtotal</t>
  </si>
  <si>
    <t xml:space="preserve">One-Time Benefits Total</t>
  </si>
  <si>
    <t xml:space="preserve">CAPEX AND ONE-TIME COSTS</t>
  </si>
  <si>
    <t xml:space="preserve">Capital Expenditures</t>
  </si>
  <si>
    <t xml:space="preserve">CAPEX - AI</t>
  </si>
  <si>
    <t xml:space="preserve">Capital Expenditures Subtotal</t>
  </si>
  <si>
    <t xml:space="preserve">OTC</t>
  </si>
  <si>
    <t xml:space="preserve">OTC Subtotal</t>
  </si>
  <si>
    <t xml:space="preserve">One-Time Costs Total</t>
  </si>
  <si>
    <t xml:space="preserve">Total One-Time Benefit</t>
  </si>
  <si>
    <t xml:space="preserve">SECTION IV - FINANCIAL METRICS</t>
  </si>
  <si>
    <t xml:space="preserve">Cash Flow</t>
  </si>
  <si>
    <t xml:space="preserve">Total</t>
  </si>
  <si>
    <t xml:space="preserve">Operating Income</t>
  </si>
  <si>
    <t xml:space="preserve">(+) One-Time Benefits</t>
  </si>
  <si>
    <t xml:space="preserve">(-) One-Time Cash Costs</t>
  </si>
  <si>
    <t xml:space="preserve">Cumulative Cash Flow</t>
  </si>
  <si>
    <t xml:space="preserve">Payback timeline</t>
  </si>
  <si>
    <t xml:space="preserve">WACC</t>
  </si>
  <si>
    <t xml:space="preserve">NPV</t>
  </si>
  <si>
    <t xml:space="preserve">$</t>
  </si>
  <si>
    <t xml:space="preserve"># yrs</t>
  </si>
  <si>
    <t xml:space="preserve">DO NOT DELETE - INPUT FOR DROP-DOWN MENU in COLUMN O ROWS 37-51</t>
  </si>
  <si>
    <t xml:space="preserve">END</t>
  </si>
  <si>
    <t xml:space="preserve">RATE CARD — people-cost engine (shared by all initiative models)</t>
  </si>
  <si>
    <t xml:space="preserve">Blue cells with yellow fill = inputs you can change. Black = formulas. All initiative models pull the blended rate and policy tables from this sheet.</t>
  </si>
  <si>
    <t xml:space="preserve">1. RATE BASIS</t>
  </si>
  <si>
    <t xml:space="preserve">Rate basis for people costs</t>
  </si>
  <si>
    <t xml:space="preserve">Yearly</t>
  </si>
  <si>
    <t xml:space="preserve">Choose how role rates are quoted, then TYPE YOUR RATES in the matching column of the role table below (Yearly-&gt;col D, Monthly-&gt;col E, Hourly-&gt;col F). The other columns show derived equivalents until you overwrite them. Hourly =&gt; monthly = $/hr x hours/day x days/month.</t>
  </si>
  <si>
    <t xml:space="preserve">Working hours per day</t>
  </si>
  <si>
    <t xml:space="preserve">Used only when rate basis = Hourly.</t>
  </si>
  <si>
    <t xml:space="preserve">Billable days per month</t>
  </si>
  <si>
    <t xml:space="preserve">Months per year (for yearly basis)</t>
  </si>
  <si>
    <t xml:space="preserve">2. STANDARD TEAM COMPOSITION &amp; BLENDED RATE</t>
  </si>
  <si>
    <t xml:space="preserve">Role</t>
  </si>
  <si>
    <t xml:space="preserve"># in std team</t>
  </si>
  <si>
    <t xml:space="preserve">Yearly rate ($/yr)</t>
  </si>
  <si>
    <t xml:space="preserve">Monthly rate ($/mo)</t>
  </si>
  <si>
    <t xml:space="preserve">Hourly rate ($/hr)</t>
  </si>
  <si>
    <t xml:space="preserve">Monthly used ($/mo)</t>
  </si>
  <si>
    <t xml:space="preserve">Team cost ($/mo)</t>
  </si>
  <si>
    <t xml:space="preserve">Source / notes</t>
  </si>
  <si>
    <t xml:space="preserve">Engineer</t>
  </si>
  <si>
    <t xml:space="preserve">QA Engineer</t>
  </si>
  <si>
    <t xml:space="preserve">Solution Architect</t>
  </si>
  <si>
    <t xml:space="preserve">Product Manager</t>
  </si>
  <si>
    <t xml:space="preserve">Data Engineer</t>
  </si>
  <si>
    <t xml:space="preserve">ML Engineer</t>
  </si>
  <si>
    <t xml:space="preserve">Program Manager</t>
  </si>
  <si>
    <t xml:space="preserve">spare row — add roles as team shape is refined</t>
  </si>
  <si>
    <t xml:space="preserve">Total standard team</t>
  </si>
  <si>
    <t xml:space="preserve">BLENDED RATE — per team member</t>
  </si>
  <si>
    <t xml:space="preserve">$/person/month</t>
  </si>
  <si>
    <t xml:space="preserve">Weighted average monthly cost of one member of the standard team. Initiative milestone tables use this unless a rate override is entered.</t>
  </si>
  <si>
    <t xml:space="preserve">$/person/year</t>
  </si>
  <si>
    <t xml:space="preserve">$/person/hour</t>
  </si>
  <si>
    <t xml:space="preserve">3. CONTINGENCY FACTOR REFERENCE</t>
  </si>
  <si>
    <t xml:space="preserve">Complexity / risk level</t>
  </si>
  <si>
    <t xml:space="preserve">Factor</t>
  </si>
  <si>
    <t xml:space="preserve">Based on the complexity and risks to deliver the milestone.</t>
  </si>
  <si>
    <t xml:space="preserve">Low</t>
  </si>
  <si>
    <t xml:space="preserve">Medium</t>
  </si>
  <si>
    <t xml:space="preserve">High</t>
  </si>
  <si>
    <t xml:space="preserve">Very high</t>
  </si>
  <si>
    <t xml:space="preserve">4. CAPITALIZATION POLICY (labor) — default % of milestone labor capitalizable</t>
  </si>
  <si>
    <t xml:space="preserve">Milestone</t>
  </si>
  <si>
    <t xml:space="preserve">Cap %</t>
  </si>
  <si>
    <t xml:space="preserve">Share of labor cost treated as CapEx (feeds WAVE 'Capital Expenditures'); remainder is expensed one-time cost (WAVE 'OTC'). Defaults follow a typical internal-use software policy (ASC 350-40): application development/build stage capitalizable, planning and post-launch expensed. CONFIRM WITH FINANCE — initiative models reference these cells, override there if needed.</t>
  </si>
  <si>
    <t xml:space="preserve">Plan / Design</t>
  </si>
  <si>
    <t xml:space="preserve">Build / Test</t>
  </si>
  <si>
    <t xml:space="preserve">Pilot / Change Mgmt.</t>
  </si>
  <si>
    <t xml:space="preserve">Scale / Run</t>
  </si>
  <si>
    <t xml:space="preserve">Non-labor one-time (default)</t>
  </si>
  <si>
    <t xml:space="preserve">5. NOTES</t>
  </si>
  <si>
    <t xml:space="preserve">• Role rates are PLACEHOLDERS — replace with the PayPal/FP&amp;A rate card. For reference, the Servicing S2 model uses a $200,000/yr blended loaded delivery FTE rate (+10% delivery risk) and $180,000/yr for run-team FTEs.</t>
  </si>
  <si>
    <t xml:space="preserve">• Team composition mirrors the standard AAO delivery-pod thinking; add/remove roles as the initiative team shapes firm up (spare rows provided).</t>
  </si>
  <si>
    <t xml:space="preserve">• Build/Test capitalization default of 80% follows a typical internal-use software policy (application development stage capitalizable) — CONFIRM WITH FINANCE before S3.</t>
  </si>
  <si>
    <t xml:space="preserve">SDLC WORKSTREAM — PORTFOLIO SUMMARY ($M)</t>
  </si>
  <si>
    <t xml:space="preserve">All figures link to the initiative WAVE sheets. Payback/NPV per WAVE Section IV.</t>
  </si>
  <si>
    <t xml:space="preserve">Initiative</t>
  </si>
  <si>
    <t xml:space="preserve">NRB run rate</t>
  </si>
  <si>
    <t xml:space="preserve">NRB 2026</t>
  </si>
  <si>
    <t xml:space="preserve">NRB 2027</t>
  </si>
  <si>
    <t xml:space="preserve">NRB 2028</t>
  </si>
  <si>
    <t xml:space="preserve">NRB 2029</t>
  </si>
  <si>
    <t xml:space="preserve">NRB 2030</t>
  </si>
  <si>
    <t xml:space="preserve">One-time cost (5yr)</t>
  </si>
  <si>
    <t xml:space="preserve">Run cost 2030</t>
  </si>
  <si>
    <t xml:space="preserve">NPV (5yr)</t>
  </si>
  <si>
    <t xml:space="preserve">Payback (yrs)</t>
  </si>
  <si>
    <t xml:space="preserve">SDLC-1 — Agentic Loop Engineering</t>
  </si>
  <si>
    <t xml:space="preserve">SDLC-2 — PDLC Re-imagination</t>
  </si>
  <si>
    <t xml:space="preserve">TOTAL — SDLC WORKSTREAM</t>
  </si>
  <si>
    <t xml:space="preserve">Note: NPV and payback are not additive across initiatives; totals shown for benefit/cost columns only.</t>
  </si>
  <si>
    <t xml:space="preserve">Capitalization policy note: this file defaults Build/Test labor to 80% capitalizable (Rate Card) pending Finance sign-off; the Servicing file defaults to 0% to mirror the S2 model's all-cash treatment. Align the policy across workstreams with Finance before the S2 gate.</t>
  </si>
  <si>
    <t xml:space="preserve">SDLC-1 — Agentic Loop Engineering  |  INITIATIVE MODEL</t>
  </si>
  <si>
    <t xml:space="preserve">Workstream: SDLC (ELT sponsor: Srini | WSL: Pooja | IOs: Pooja, Aruna)   •   Model status: Structure ready; baselines PENDING data requests — see open items</t>
  </si>
  <si>
    <t xml:space="preserve">Monthly grid (Jan-26 → Dec-30) →</t>
  </si>
  <si>
    <t xml:space="preserve">Run rate</t>
  </si>
  <si>
    <t xml:space="preserve">0. INITIATIVE &amp; STATUS</t>
  </si>
  <si>
    <t xml:space="preserve">Initiative name</t>
  </si>
  <si>
    <t xml:space="preserve">Agentic loop engineering — raise engineering throughput on the residual addressable base</t>
  </si>
  <si>
    <t xml:space="preserve">Initiative owner</t>
  </si>
  <si>
    <t xml:space="preserve">Pooja (WSL) — initiative owner TBC</t>
  </si>
  <si>
    <t xml:space="preserve">confirm with workstream lead</t>
  </si>
  <si>
    <t xml:space="preserve">CTO / SDLC</t>
  </si>
  <si>
    <t xml:space="preserve">Go-live / Estimated L4 date</t>
  </si>
  <si>
    <t xml:space="preserve">Benefit ramp is gated on this date.</t>
  </si>
  <si>
    <t xml:space="preserve">Source: Workplan: 'Project Zenith Automation workplan and data requests vS_1.xlsx', SDLC tab + SDLC Data Requests tab</t>
  </si>
  <si>
    <t xml:space="preserve">Source: Impact ranges: Aug 13 deck pp. 9, 19–21; Board deck pp. 12, 22 (preliminary — Finance to validate)</t>
  </si>
  <si>
    <t xml:space="preserve">Open items to refine with initiative owner:</t>
  </si>
  <si>
    <t xml:space="preserve">  – FTE/CW population and fully loaded cost baseline pending (SDLC data request #1 — Thom/Thanh (SDLC), ETO (PDLC)); all baseline inputs below are 0 until received.</t>
  </si>
  <si>
    <t xml:space="preserve">  – Banked Code Assist savings to reconcile so the residual addressable base nets them out (W3 objective).</t>
  </si>
  <si>
    <t xml:space="preserve">  – Adoption ramp by domain/role pending (request #3); 20-domain harness build plan shared by Pooja (request #12).</t>
  </si>
  <si>
    <t xml:space="preserve">  – Token consumption benchmark by role shared for SDLC (request #11) — to be validated, then wire into run costs.</t>
  </si>
  <si>
    <t xml:space="preserve">  – Build shape below mirrors the Servicing S2 delivery pod as a placeholder — refine with IOs before S3.</t>
  </si>
  <si>
    <t xml:space="preserve">1. SIZING ASSUMPTIONS  (blue = inputs — refine with initiative owner)</t>
  </si>
  <si>
    <t xml:space="preserve">Baseline / denominator  (PENDING data request #1)</t>
  </si>
  <si>
    <t xml:space="preserve">CTO SWE IC FTE population — in scope</t>
  </si>
  <si>
    <t xml:space="preserve"># FTE</t>
  </si>
  <si>
    <t xml:space="preserve">PENDING — placeholder, not data. Data request #1 (Thom/Thanh)</t>
  </si>
  <si>
    <t xml:space="preserve">CTO SWE CW population — in scope</t>
  </si>
  <si>
    <t xml:space="preserve"># CW</t>
  </si>
  <si>
    <t xml:space="preserve">PENDING — placeholder, not data. Data request #1</t>
  </si>
  <si>
    <t xml:space="preserve">Avg fully loaded cost per SWE FTE</t>
  </si>
  <si>
    <t xml:space="preserve">$/yr</t>
  </si>
  <si>
    <t xml:space="preserve">Avg fully loaded cost per CW</t>
  </si>
  <si>
    <t xml:space="preserve">Code Assist savings already banked (annual)</t>
  </si>
  <si>
    <t xml:space="preserve">PENDING — placeholder, not data. Reconcile with Finance; netted out of the addressable base to avoid double count</t>
  </si>
  <si>
    <t xml:space="preserve">Impact drivers  (Aug 13 deck pp. 9, 19–21 — preliminary, Finance to validate)</t>
  </si>
  <si>
    <t xml:space="preserve">Incremental productivity uplift on residual base</t>
  </si>
  <si>
    <t xml:space="preserve">%</t>
  </si>
  <si>
    <t xml:space="preserve">PLACEHOLDER pending validation — source materials cite ~$173–204M total SDLC opportunity</t>
  </si>
  <si>
    <t xml:space="preserve">Steady-state adoption (share of population on harness)</t>
  </si>
  <si>
    <t xml:space="preserve">PLACEHOLDER — adoption ramp by domain/role pending (request #3)</t>
  </si>
  <si>
    <t xml:space="preserve">Capture rate — capacity converted to bankable cost</t>
  </si>
  <si>
    <t xml:space="preserve">PLACEHOLDER — capacity-to-cost capture and redeployment logic to agree with Finance</t>
  </si>
  <si>
    <t xml:space="preserve">Investment uplifts (consistent with Servicing S2 standard)</t>
  </si>
  <si>
    <t xml:space="preserve">Programme management, % of build</t>
  </si>
  <si>
    <t xml:space="preserve">Same standard as Servicing S2 (8%)</t>
  </si>
  <si>
    <t xml:space="preserve">Contingency, % of build incl. PM</t>
  </si>
  <si>
    <t xml:space="preserve">Same standard as Servicing S2 (10%)</t>
  </si>
  <si>
    <t xml:space="preserve">(spare assumption row)</t>
  </si>
  <si>
    <t xml:space="preserve">2. BENEFIT CALCULATION  (steady-state annual run-rate)</t>
  </si>
  <si>
    <t xml:space="preserve">Total in-scope engineering labor base</t>
  </si>
  <si>
    <t xml:space="preserve">FTE x cost + CW x cost</t>
  </si>
  <si>
    <t xml:space="preserve">Residual addressable base (net of banked Code Assist)</t>
  </si>
  <si>
    <t xml:space="preserve">Gross capacity value created</t>
  </si>
  <si>
    <t xml:space="preserve">Residual base x productivity uplift x adoption</t>
  </si>
  <si>
    <t xml:space="preserve">Bankable annual benefit (steady state)</t>
  </si>
  <si>
    <t xml:space="preserve">x capture rate — the benefit line that feeds WAVE</t>
  </si>
  <si>
    <t xml:space="preserve">3. RAMP &amp; PHASING</t>
  </si>
  <si>
    <t xml:space="preserve">Months to full run rate after go-live (linear ramp)</t>
  </si>
  <si>
    <t xml:space="preserve">Benefit starts at go-live and ramps linearly to steady state over this many months.</t>
  </si>
  <si>
    <t xml:space="preserve">Monthly ramp % (run-rate captured in month)</t>
  </si>
  <si>
    <t xml:space="preserve">Resulting average ramp % by year (info)</t>
  </si>
  <si>
    <t xml:space="preserve">4. RECURRING BENEFIT LINES  ($M — these rows feed the WAVE sheet)</t>
  </si>
  <si>
    <t xml:space="preserve">Line (WAVE category)</t>
  </si>
  <si>
    <t xml:space="preserve">Baseline $M</t>
  </si>
  <si>
    <t xml:space="preserve">OPEX - Engineering capacity release (loop engineering)   [OPEX]</t>
  </si>
  <si>
    <t xml:space="preserve">Total recurring benefit ($M)</t>
  </si>
  <si>
    <t xml:space="preserve">5. ONE-TIME INVESTMENT — people cost by milestone (standard approach)</t>
  </si>
  <si>
    <t xml:space="preserve">Assumptions</t>
  </si>
  <si>
    <t xml:space="preserve">Team size</t>
  </si>
  <si>
    <t xml:space="preserve">Billing months</t>
  </si>
  <si>
    <t xml:space="preserve">Contingency Factor</t>
  </si>
  <si>
    <t xml:space="preserve">Labor Costs</t>
  </si>
  <si>
    <t xml:space="preserve">Start month</t>
  </si>
  <si>
    <t xml:space="preserve">Cap % (labor)</t>
  </si>
  <si>
    <t xml:space="preserve">Rate override ($/mo)</t>
  </si>
  <si>
    <t xml:space="preserve">Capture any assumptions on cost drivers, timelines, contingency factor etc.</t>
  </si>
  <si>
    <t xml:space="preserve">Months the team works at full utilization</t>
  </si>
  <si>
    <t xml:space="preserve">Low=10% Medium=15% High=20% Very high=50%</t>
  </si>
  <si>
    <t xml:space="preserve">Total labor costs for milestone</t>
  </si>
  <si>
    <t xml:space="preserve">Default links to Rate Card policy — type a % to override</t>
  </si>
  <si>
    <t xml:space="preserve">PLACEHOLDER shape mirroring the AAO delivery pod (Servicing S2: design team ≤4 for 1–2 months). Refine with IO.</t>
  </si>
  <si>
    <t xml:space="preserve">PLACEHOLDER — one 8-FTE pod (PO, PM/Scrum, Tech Lead, 2 AI Eng, DevOps, QA, FA/UX) for ~5 months.</t>
  </si>
  <si>
    <t xml:space="preserve">PLACEHOLDER — scale-up team of 5 (technical roles stay on) through domain rollout.</t>
  </si>
  <si>
    <t xml:space="preserve">Run-phase support carried as recurring run cost (Section 6), per the standard treatment — leave 0 here unless a dedicated scale team is planned.</t>
  </si>
  <si>
    <t xml:space="preserve">Milestone labor phasing ($/month, spread evenly over billing months)</t>
  </si>
  <si>
    <t xml:space="preserve">   Plan / Design</t>
  </si>
  <si>
    <t xml:space="preserve">   Build / Test</t>
  </si>
  <si>
    <t xml:space="preserve">   Pilot / Change Mgmt.</t>
  </si>
  <si>
    <t xml:space="preserve">   Scale / Run</t>
  </si>
  <si>
    <t xml:space="preserve">Total milestone labor (all blocks)</t>
  </si>
  <si>
    <t xml:space="preserve">One-time non-labor costs (vendor, integration, licences, change mgmt., etc.)</t>
  </si>
  <si>
    <t xml:space="preserve">Item</t>
  </si>
  <si>
    <t xml:space="preserve">Assumptions / notes</t>
  </si>
  <si>
    <t xml:space="preserve">Total $</t>
  </si>
  <si>
    <t xml:space="preserve">Spread months</t>
  </si>
  <si>
    <t xml:space="preserve">Vendor / integration / tooling set-up</t>
  </si>
  <si>
    <t xml:space="preserve">PENDING — placeholder, not data. Build-vs-buy perspective due at W6 tech workshop</t>
  </si>
  <si>
    <t xml:space="preserve">Programme management (8% of build)</t>
  </si>
  <si>
    <t xml:space="preserve">Formula: 8% x (milestone labor + non-labor build items) — Servicing S2 standard</t>
  </si>
  <si>
    <t xml:space="preserve">Contingency (10% of build incl. PM)</t>
  </si>
  <si>
    <t xml:space="preserve">Formula: 10% x (build subtotal incl. PM) — Servicing S2 standard</t>
  </si>
  <si>
    <t xml:space="preserve">(spare)</t>
  </si>
  <si>
    <t xml:space="preserve">Non-labor phasing ($/month)</t>
  </si>
  <si>
    <t xml:space="preserve">   phasing — item 1</t>
  </si>
  <si>
    <t xml:space="preserve">   phasing — item 2</t>
  </si>
  <si>
    <t xml:space="preserve">   phasing — item 3</t>
  </si>
  <si>
    <t xml:space="preserve">   phasing — item 4</t>
  </si>
  <si>
    <t xml:space="preserve">One-time investment feed rows ($M — these feed the WAVE sheet)</t>
  </si>
  <si>
    <t xml:space="preserve">CAPEX — capitalized build labor</t>
  </si>
  <si>
    <t xml:space="preserve">CAPEX — capitalized non-labor</t>
  </si>
  <si>
    <t xml:space="preserve">OTC — build labor (expensed)</t>
  </si>
  <si>
    <t xml:space="preserve">OTC — non-labor (expensed)</t>
  </si>
  <si>
    <t xml:space="preserve">Total one-time investment ($M)</t>
  </si>
  <si>
    <t xml:space="preserve">6. RECURRING RUN COSTS to achieve impact</t>
  </si>
  <si>
    <t xml:space="preserve">Line</t>
  </si>
  <si>
    <t xml:space="preserve">Annual $ (steady state)</t>
  </si>
  <si>
    <t xml:space="preserve">Scales with ramp? (Y/N)</t>
  </si>
  <si>
    <t xml:space="preserve">OPEX - Model / token consumption</t>
  </si>
  <si>
    <t xml:space="preserve">PENDING — placeholder, not data. Per-developer consumption (request #11) x adopted developers; scales with ramp</t>
  </si>
  <si>
    <t xml:space="preserve">Y</t>
  </si>
  <si>
    <t xml:space="preserve">OPEX - Harness platform &amp; tooling run</t>
  </si>
  <si>
    <t xml:space="preserve">PENDING — placeholder, not data. Ongoing platform/support run cost</t>
  </si>
  <si>
    <t xml:space="preserve">N</t>
  </si>
  <si>
    <t xml:space="preserve">OPEX - Champion / coaching capacity</t>
  </si>
  <si>
    <t xml:space="preserve">PENDING — placeholder, not data. Champion/coaching capacity plan</t>
  </si>
  <si>
    <t xml:space="preserve">Run-cost feed rows ($M)</t>
  </si>
  <si>
    <t xml:space="preserve">OPEX - Model / token consumption   [RUN]</t>
  </si>
  <si>
    <t xml:space="preserve">OPEX - Harness platform &amp; tooling run   [RUN]</t>
  </si>
  <si>
    <t xml:space="preserve">OPEX - Champion / coaching capacity   [RUN]</t>
  </si>
  <si>
    <t xml:space="preserve">Total run cost ($M)</t>
  </si>
  <si>
    <t xml:space="preserve">7. WAVE MAPPING (reference)</t>
  </si>
  <si>
    <t xml:space="preserve">Model row 58 — OPEX - Engineering capacity release (loop engineering)</t>
  </si>
  <si>
    <t xml:space="preserve">→  WAVE row 79 (Section II — Recurring Benefits)</t>
  </si>
  <si>
    <t xml:space="preserve">Model row 105 — OPEX - Model / token consumption</t>
  </si>
  <si>
    <t xml:space="preserve">→  WAVE row 107 (Section II — Recurring Costs)</t>
  </si>
  <si>
    <t xml:space="preserve">Model row 106 — OPEX - Harness platform &amp; tooling run</t>
  </si>
  <si>
    <t xml:space="preserve">→  WAVE row 108 (Section II — Recurring Costs)</t>
  </si>
  <si>
    <t xml:space="preserve">Model row 107 — OPEX - Champion / coaching capacity</t>
  </si>
  <si>
    <t xml:space="preserve">→  WAVE row 109 (Section II — Recurring Costs)</t>
  </si>
  <si>
    <t xml:space="preserve">Model row 91 — CAPEX — capitalized build labor</t>
  </si>
  <si>
    <t xml:space="preserve">→  WAVE row 136 (Section III — CapEx)</t>
  </si>
  <si>
    <t xml:space="preserve">Model row 92 — CAPEX — capitalized non-labor</t>
  </si>
  <si>
    <t xml:space="preserve">→  WAVE row 137 (Section III — CapEx)</t>
  </si>
  <si>
    <t xml:space="preserve">Model row 93 — OTC — build labor (expensed)</t>
  </si>
  <si>
    <t xml:space="preserve">→  WAVE row 141 (Section III — OTC)</t>
  </si>
  <si>
    <t xml:space="preserve">Model row 94 — OTC — non-labor (expensed)</t>
  </si>
  <si>
    <t xml:space="preserve">→  WAVE row 142 (Section III — OTC)</t>
  </si>
  <si>
    <t xml:space="preserve">8. FLEX / SCRATCH AREA — free space for refinements with the initiative owner</t>
  </si>
  <si>
    <t xml:space="preserve">TBD</t>
  </si>
  <si>
    <t xml:space="preserve">Primary value driver — linked to the Model sheet; refine with the initiative owner</t>
  </si>
  <si>
    <t xml:space="preserve">TTM 6/1/26</t>
  </si>
  <si>
    <t xml:space="preserve">Code Assist savings already banked</t>
  </si>
  <si>
    <t xml:space="preserve">Residual addressable base</t>
  </si>
  <si>
    <t xml:space="preserve">Productivity uplift x steady-state adoption</t>
  </si>
  <si>
    <t xml:space="preserve">Steady state</t>
  </si>
  <si>
    <t xml:space="preserve">Capture rate to bankable cost</t>
  </si>
  <si>
    <t xml:space="preserve">Bankable annual benefit (run rate)</t>
  </si>
  <si>
    <t xml:space="preserve">CHECK</t>
  </si>
  <si>
    <t xml:space="preserve">OPEX - Engineering capacity release (loop engineering)</t>
  </si>
  <si>
    <t xml:space="preserve">Bankable share of capacity created on the residual addressable base</t>
  </si>
  <si>
    <t xml:space="preserve">Total One-Time Implementation Cost</t>
  </si>
  <si>
    <t xml:space="preserve">Return on Investment</t>
  </si>
  <si>
    <t xml:space="preserve">NRB/OTC</t>
  </si>
  <si>
    <t xml:space="preserve">Internal Rate of Return</t>
  </si>
  <si>
    <t xml:space="preserve">5-yr IRR</t>
  </si>
  <si>
    <t xml:space="preserve">Breakeven timeline</t>
  </si>
  <si>
    <t xml:space="preserve">SDLC-2 — PDLC Re-imagination  |  INITIATIVE MODEL</t>
  </si>
  <si>
    <t xml:space="preserve">PDLC re-imagination — agentic product development lifecycle across product, program and design</t>
  </si>
  <si>
    <t xml:space="preserve">Aruna (IO) — TBC</t>
  </si>
  <si>
    <t xml:space="preserve">  – Product/program/design FTE population and cost pending (SDLC data request #1, PDLC side — ETO; 'back on McK' for time-spent validation, request #2).</t>
  </si>
  <si>
    <t xml:space="preserve">  – PDLC output baseline (PRDs, epics, specs, releases) pending — request #4; converts uplift to capacity.</t>
  </si>
  <si>
    <t xml:space="preserve">  – PDLC tooling &amp; spend baseline (Figma, PRD gen, Jira) pending — request #5; sizes investment and nets run cost.</t>
  </si>
  <si>
    <t xml:space="preserve">  – Build shape mirrors the Servicing S2 delivery pod as a placeholder — refine with IOs before S3.</t>
  </si>
  <si>
    <t xml:space="preserve">Baseline / denominator  (PENDING data request #1 — PDLC side)</t>
  </si>
  <si>
    <t xml:space="preserve">Product + program + design FTE population — in scope</t>
  </si>
  <si>
    <t xml:space="preserve">PENDING — placeholder, not data. Data request #1 (ETO)</t>
  </si>
  <si>
    <t xml:space="preserve">Avg fully loaded cost per PDLC FTE</t>
  </si>
  <si>
    <t xml:space="preserve">Impact drivers  (Aug 13 deck pp. 9, 19–21 — preliminary)</t>
  </si>
  <si>
    <t xml:space="preserve">PDLC productivity lift across product/program/design</t>
  </si>
  <si>
    <t xml:space="preserve">PLACEHOLDER — refine with time-spent-by-activity data (request #2)</t>
  </si>
  <si>
    <t xml:space="preserve">Steady-state adoption</t>
  </si>
  <si>
    <t xml:space="preserve">PLACEHOLDER</t>
  </si>
  <si>
    <t xml:space="preserve">PLACEHOLDER — align with SDLC-1 capture logic</t>
  </si>
  <si>
    <t xml:space="preserve">Total in-scope PDLC labor base</t>
  </si>
  <si>
    <t xml:space="preserve">Feeds WAVE benefit line</t>
  </si>
  <si>
    <t xml:space="preserve">OPEX - Product/program/design capacity release (PDLC)   [OPEX]</t>
  </si>
  <si>
    <t xml:space="preserve">PLACEHOLDER shape mirroring the AAO delivery pod — refine with IO.</t>
  </si>
  <si>
    <t xml:space="preserve">PLACEHOLDER — one 8-FTE pod for ~5 months.</t>
  </si>
  <si>
    <t xml:space="preserve">PLACEHOLDER — scale-up team of 5 through rollout.</t>
  </si>
  <si>
    <t xml:space="preserve">Run-phase support carried as recurring run cost (Section 6).</t>
  </si>
  <si>
    <t xml:space="preserve">PENDING — placeholder, not data. Build-vs-buy due W6 tech workshop</t>
  </si>
  <si>
    <t xml:space="preserve">8% x (milestone labor + non-labor build items)</t>
  </si>
  <si>
    <t xml:space="preserve">10% x (build subtotal incl. PM)</t>
  </si>
  <si>
    <t xml:space="preserve">OPEX - PDLC harness / product tooling run</t>
  </si>
  <si>
    <t xml:space="preserve">PENDING — placeholder, not data. Net of tooling spend baseline (request #5)</t>
  </si>
  <si>
    <t xml:space="preserve">PENDING — placeholder, not data. PDLC-side consumption not yet available (request #11)</t>
  </si>
  <si>
    <t xml:space="preserve">OPEX - PDLC harness / product tooling run   [RUN]</t>
  </si>
  <si>
    <t xml:space="preserve">Model row 53 — OPEX - Product/program/design capacity release (PDLC)</t>
  </si>
  <si>
    <t xml:space="preserve">Model row 99 — OPEX - PDLC harness / product tooling run</t>
  </si>
  <si>
    <t xml:space="preserve">Model row 100 — OPEX - Model / token consumption</t>
  </si>
  <si>
    <t xml:space="preserve">Model row 86 — CAPEX — capitalized build labor</t>
  </si>
  <si>
    <t xml:space="preserve">Model row 87 — CAPEX — capitalized non-labor</t>
  </si>
  <si>
    <t xml:space="preserve">Model row 88 — OTC — build labor (expensed)</t>
  </si>
  <si>
    <t xml:space="preserve">Model row 89 — OTC — non-labor (expensed)</t>
  </si>
  <si>
    <t xml:space="preserve">Product/program/design FTE in scope</t>
  </si>
  <si>
    <t xml:space="preserve">$ / FTE</t>
  </si>
  <si>
    <t xml:space="preserve">PDLC lift x steady-state adoption</t>
  </si>
  <si>
    <t xml:space="preserve">OPEX - Product/program/design capacity release (PDLC)</t>
  </si>
  <si>
    <t xml:space="preserve">Bankable share of PDLC capacity created</t>
  </si>
  <si>
    <t xml:space="preserve"># CW headcount</t>
  </si>
  <si>
    <t xml:space="preserve">Average hourly cost for CW</t>
  </si>
  <si>
    <t xml:space="preserve">$USD / # hr</t>
  </si>
  <si>
    <t xml:space="preserve">Average utliization hours for CW - annual</t>
  </si>
  <si>
    <t xml:space="preserve"># hr</t>
  </si>
  <si>
    <t xml:space="preserve">Total CW spend</t>
  </si>
  <si>
    <t xml:space="preserve"># FTE headcount - lower cost location</t>
  </si>
  <si>
    <t xml:space="preserve"># FTE's</t>
  </si>
  <si>
    <t xml:space="preserve">Average fully loaded annual cost per FTE - lower cost location</t>
  </si>
  <si>
    <t xml:space="preserve">Total personnel spend for BU</t>
  </si>
  <si>
    <t xml:space="preserve">$USD</t>
  </si>
  <si>
    <t xml:space="preserve">Total personnel spend for X business unit</t>
  </si>
</sst>
</file>

<file path=xl/styles.xml><?xml version="1.0" encoding="utf-8"?>
<styleSheet xmlns="http://schemas.openxmlformats.org/spreadsheetml/2006/main">
  <numFmts count="32">
    <numFmt numFmtId="164" formatCode="General"/>
    <numFmt numFmtId="165" formatCode="_(* #,##0.00_);_(* \(#,##0.00\);_(* \-??_);_(@_)"/>
    <numFmt numFmtId="166" formatCode="0%"/>
    <numFmt numFmtId="167" formatCode="General"/>
    <numFmt numFmtId="168" formatCode="0"/>
    <numFmt numFmtId="169" formatCode="#,##0.0;\-#,##0.0;\-;@"/>
    <numFmt numFmtId="170" formatCode="m/d/yyyy"/>
    <numFmt numFmtId="171" formatCode="#,##0.000;\-#,##0.000;\-;@"/>
    <numFmt numFmtId="172" formatCode="#,##0;\-#,##0;\-;@"/>
    <numFmt numFmtId="173" formatCode="#,##0.00;\-#,##0.00;\-;@"/>
    <numFmt numFmtId="174" formatCode="_(* #,##0.000_);_(* \(#,##0.000\);_(* \-??_);_(@_)"/>
    <numFmt numFmtId="175" formatCode="_(* #,##0.000_);_(* \(#,##0.000\);_(* \-???_);_(@_)"/>
    <numFmt numFmtId="176" formatCode="_(* #,##0_);_(* \(#,##0\);_(* \-??_);_(@_)"/>
    <numFmt numFmtId="177" formatCode="0.000"/>
    <numFmt numFmtId="178" formatCode="mmm\-yy"/>
    <numFmt numFmtId="179" formatCode="#,##0.000;\(#,##0.000\);\-;@"/>
    <numFmt numFmtId="180" formatCode="_(\$* #,##0.0_);_(\$* \(#,##0.0\);_(\$* \-??_);_(@_)"/>
    <numFmt numFmtId="181" formatCode="#,##0;\(#,##0\);\-;@"/>
    <numFmt numFmtId="182" formatCode="#,##0_);\(#,##0\)"/>
    <numFmt numFmtId="183" formatCode="_(\$* #,##0.00_);_(\$* \(#,##0.00\);_(\$* \-??_);_(@_)"/>
    <numFmt numFmtId="184" formatCode="0.0"/>
    <numFmt numFmtId="185" formatCode="_(\$* #,##0_);_(\$* \(#,##0\);_(\$* \-??_);_(@_)"/>
    <numFmt numFmtId="186" formatCode="#,##0.0;\(#,##0.0\);\-;@"/>
    <numFmt numFmtId="187" formatCode="0.0%"/>
    <numFmt numFmtId="188" formatCode="#,##0;\(#,##0\);\-"/>
    <numFmt numFmtId="189" formatCode="\$#,##0;&quot;($&quot;#,##0\);\-"/>
    <numFmt numFmtId="190" formatCode="\$#,##0.00;&quot;($&quot;#,##0.00\);\-"/>
    <numFmt numFmtId="191" formatCode="0%;\(0%\);\-"/>
    <numFmt numFmtId="192" formatCode="#,##0.000;\(#,##0.000\);\-;@"/>
    <numFmt numFmtId="193" formatCode="#,##0.0;\(#,##0.0\);\-"/>
    <numFmt numFmtId="194" formatCode="#,##0.0_);\(#,##0.0\);\-"/>
    <numFmt numFmtId="195" formatCode="#,##0_);\(#,##0\);\-"/>
  </numFmts>
  <fonts count="5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20"/>
      <color rgb="FFFFFFFF"/>
      <name val="Calibri"/>
      <family val="0"/>
      <charset val="1"/>
    </font>
    <font>
      <sz val="11"/>
      <color rgb="FF000000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b val="true"/>
      <sz val="12"/>
      <color rgb="FF1F3864"/>
      <name val="Calibri"/>
      <family val="0"/>
      <charset val="1"/>
    </font>
    <font>
      <b val="true"/>
      <sz val="11"/>
      <color rgb="FF1F3864"/>
      <name val="Calibri"/>
      <family val="0"/>
      <charset val="1"/>
    </font>
    <font>
      <sz val="10"/>
      <color rgb="FF000000"/>
      <name val="Calibri"/>
      <family val="0"/>
      <charset val="1"/>
    </font>
    <font>
      <sz val="11"/>
      <color rgb="FF0000FF"/>
      <name val="Calibri"/>
      <family val="0"/>
      <charset val="1"/>
    </font>
    <font>
      <sz val="11"/>
      <color rgb="FF008000"/>
      <name val="Calibri"/>
      <family val="0"/>
      <charset val="1"/>
    </font>
    <font>
      <sz val="13"/>
      <color theme="1"/>
      <name val="Calibri"/>
      <family val="2"/>
      <charset val="1"/>
    </font>
    <font>
      <sz val="13"/>
      <color theme="0"/>
      <name val="Calibri"/>
      <family val="2"/>
      <charset val="1"/>
    </font>
    <font>
      <i val="true"/>
      <sz val="13"/>
      <color theme="0" tint="-0.05"/>
      <name val="Calibri"/>
      <family val="2"/>
      <charset val="1"/>
    </font>
    <font>
      <b val="true"/>
      <u val="single"/>
      <sz val="24"/>
      <color theme="3"/>
      <name val="Calibri"/>
      <family val="2"/>
      <charset val="1"/>
    </font>
    <font>
      <b val="true"/>
      <sz val="13"/>
      <color theme="0"/>
      <name val="Calibri"/>
      <family val="2"/>
      <charset val="1"/>
    </font>
    <font>
      <b val="true"/>
      <sz val="13"/>
      <color theme="1"/>
      <name val="Calibri"/>
      <family val="2"/>
      <charset val="1"/>
    </font>
    <font>
      <sz val="13"/>
      <color rgb="FF0000FF"/>
      <name val="Calibri"/>
      <family val="2"/>
      <charset val="1"/>
    </font>
    <font>
      <sz val="13"/>
      <color theme="2" tint="-0.9"/>
      <name val="Calibri"/>
      <family val="2"/>
      <charset val="1"/>
    </font>
    <font>
      <i val="true"/>
      <sz val="13"/>
      <color theme="1"/>
      <name val="Calibri"/>
      <family val="2"/>
      <charset val="1"/>
    </font>
    <font>
      <b val="true"/>
      <sz val="13"/>
      <color theme="3"/>
      <name val="Calibri"/>
      <family val="2"/>
      <charset val="1"/>
    </font>
    <font>
      <b val="true"/>
      <u val="single"/>
      <sz val="13"/>
      <color theme="1"/>
      <name val="Calibri"/>
      <family val="2"/>
      <charset val="1"/>
    </font>
    <font>
      <b val="true"/>
      <sz val="13"/>
      <color rgb="FF0000FF"/>
      <name val="Calibri"/>
      <family val="2"/>
      <charset val="1"/>
    </font>
    <font>
      <sz val="13"/>
      <name val="Calibri"/>
      <family val="2"/>
      <charset val="1"/>
    </font>
    <font>
      <b val="true"/>
      <sz val="13"/>
      <name val="Calibri"/>
      <family val="2"/>
      <charset val="1"/>
    </font>
    <font>
      <b val="true"/>
      <i val="true"/>
      <sz val="13"/>
      <color theme="0" tint="-0.35"/>
      <name val="Calibri"/>
      <family val="2"/>
      <charset val="1"/>
    </font>
    <font>
      <i val="true"/>
      <sz val="13"/>
      <color theme="0" tint="-0.5"/>
      <name val="Calibri"/>
      <family val="2"/>
      <charset val="1"/>
    </font>
    <font>
      <b val="true"/>
      <sz val="13"/>
      <color theme="0" tint="-0.25"/>
      <name val="Calibri"/>
      <family val="2"/>
      <charset val="1"/>
    </font>
    <font>
      <sz val="13"/>
      <color theme="0" tint="-0.25"/>
      <name val="Calibri"/>
      <family val="2"/>
      <charset val="1"/>
    </font>
    <font>
      <sz val="13"/>
      <color theme="0" tint="-0.5"/>
      <name val="Calibri"/>
      <family val="2"/>
      <charset val="1"/>
    </font>
    <font>
      <b val="true"/>
      <i val="true"/>
      <sz val="13"/>
      <color theme="1"/>
      <name val="Calibri"/>
      <family val="2"/>
      <charset val="1"/>
    </font>
    <font>
      <sz val="13"/>
      <color theme="3"/>
      <name val="Calibri"/>
      <family val="2"/>
      <charset val="1"/>
    </font>
    <font>
      <b val="true"/>
      <sz val="13"/>
      <color theme="2" tint="-0.9"/>
      <name val="Calibri"/>
      <family val="2"/>
      <charset val="1"/>
    </font>
    <font>
      <i val="true"/>
      <sz val="13"/>
      <color theme="0" tint="-0.35"/>
      <name val="Calibri"/>
      <family val="2"/>
      <charset val="1"/>
    </font>
    <font>
      <sz val="13"/>
      <color rgb="FFFF0000"/>
      <name val="Calibri"/>
      <family val="2"/>
      <charset val="1"/>
    </font>
    <font>
      <sz val="10"/>
      <name val="Arial"/>
      <family val="2"/>
    </font>
    <font>
      <b val="true"/>
      <sz val="16"/>
      <color rgb="FFFFFFFF"/>
      <name val="Calibri"/>
      <family val="0"/>
      <charset val="1"/>
    </font>
    <font>
      <i val="true"/>
      <sz val="10"/>
      <color rgb="FF595959"/>
      <name val="Calibri"/>
      <family val="0"/>
      <charset val="1"/>
    </font>
    <font>
      <i val="true"/>
      <sz val="9"/>
      <color rgb="FF595959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i val="true"/>
      <sz val="9"/>
      <color rgb="FF808080"/>
      <name val="Calibri"/>
      <family val="0"/>
      <charset val="1"/>
    </font>
    <font>
      <b val="true"/>
      <sz val="12"/>
      <color rgb="FF000000"/>
      <name val="Calibri"/>
      <family val="0"/>
      <charset val="1"/>
    </font>
    <font>
      <i val="true"/>
      <sz val="9"/>
      <color rgb="FF000000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i val="true"/>
      <sz val="9"/>
      <color rgb="FFC00000"/>
      <name val="Calibri"/>
      <family val="0"/>
      <charset val="1"/>
    </font>
    <font>
      <sz val="8"/>
      <color rgb="FF808080"/>
      <name val="Calibri"/>
      <family val="0"/>
      <charset val="1"/>
    </font>
    <font>
      <b val="true"/>
      <sz val="9"/>
      <color rgb="FF000000"/>
      <name val="Calibri"/>
      <family val="0"/>
      <charset val="1"/>
    </font>
    <font>
      <b val="true"/>
      <sz val="8"/>
      <color rgb="FF000000"/>
      <name val="Calibri"/>
      <family val="0"/>
      <charset val="1"/>
    </font>
    <font>
      <b val="true"/>
      <sz val="9"/>
      <color rgb="FFC00000"/>
      <name val="Calibri"/>
      <family val="0"/>
      <charset val="1"/>
    </font>
    <font>
      <sz val="9"/>
      <color rgb="FFC00000"/>
      <name val="Calibri"/>
      <family val="0"/>
      <charset val="1"/>
    </font>
    <font>
      <b val="true"/>
      <i val="true"/>
      <sz val="10"/>
      <color rgb="FF1F3864"/>
      <name val="Calibri"/>
      <family val="0"/>
      <charset val="1"/>
    </font>
    <font>
      <i val="true"/>
      <sz val="8"/>
      <color rgb="FF808080"/>
      <name val="Calibri"/>
      <family val="0"/>
      <charset val="1"/>
    </font>
    <font>
      <sz val="9"/>
      <color rgb="FF000000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sz val="9"/>
      <color rgb="FF1F3864"/>
      <name val="Calibri"/>
      <family val="0"/>
      <charset val="1"/>
    </font>
    <font>
      <sz val="13"/>
      <color rgb="FF008000"/>
      <name val="Calibri"/>
      <family val="2"/>
      <charset val="1"/>
    </font>
    <font>
      <b val="true"/>
      <sz val="13"/>
      <color rgb="FF008000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DEBF7"/>
        <bgColor rgb="FFE7E6E6"/>
      </patternFill>
    </fill>
    <fill>
      <patternFill patternType="solid">
        <fgColor rgb="FFFFFFCC"/>
        <bgColor rgb="FFFFFFFF"/>
      </patternFill>
    </fill>
    <fill>
      <patternFill patternType="solid">
        <fgColor theme="3"/>
        <bgColor rgb="FF595959"/>
      </patternFill>
    </fill>
    <fill>
      <patternFill patternType="solid">
        <fgColor theme="0" tint="-0.05"/>
        <bgColor rgb="FFE7E6E6"/>
      </patternFill>
    </fill>
    <fill>
      <patternFill patternType="solid">
        <fgColor theme="0" tint="-0.15"/>
        <bgColor rgb="FFE7E6E6"/>
      </patternFill>
    </fill>
    <fill>
      <patternFill patternType="solid">
        <fgColor theme="2"/>
        <bgColor rgb="FFE2EFDA"/>
      </patternFill>
    </fill>
    <fill>
      <patternFill patternType="solid">
        <fgColor rgb="FFE2EFDA"/>
        <bgColor rgb="FFE7E6E6"/>
      </patternFill>
    </fill>
  </fills>
  <borders count="2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theme="0" tint="-0.5"/>
      </left>
      <right/>
      <top style="thin">
        <color theme="0" tint="-0.5"/>
      </top>
      <bottom style="thin">
        <color theme="0" tint="-0.5"/>
      </bottom>
      <diagonal/>
    </border>
    <border diagonalUp="false" diagonalDown="false">
      <left/>
      <right style="thin">
        <color theme="0" tint="-0.5"/>
      </right>
      <top style="thin">
        <color theme="0" tint="-0.5"/>
      </top>
      <bottom style="thin">
        <color theme="0" tint="-0.5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theme="0" tint="-0.5"/>
      </left>
      <right style="thin">
        <color theme="0" tint="-0.5"/>
      </right>
      <top style="thin">
        <color theme="0" tint="-0.5"/>
      </top>
      <bottom style="thin">
        <color theme="0" tint="-0.5"/>
      </bottom>
      <diagonal/>
    </border>
    <border diagonalUp="false" diagonalDown="false">
      <left style="thin">
        <color theme="0"/>
      </left>
      <right style="thin">
        <color theme="0"/>
      </right>
      <top/>
      <bottom style="thin"/>
      <diagonal/>
    </border>
    <border diagonalUp="false" diagonalDown="false">
      <left style="dotted">
        <color theme="0" tint="-0.5"/>
      </left>
      <right/>
      <top style="dotted">
        <color theme="0" tint="-0.5"/>
      </top>
      <bottom style="dotted">
        <color theme="0" tint="-0.5"/>
      </bottom>
      <diagonal/>
    </border>
    <border diagonalUp="false" diagonalDown="false">
      <left style="dotted">
        <color theme="0" tint="-0.5"/>
      </left>
      <right style="dotted">
        <color theme="0" tint="-0.5"/>
      </right>
      <top style="dotted">
        <color theme="0" tint="-0.5"/>
      </top>
      <bottom style="dotted">
        <color theme="0" tint="-0.5"/>
      </bottom>
      <diagonal/>
    </border>
    <border diagonalUp="false" diagonalDown="false">
      <left/>
      <right/>
      <top style="thin"/>
      <bottom/>
      <diagonal/>
    </border>
    <border diagonalUp="false" diagonalDown="false">
      <left style="dotted">
        <color theme="0" tint="-0.5"/>
      </left>
      <right style="dotted">
        <color theme="0" tint="-0.5"/>
      </right>
      <top style="dotted">
        <color theme="0" tint="-0.5"/>
      </top>
      <bottom/>
      <diagonal/>
    </border>
    <border diagonalUp="false" diagonalDown="false">
      <left style="thick">
        <color theme="0"/>
      </left>
      <right style="thin">
        <color theme="0"/>
      </right>
      <top/>
      <bottom style="thin"/>
      <diagonal/>
    </border>
    <border diagonalUp="false" diagonalDown="false">
      <left style="thin">
        <color theme="0"/>
      </left>
      <right/>
      <top/>
      <bottom style="thin"/>
      <diagonal/>
    </border>
    <border diagonalUp="false" diagonalDown="false">
      <left style="thick">
        <color theme="0"/>
      </left>
      <right/>
      <top/>
      <bottom style="thin"/>
      <diagonal/>
    </border>
    <border diagonalUp="false" diagonalDown="false">
      <left style="thick">
        <color theme="0"/>
      </left>
      <right/>
      <top/>
      <bottom/>
      <diagonal/>
    </border>
    <border diagonalUp="false" diagonalDown="false">
      <left style="thick">
        <color theme="0"/>
      </left>
      <right style="dotted">
        <color theme="0" tint="-0.5"/>
      </right>
      <top style="dotted">
        <color theme="0" tint="-0.5"/>
      </top>
      <bottom style="dotted">
        <color theme="0" tint="-0.5"/>
      </bottom>
      <diagonal/>
    </border>
    <border diagonalUp="false" diagonalDown="false">
      <left/>
      <right/>
      <top/>
      <bottom style="thin"/>
      <diagonal/>
    </border>
    <border diagonalUp="false" diagonalDown="false">
      <left style="thin">
        <color theme="0" tint="-0.5"/>
      </left>
      <right/>
      <top style="thin">
        <color theme="0" tint="-0.5"/>
      </top>
      <bottom/>
      <diagonal/>
    </border>
    <border diagonalUp="false" diagonalDown="false">
      <left/>
      <right style="thin">
        <color theme="0" tint="-0.5"/>
      </right>
      <top style="thin">
        <color theme="0" tint="-0.5"/>
      </top>
      <bottom/>
      <diagonal/>
    </border>
    <border diagonalUp="false" diagonalDown="false">
      <left style="thin">
        <color theme="0" tint="-0.5"/>
      </left>
      <right style="thin">
        <color theme="0" tint="-0.5"/>
      </right>
      <top/>
      <bottom style="thin">
        <color theme="0" tint="-0.5"/>
      </bottom>
      <diagonal/>
    </border>
    <border diagonalUp="false" diagonalDown="false">
      <left style="dotted">
        <color theme="0" tint="-0.5"/>
      </left>
      <right style="dotted">
        <color theme="0" tint="-0.5"/>
      </right>
      <top style="thin"/>
      <bottom style="dotted">
        <color theme="0" tint="-0.5"/>
      </bottom>
      <diagonal/>
    </border>
    <border diagonalUp="false" diagonalDown="false">
      <left style="medium"/>
      <right style="medium"/>
      <top style="medium"/>
      <bottom style="medium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183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2" fontId="1" fillId="0" borderId="0" applyFont="true" applyBorder="false" applyAlignment="false" applyProtection="false"/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9" fillId="4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19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4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9" fillId="4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9" fillId="4" borderId="4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70" fontId="19" fillId="4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20" fillId="0" borderId="0" xfId="1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2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4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9" fillId="4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9" fillId="4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6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6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6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8" fillId="6" borderId="9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9" fillId="4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8" fillId="6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6" fillId="6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18" fillId="6" borderId="9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25" fillId="6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6" fillId="6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8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22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22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22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30" fillId="7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0" fontId="19" fillId="7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13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19" fillId="7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7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9" fontId="19" fillId="7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19" fillId="7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19" fillId="7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1" fontId="19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82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18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1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2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0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13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1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19" fillId="4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19" fillId="4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6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9" fontId="19" fillId="4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19" fillId="4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84" fontId="19" fillId="4" borderId="8" xfId="1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13" fillId="0" borderId="0" xfId="1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19" fillId="4" borderId="15" xfId="1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19" fillId="4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13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18" fillId="0" borderId="0" xfId="1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13" fillId="0" borderId="0" xfId="17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5" fontId="13" fillId="0" borderId="0" xfId="1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18" fillId="0" borderId="0" xfId="1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18" fillId="0" borderId="14" xfId="1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6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2" fillId="6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84" fontId="18" fillId="6" borderId="9" xfId="17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5" fontId="18" fillId="6" borderId="9" xfId="17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1" fontId="18" fillId="6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4" fontId="22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4" fontId="2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4" fontId="2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4" fontId="19" fillId="7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19" fillId="7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1" fontId="19" fillId="4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18" fillId="6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8" borderId="9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33" fillId="8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22" fillId="8" borderId="9" xfId="1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22" fillId="8" borderId="9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1" fontId="22" fillId="8" borderId="9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3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8" fillId="6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8" fillId="6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left" vertical="bottom" textRotation="0" wrapText="false" indent="2" shrinkToFit="false"/>
      <protection locked="true" hidden="false"/>
    </xf>
    <xf numFmtId="171" fontId="19" fillId="4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9" fillId="4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8" fillId="6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18" fillId="6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8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81" fontId="34" fillId="8" borderId="9" xfId="15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22" fillId="8" borderId="9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2" fillId="8" borderId="9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1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1" fontId="1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19" fillId="4" borderId="8" xfId="1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1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8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88" fontId="11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1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89" fontId="11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9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90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8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3" fillId="9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1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1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91" fontId="11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92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93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92" fontId="7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8" fontId="4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8" fontId="11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91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5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92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3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93" fontId="11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91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9" fillId="4" borderId="1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9" fillId="4" borderId="1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0" fontId="57" fillId="4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3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2" fontId="57" fillId="4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2" fontId="57" fillId="4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13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8" fillId="6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1" fontId="57" fillId="4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6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2" fontId="58" fillId="6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9" fontId="13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57" fillId="4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57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57" fillId="4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57" fillId="4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4" fontId="18" fillId="6" borderId="9" xfId="17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8" fillId="6" borderId="9" xfId="17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2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5" fontId="18" fillId="6" borderId="9" xfId="17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3" fillId="0" borderId="0" xfId="1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4" fontId="22" fillId="8" borderId="9" xfId="1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4" fontId="22" fillId="8" borderId="21" xfId="1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8" fillId="6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57" fillId="4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1" fontId="57" fillId="4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57" fillId="4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1" fontId="18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1" fontId="18" fillId="0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3" fillId="0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8" fontId="57" fillId="4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9" fontId="57" fillId="4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9" fillId="4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19" fillId="4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6" fillId="6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  <cellStyle name="Normal 2" xfId="21"/>
    <cellStyle name="Normal 3" xfId="22"/>
    <cellStyle name="Percent 2" xfId="23"/>
  </cellStyles>
  <dxfs count="6">
    <dxf>
      <font>
        <color rgb="FF0000FF"/>
      </font>
      <fill>
        <patternFill>
          <bgColor rgb="FFFFFFCC"/>
        </patternFill>
      </fill>
    </dxf>
    <dxf>
      <font>
        <name val="Calibri"/>
        <charset val="1"/>
        <family val="2"/>
        <color rgb="FF000000"/>
        <sz val="11"/>
      </font>
      <alignment horizontal="general" vertical="bottom" textRotation="0" wrapText="false" indent="0" shrinkToFit="false"/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0000"/>
      </font>
    </dxf>
    <dxf>
      <font>
        <color rgb="FFA6A6A6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C00000"/>
      <rgbColor rgb="FF008080"/>
      <rgbColor rgb="FF0000FF"/>
      <rgbColor rgb="FF00CCFF"/>
      <rgbColor rgb="FFE2EFDA"/>
      <rgbColor rgb="FFC6EFCE"/>
      <rgbColor rgb="FFF2F2F2"/>
      <rgbColor rgb="FFE7E6E6"/>
      <rgbColor rgb="FFFF99CC"/>
      <rgbColor rgb="FFCC99FF"/>
      <rgbColor rgb="FFFFC7CE"/>
      <rgbColor rgb="FF4472C4"/>
      <rgbColor rgb="FF33CCCC"/>
      <rgbColor rgb="FF99CC00"/>
      <rgbColor rgb="FFFFC000"/>
      <rgbColor rgb="FFFF9900"/>
      <rgbColor rgb="FFFF6600"/>
      <rgbColor rgb="FF595959"/>
      <rgbColor rgb="FFA6A6A6"/>
      <rgbColor rgb="FF1F3864"/>
      <rgbColor rgb="FF70AD47"/>
      <rgbColor rgb="FF181717"/>
      <rgbColor rgb="FF006100"/>
      <rgbColor rgb="FF993300"/>
      <rgbColor rgb="FF993366"/>
      <rgbColor rgb="FF44546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3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4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5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6.v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7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B2:N5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3" min="3" style="0" width="100"/>
    <col collapsed="false" customWidth="true" hidden="false" outlineLevel="0" max="4" min="4" style="0" width="30"/>
  </cols>
  <sheetData>
    <row r="2" customFormat="false" ht="30" hidden="false" customHeight="true" outlineLevel="0" collapsed="false">
      <c r="B2" s="1" t="s">
        <v>0</v>
      </c>
      <c r="C2" s="2"/>
      <c r="D2" s="2"/>
    </row>
    <row r="4" customFormat="false" ht="28.35" hidden="false" customHeight="false" outlineLevel="0" collapsed="false">
      <c r="B4" s="3" t="s">
        <v>1</v>
      </c>
      <c r="C4" s="4" t="s">
        <v>2</v>
      </c>
    </row>
    <row r="5" customFormat="false" ht="28.35" hidden="false" customHeight="false" outlineLevel="0" collapsed="false">
      <c r="B5" s="3" t="s">
        <v>3</v>
      </c>
      <c r="C5" s="4" t="s">
        <v>4</v>
      </c>
    </row>
    <row r="6" customFormat="false" ht="28.35" hidden="false" customHeight="false" outlineLevel="0" collapsed="false">
      <c r="B6" s="3" t="s">
        <v>5</v>
      </c>
      <c r="C6" s="4" t="s">
        <v>6</v>
      </c>
    </row>
    <row r="7" customFormat="false" ht="28.35" hidden="false" customHeight="false" outlineLevel="0" collapsed="false">
      <c r="B7" s="3" t="s">
        <v>7</v>
      </c>
      <c r="C7" s="4" t="s">
        <v>8</v>
      </c>
    </row>
    <row r="8" customFormat="false" ht="28.35" hidden="false" customHeight="false" outlineLevel="0" collapsed="false">
      <c r="B8" s="3" t="s">
        <v>9</v>
      </c>
      <c r="C8" s="4" t="s">
        <v>10</v>
      </c>
    </row>
    <row r="10" customFormat="false" ht="18" hidden="false" customHeight="true" outlineLevel="0" collapsed="false">
      <c r="B10" s="5" t="s">
        <v>11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</row>
    <row r="12" customFormat="false" ht="15" hidden="false" customHeight="false" outlineLevel="0" collapsed="false">
      <c r="B12" s="7" t="s">
        <v>12</v>
      </c>
      <c r="C12" s="8" t="s">
        <v>13</v>
      </c>
    </row>
    <row r="13" customFormat="false" ht="15" hidden="false" customHeight="false" outlineLevel="0" collapsed="false">
      <c r="B13" s="7" t="s">
        <v>14</v>
      </c>
      <c r="C13" s="8" t="s">
        <v>15</v>
      </c>
    </row>
    <row r="14" customFormat="false" ht="15" hidden="false" customHeight="false" outlineLevel="0" collapsed="false">
      <c r="B14" s="7" t="s">
        <v>16</v>
      </c>
      <c r="C14" s="8" t="s">
        <v>17</v>
      </c>
    </row>
    <row r="15" customFormat="false" ht="15" hidden="false" customHeight="false" outlineLevel="0" collapsed="false">
      <c r="B15" s="7" t="s">
        <v>18</v>
      </c>
      <c r="C15" s="8" t="s">
        <v>19</v>
      </c>
    </row>
    <row r="16" customFormat="false" ht="15" hidden="false" customHeight="false" outlineLevel="0" collapsed="false">
      <c r="B16" s="7" t="s">
        <v>20</v>
      </c>
      <c r="C16" s="8" t="s">
        <v>21</v>
      </c>
    </row>
    <row r="17" customFormat="false" ht="15" hidden="false" customHeight="false" outlineLevel="0" collapsed="false">
      <c r="B17" s="7" t="s">
        <v>22</v>
      </c>
      <c r="C17" s="8" t="s">
        <v>23</v>
      </c>
    </row>
    <row r="18" customFormat="false" ht="15" hidden="false" customHeight="false" outlineLevel="0" collapsed="false">
      <c r="B18" s="7" t="s">
        <v>24</v>
      </c>
      <c r="C18" s="8" t="s">
        <v>25</v>
      </c>
    </row>
    <row r="20" customFormat="false" ht="18" hidden="false" customHeight="true" outlineLevel="0" collapsed="false">
      <c r="B20" s="5" t="s">
        <v>26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</row>
    <row r="22" customFormat="false" ht="15" hidden="false" customHeight="false" outlineLevel="0" collapsed="false">
      <c r="B22" s="9" t="s">
        <v>27</v>
      </c>
    </row>
    <row r="23" customFormat="false" ht="15" hidden="false" customHeight="false" outlineLevel="0" collapsed="false">
      <c r="B23" s="10" t="s">
        <v>28</v>
      </c>
    </row>
    <row r="24" customFormat="false" ht="15" hidden="false" customHeight="false" outlineLevel="0" collapsed="false">
      <c r="B24" s="11" t="s">
        <v>29</v>
      </c>
    </row>
    <row r="25" customFormat="false" ht="15" hidden="false" customHeight="false" outlineLevel="0" collapsed="false">
      <c r="B25" s="12" t="s">
        <v>30</v>
      </c>
    </row>
    <row r="27" customFormat="false" ht="18" hidden="false" customHeight="true" outlineLevel="0" collapsed="false">
      <c r="B27" s="5" t="s">
        <v>31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</row>
    <row r="29" customFormat="false" ht="25.5" hidden="false" customHeight="true" outlineLevel="0" collapsed="false">
      <c r="B29" s="8" t="s">
        <v>32</v>
      </c>
    </row>
    <row r="30" customFormat="false" ht="25.5" hidden="false" customHeight="true" outlineLevel="0" collapsed="false">
      <c r="B30" s="8" t="s">
        <v>33</v>
      </c>
    </row>
    <row r="31" customFormat="false" ht="25.5" hidden="false" customHeight="true" outlineLevel="0" collapsed="false">
      <c r="B31" s="8" t="s">
        <v>34</v>
      </c>
    </row>
    <row r="32" customFormat="false" ht="25.5" hidden="false" customHeight="true" outlineLevel="0" collapsed="false">
      <c r="B32" s="8" t="s">
        <v>35</v>
      </c>
    </row>
    <row r="33" customFormat="false" ht="25.5" hidden="false" customHeight="true" outlineLevel="0" collapsed="false">
      <c r="B33" s="8" t="s">
        <v>36</v>
      </c>
    </row>
    <row r="35" customFormat="false" ht="18" hidden="false" customHeight="true" outlineLevel="0" collapsed="false">
      <c r="B35" s="5" t="s">
        <v>37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</row>
    <row r="37" customFormat="false" ht="25.5" hidden="false" customHeight="true" outlineLevel="0" collapsed="false">
      <c r="B37" s="8" t="s">
        <v>38</v>
      </c>
    </row>
    <row r="38" customFormat="false" ht="25.5" hidden="false" customHeight="true" outlineLevel="0" collapsed="false">
      <c r="B38" s="8" t="s">
        <v>39</v>
      </c>
    </row>
    <row r="39" customFormat="false" ht="25.5" hidden="false" customHeight="true" outlineLevel="0" collapsed="false">
      <c r="B39" s="8" t="s">
        <v>40</v>
      </c>
    </row>
    <row r="40" customFormat="false" ht="25.5" hidden="false" customHeight="true" outlineLevel="0" collapsed="false">
      <c r="B40" s="8" t="s">
        <v>41</v>
      </c>
    </row>
    <row r="41" customFormat="false" ht="25.5" hidden="false" customHeight="true" outlineLevel="0" collapsed="false">
      <c r="B41" s="8" t="s">
        <v>42</v>
      </c>
    </row>
    <row r="42" customFormat="false" ht="25.5" hidden="false" customHeight="true" outlineLevel="0" collapsed="false">
      <c r="B42" s="8" t="s">
        <v>43</v>
      </c>
    </row>
    <row r="43" customFormat="false" ht="25.5" hidden="false" customHeight="true" outlineLevel="0" collapsed="false">
      <c r="B43" s="8" t="s">
        <v>44</v>
      </c>
    </row>
    <row r="45" customFormat="false" ht="18" hidden="false" customHeight="true" outlineLevel="0" collapsed="false">
      <c r="B45" s="5" t="s">
        <v>45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</row>
    <row r="47" customFormat="false" ht="25.5" hidden="false" customHeight="true" outlineLevel="0" collapsed="false">
      <c r="B47" s="8" t="s">
        <v>46</v>
      </c>
    </row>
    <row r="48" customFormat="false" ht="25.5" hidden="false" customHeight="true" outlineLevel="0" collapsed="false">
      <c r="B48" s="8" t="s">
        <v>47</v>
      </c>
    </row>
    <row r="49" customFormat="false" ht="25.5" hidden="false" customHeight="true" outlineLevel="0" collapsed="false">
      <c r="B49" s="8" t="s">
        <v>48</v>
      </c>
    </row>
    <row r="50" customFormat="false" ht="25.5" hidden="false" customHeight="true" outlineLevel="0" collapsed="false">
      <c r="B50" s="8" t="s">
        <v>49</v>
      </c>
    </row>
    <row r="51" customFormat="false" ht="25.5" hidden="false" customHeight="true" outlineLevel="0" collapsed="false">
      <c r="B51" s="8" t="s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C1:CM211"/>
  <sheetViews>
    <sheetView showFormulas="false" showGridLines="false" showRowColHeaders="true" showZeros="true" rightToLeft="false" tabSelected="false" showOutlineSymbols="true" defaultGridColor="true" view="normal" topLeftCell="A1" colorId="64" zoomScale="40" zoomScaleNormal="40" zoomScalePageLayoutView="100" workbookViewId="0">
      <selection pane="topLeft" activeCell="B2" activeCellId="0" sqref="B2"/>
    </sheetView>
  </sheetViews>
  <sheetFormatPr defaultColWidth="8.5390625" defaultRowHeight="14.25" zeroHeight="false" outlineLevelRow="2" outlineLevelCol="1"/>
  <cols>
    <col collapsed="false" customWidth="true" hidden="false" outlineLevel="0" max="4" min="1" style="0" width="2.81"/>
    <col collapsed="false" customWidth="true" hidden="false" outlineLevel="0" max="5" min="5" style="0" width="39.54"/>
    <col collapsed="false" customWidth="true" hidden="false" outlineLevel="0" max="6" min="6" style="0" width="16.54"/>
    <col collapsed="false" customWidth="true" hidden="false" outlineLevel="1" max="7" min="7" style="0" width="12.45"/>
    <col collapsed="false" customWidth="true" hidden="false" outlineLevel="1" max="8" min="8" style="0" width="18"/>
    <col collapsed="false" customWidth="true" hidden="false" outlineLevel="0" max="9" min="9" style="0" width="18.54"/>
    <col collapsed="false" customWidth="true" hidden="false" outlineLevel="0" max="16" min="10" style="0" width="16.54"/>
    <col collapsed="false" customWidth="true" hidden="false" outlineLevel="0" max="18" min="17" style="13" width="16.45"/>
    <col collapsed="false" customWidth="true" hidden="false" outlineLevel="0" max="19" min="19" style="0" width="2.81"/>
    <col collapsed="false" customWidth="true" hidden="false" outlineLevel="0" max="79" min="20" style="0" width="16.54"/>
    <col collapsed="false" customWidth="true" hidden="false" outlineLevel="0" max="80" min="80" style="0" width="2.81"/>
    <col collapsed="false" customWidth="true" hidden="false" outlineLevel="0" max="85" min="81" style="0" width="16.54"/>
    <col collapsed="false" customWidth="true" hidden="false" outlineLevel="0" max="86" min="86" style="0" width="2.81"/>
    <col collapsed="false" customWidth="true" hidden="false" outlineLevel="0" max="91" min="87" style="0" width="16.54"/>
  </cols>
  <sheetData>
    <row r="1" s="14" customFormat="true" ht="16.5" hidden="false" customHeight="true" outlineLevel="1" collapsed="false">
      <c r="L1" s="15" t="n">
        <v>1</v>
      </c>
      <c r="M1" s="15" t="n">
        <v>2</v>
      </c>
      <c r="N1" s="15" t="n">
        <v>3</v>
      </c>
      <c r="O1" s="15" t="n">
        <v>4</v>
      </c>
      <c r="P1" s="15" t="n">
        <v>5</v>
      </c>
      <c r="Q1" s="16"/>
      <c r="R1" s="17" t="n">
        <f aca="false">COUNTIFS($R$78:$R$128, "Error")</f>
        <v>0</v>
      </c>
      <c r="T1" s="17" t="n">
        <v>2026</v>
      </c>
      <c r="U1" s="17" t="n">
        <v>2026</v>
      </c>
      <c r="V1" s="17" t="n">
        <v>2026</v>
      </c>
      <c r="W1" s="17" t="n">
        <v>2026</v>
      </c>
      <c r="X1" s="17" t="n">
        <v>2026</v>
      </c>
      <c r="Y1" s="17" t="n">
        <v>2026</v>
      </c>
      <c r="Z1" s="17" t="n">
        <v>2026</v>
      </c>
      <c r="AA1" s="17" t="n">
        <v>2026</v>
      </c>
      <c r="AB1" s="17" t="n">
        <v>2026</v>
      </c>
      <c r="AC1" s="17" t="n">
        <v>2026</v>
      </c>
      <c r="AD1" s="17" t="n">
        <v>2026</v>
      </c>
      <c r="AE1" s="17" t="n">
        <v>2026</v>
      </c>
      <c r="AF1" s="17" t="n">
        <v>2027</v>
      </c>
      <c r="AG1" s="17" t="n">
        <v>2027</v>
      </c>
      <c r="AH1" s="17" t="n">
        <v>2027</v>
      </c>
      <c r="AI1" s="17" t="n">
        <v>2027</v>
      </c>
      <c r="AJ1" s="17" t="n">
        <v>2027</v>
      </c>
      <c r="AK1" s="17" t="n">
        <v>2027</v>
      </c>
      <c r="AL1" s="17" t="n">
        <v>2027</v>
      </c>
      <c r="AM1" s="17" t="n">
        <v>2027</v>
      </c>
      <c r="AN1" s="17" t="n">
        <v>2027</v>
      </c>
      <c r="AO1" s="17" t="n">
        <v>2027</v>
      </c>
      <c r="AP1" s="17" t="n">
        <v>2027</v>
      </c>
      <c r="AQ1" s="17" t="n">
        <v>2027</v>
      </c>
      <c r="AR1" s="17" t="n">
        <v>2028</v>
      </c>
      <c r="AS1" s="17" t="n">
        <v>2028</v>
      </c>
      <c r="AT1" s="17" t="n">
        <v>2028</v>
      </c>
      <c r="AU1" s="17" t="n">
        <v>2028</v>
      </c>
      <c r="AV1" s="17" t="n">
        <v>2028</v>
      </c>
      <c r="AW1" s="17" t="n">
        <v>2028</v>
      </c>
      <c r="AX1" s="17" t="n">
        <v>2028</v>
      </c>
      <c r="AY1" s="17" t="n">
        <v>2028</v>
      </c>
      <c r="AZ1" s="17" t="n">
        <v>2028</v>
      </c>
      <c r="BA1" s="17" t="n">
        <v>2028</v>
      </c>
      <c r="BB1" s="17" t="n">
        <v>2028</v>
      </c>
      <c r="BC1" s="17" t="n">
        <v>2028</v>
      </c>
      <c r="BD1" s="17" t="n">
        <v>2029</v>
      </c>
      <c r="BE1" s="17" t="n">
        <v>2029</v>
      </c>
      <c r="BF1" s="17" t="n">
        <v>2029</v>
      </c>
      <c r="BG1" s="17" t="n">
        <v>2029</v>
      </c>
      <c r="BH1" s="17" t="n">
        <v>2029</v>
      </c>
      <c r="BI1" s="17" t="n">
        <v>2029</v>
      </c>
      <c r="BJ1" s="17" t="n">
        <v>2029</v>
      </c>
      <c r="BK1" s="17" t="n">
        <v>2029</v>
      </c>
      <c r="BL1" s="17" t="n">
        <v>2029</v>
      </c>
      <c r="BM1" s="17" t="n">
        <v>2029</v>
      </c>
      <c r="BN1" s="17" t="n">
        <v>2029</v>
      </c>
      <c r="BO1" s="17" t="n">
        <v>2029</v>
      </c>
      <c r="BP1" s="17" t="n">
        <v>2030</v>
      </c>
      <c r="BQ1" s="17" t="n">
        <v>2030</v>
      </c>
      <c r="BR1" s="17" t="n">
        <v>2030</v>
      </c>
      <c r="BS1" s="17" t="n">
        <v>2030</v>
      </c>
      <c r="BT1" s="17" t="n">
        <v>2030</v>
      </c>
      <c r="BU1" s="17" t="n">
        <v>2030</v>
      </c>
      <c r="BV1" s="17" t="n">
        <v>2030</v>
      </c>
      <c r="BW1" s="17" t="n">
        <v>2030</v>
      </c>
      <c r="BX1" s="17" t="n">
        <v>2030</v>
      </c>
      <c r="BY1" s="17" t="n">
        <v>2030</v>
      </c>
      <c r="BZ1" s="17" t="n">
        <v>2030</v>
      </c>
      <c r="CA1" s="17" t="n">
        <v>2030</v>
      </c>
      <c r="CI1" s="17" t="n">
        <f aca="false">COUNTIFS(CI$78:CI$159, "FALSE")</f>
        <v>0</v>
      </c>
      <c r="CJ1" s="17" t="n">
        <f aca="false">COUNTIFS(CJ$78:CJ$159, "FALSE")</f>
        <v>4</v>
      </c>
      <c r="CK1" s="17" t="n">
        <f aca="false">COUNTIFS(CK$78:CK$159, "FALSE")</f>
        <v>4</v>
      </c>
      <c r="CL1" s="17" t="n">
        <f aca="false">COUNTIFS(CL$78:CL$159, "FALSE")</f>
        <v>0</v>
      </c>
      <c r="CM1" s="17" t="n">
        <f aca="false">COUNTIFS(CM$78:CM$159, "FALSE")</f>
        <v>0</v>
      </c>
    </row>
    <row r="2" s="14" customFormat="true" ht="16.5" hidden="false" customHeight="true" outlineLevel="1" collapsed="false">
      <c r="L2" s="15"/>
      <c r="M2" s="15"/>
      <c r="N2" s="15"/>
      <c r="O2" s="15"/>
      <c r="P2" s="15"/>
      <c r="Q2" s="16"/>
      <c r="R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I2" s="17"/>
      <c r="CJ2" s="17"/>
      <c r="CK2" s="17"/>
      <c r="CL2" s="17"/>
      <c r="CM2" s="17"/>
    </row>
    <row r="3" s="14" customFormat="true" ht="16.5" hidden="false" customHeight="true" outlineLevel="1" collapsed="false">
      <c r="L3" s="15"/>
      <c r="M3" s="15"/>
      <c r="N3" s="15"/>
      <c r="O3" s="15"/>
      <c r="P3" s="15"/>
      <c r="Q3" s="16"/>
      <c r="R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I3" s="17"/>
      <c r="CJ3" s="17"/>
      <c r="CK3" s="17"/>
      <c r="CL3" s="17"/>
      <c r="CM3" s="17"/>
    </row>
    <row r="4" s="14" customFormat="true" ht="16.5" hidden="false" customHeight="true" outlineLevel="1" collapsed="false">
      <c r="L4" s="15"/>
      <c r="M4" s="15"/>
      <c r="N4" s="15"/>
      <c r="O4" s="15"/>
      <c r="P4" s="15"/>
      <c r="Q4" s="16"/>
      <c r="R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I4" s="17"/>
      <c r="CJ4" s="17"/>
      <c r="CK4" s="17"/>
      <c r="CL4" s="17"/>
      <c r="CM4" s="17"/>
    </row>
    <row r="5" s="14" customFormat="true" ht="16.5" hidden="false" customHeight="true" outlineLevel="1" collapsed="false">
      <c r="L5" s="15"/>
      <c r="M5" s="15"/>
      <c r="N5" s="15"/>
      <c r="O5" s="15"/>
      <c r="P5" s="15"/>
      <c r="Q5" s="16"/>
      <c r="R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I5" s="17"/>
      <c r="CJ5" s="17"/>
      <c r="CK5" s="17"/>
      <c r="CL5" s="17"/>
      <c r="CM5" s="17"/>
    </row>
    <row r="6" s="14" customFormat="true" ht="16.5" hidden="false" customHeight="true" outlineLevel="1" collapsed="false">
      <c r="L6" s="15"/>
      <c r="M6" s="15"/>
      <c r="N6" s="15"/>
      <c r="O6" s="15"/>
      <c r="P6" s="15"/>
      <c r="Q6" s="16"/>
      <c r="R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I6" s="17"/>
      <c r="CJ6" s="17"/>
      <c r="CK6" s="17"/>
      <c r="CL6" s="17"/>
      <c r="CM6" s="17"/>
    </row>
    <row r="7" s="14" customFormat="true" ht="16.5" hidden="false" customHeight="true" outlineLevel="0" collapsed="false">
      <c r="Q7" s="16"/>
      <c r="R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</row>
    <row r="8" s="14" customFormat="true" ht="16.5" hidden="false" customHeight="true" outlineLevel="0" collapsed="false">
      <c r="Q8" s="16"/>
      <c r="R8" s="16"/>
    </row>
    <row r="9" s="14" customFormat="true" ht="30.75" hidden="false" customHeight="true" outlineLevel="0" collapsed="false">
      <c r="C9" s="18" t="str">
        <f aca="false">"#"&amp;$F$13&amp;" Initiative Business Case"</f>
        <v>#123456 Initiative Business Case</v>
      </c>
      <c r="Q9" s="16"/>
      <c r="R9" s="16"/>
    </row>
    <row r="10" s="14" customFormat="true" ht="16.5" hidden="false" customHeight="true" outlineLevel="0" collapsed="false">
      <c r="Q10" s="16"/>
      <c r="R10" s="16"/>
    </row>
    <row r="11" s="14" customFormat="true" ht="16.5" hidden="false" customHeight="true" outlineLevel="0" collapsed="false">
      <c r="C11" s="19" t="s">
        <v>51</v>
      </c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20"/>
      <c r="R11" s="20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19"/>
      <c r="BQ11" s="19"/>
      <c r="BR11" s="1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</row>
    <row r="12" s="14" customFormat="true" ht="16.5" hidden="false" customHeight="true" outlineLevel="0" collapsed="false">
      <c r="Q12" s="16"/>
      <c r="R12" s="16"/>
    </row>
    <row r="13" s="14" customFormat="true" ht="16.5" hidden="false" customHeight="true" outlineLevel="0" collapsed="false">
      <c r="D13" s="21" t="s">
        <v>52</v>
      </c>
      <c r="F13" s="22" t="n">
        <v>123456</v>
      </c>
      <c r="G13" s="23"/>
      <c r="Q13" s="16"/>
      <c r="R13" s="16"/>
    </row>
    <row r="14" customFormat="false" ht="16.5" hidden="false" customHeight="true" outlineLevel="0" collapsed="false">
      <c r="D14" s="21" t="s">
        <v>53</v>
      </c>
      <c r="F14" s="24" t="s">
        <v>54</v>
      </c>
      <c r="G14" s="25"/>
      <c r="I14" s="14"/>
      <c r="J14" s="14"/>
      <c r="K14" s="14"/>
    </row>
    <row r="15" s="14" customFormat="true" ht="16.5" hidden="false" customHeight="true" outlineLevel="0" collapsed="false">
      <c r="D15" s="21" t="s">
        <v>55</v>
      </c>
      <c r="F15" s="26" t="s">
        <v>56</v>
      </c>
      <c r="G15" s="26"/>
      <c r="I15" s="14" t="s">
        <v>57</v>
      </c>
      <c r="Q15" s="16"/>
      <c r="R15" s="16"/>
    </row>
    <row r="16" s="14" customFormat="true" ht="16.5" hidden="false" customHeight="true" outlineLevel="0" collapsed="false">
      <c r="D16" s="21"/>
      <c r="F16" s="26"/>
      <c r="G16" s="26"/>
      <c r="I16" s="14" t="s">
        <v>58</v>
      </c>
      <c r="N16" s="21"/>
      <c r="Q16" s="16"/>
      <c r="R16" s="16"/>
    </row>
    <row r="17" s="14" customFormat="true" ht="16.5" hidden="false" customHeight="true" outlineLevel="0" collapsed="false">
      <c r="F17" s="26"/>
      <c r="G17" s="26"/>
      <c r="Q17" s="16"/>
      <c r="R17" s="16"/>
    </row>
    <row r="18" s="14" customFormat="true" ht="16.5" hidden="false" customHeight="true" outlineLevel="0" collapsed="false">
      <c r="D18" s="21" t="s">
        <v>59</v>
      </c>
      <c r="F18" s="27" t="n">
        <v>46736</v>
      </c>
      <c r="M18" s="21"/>
      <c r="Q18" s="16"/>
      <c r="R18" s="16"/>
    </row>
    <row r="19" s="14" customFormat="true" ht="16.5" hidden="false" customHeight="true" outlineLevel="0" collapsed="false">
      <c r="D19" s="21" t="s">
        <v>60</v>
      </c>
      <c r="F19" s="28" t="n">
        <f aca="false">$K$128</f>
        <v>7.2</v>
      </c>
      <c r="M19" s="21"/>
      <c r="Q19" s="16"/>
      <c r="R19" s="16"/>
    </row>
    <row r="20" s="14" customFormat="true" ht="17.25" hidden="false" customHeight="true" outlineLevel="0" collapsed="false">
      <c r="Q20" s="16"/>
      <c r="R20" s="16"/>
    </row>
    <row r="21" s="14" customFormat="true" ht="16.5" hidden="false" customHeight="true" outlineLevel="0" collapsed="false">
      <c r="C21" s="19" t="s">
        <v>61</v>
      </c>
      <c r="D21" s="19"/>
      <c r="E21" s="19"/>
      <c r="F21" s="19"/>
      <c r="G21" s="19"/>
      <c r="H21" s="19"/>
      <c r="I21" s="19"/>
      <c r="J21" s="19"/>
      <c r="L21" s="19" t="s">
        <v>62</v>
      </c>
      <c r="M21" s="19"/>
      <c r="N21" s="19"/>
      <c r="O21" s="19"/>
      <c r="P21" s="19"/>
      <c r="Q21" s="20"/>
      <c r="R21" s="20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  <c r="BP21" s="19"/>
      <c r="BQ21" s="19"/>
      <c r="BR21" s="19"/>
      <c r="BS21" s="19"/>
      <c r="BT21" s="19"/>
      <c r="BU21" s="19"/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19"/>
      <c r="CH21" s="19"/>
      <c r="CI21" s="19"/>
      <c r="CJ21" s="19"/>
      <c r="CK21" s="19"/>
      <c r="CL21" s="19"/>
      <c r="CM21" s="19"/>
    </row>
    <row r="22" s="14" customFormat="true" ht="17.25" hidden="false" customHeight="true" outlineLevel="0" collapsed="false">
      <c r="Q22" s="16"/>
      <c r="R22" s="16"/>
    </row>
    <row r="23" s="14" customFormat="true" ht="17.25" hidden="false" customHeight="true" outlineLevel="0" collapsed="false">
      <c r="D23" s="29" t="s">
        <v>63</v>
      </c>
      <c r="L23" s="30" t="s">
        <v>64</v>
      </c>
      <c r="M23" s="30"/>
      <c r="N23" s="30"/>
      <c r="O23" s="30"/>
      <c r="P23" s="31" t="s">
        <v>65</v>
      </c>
      <c r="Q23" s="30" t="s">
        <v>66</v>
      </c>
      <c r="R23" s="30"/>
    </row>
    <row r="24" s="14" customFormat="true" ht="17.25" hidden="false" customHeight="true" outlineLevel="0" collapsed="false">
      <c r="D24" s="32" t="s">
        <v>67</v>
      </c>
      <c r="E24" s="33"/>
      <c r="F24" s="33"/>
      <c r="G24" s="33"/>
      <c r="H24" s="32" t="s">
        <v>68</v>
      </c>
      <c r="I24" s="32" t="s">
        <v>69</v>
      </c>
      <c r="J24" s="34" t="s">
        <v>70</v>
      </c>
      <c r="L24" s="14" t="s">
        <v>71</v>
      </c>
      <c r="P24" s="16" t="str">
        <f aca="false">IF($R$1=0, "PASS", "ERROR")</f>
        <v>PASS</v>
      </c>
      <c r="Q24" s="35" t="str">
        <f aca="false">IF(P24="Error", "Check column R for errors", "")</f>
        <v/>
      </c>
      <c r="R24" s="16"/>
    </row>
    <row r="25" s="14" customFormat="true" ht="17.25" hidden="false" customHeight="true" outlineLevel="0" collapsed="false">
      <c r="D25" s="33"/>
      <c r="E25" s="33" t="s">
        <v>72</v>
      </c>
      <c r="F25" s="33"/>
      <c r="G25" s="36" t="s">
        <v>73</v>
      </c>
      <c r="H25" s="33" t="s">
        <v>74</v>
      </c>
      <c r="I25" s="37" t="s">
        <v>75</v>
      </c>
      <c r="J25" s="38" t="n">
        <v>6000</v>
      </c>
      <c r="L25" s="14" t="s">
        <v>76</v>
      </c>
      <c r="P25" s="16" t="str">
        <f aca="false">IF($CI$1=0, "PASS", "ERROR")</f>
        <v>PASS</v>
      </c>
      <c r="Q25" s="35" t="str">
        <f aca="false">IF(P25="Error", "Check column CI for errors", "")</f>
        <v/>
      </c>
      <c r="R25" s="16"/>
    </row>
    <row r="26" s="14" customFormat="true" ht="17.25" hidden="false" customHeight="true" outlineLevel="0" collapsed="false">
      <c r="D26" s="33"/>
      <c r="E26" s="33" t="s">
        <v>77</v>
      </c>
      <c r="F26" s="33"/>
      <c r="G26" s="36" t="s">
        <v>78</v>
      </c>
      <c r="H26" s="33" t="s">
        <v>79</v>
      </c>
      <c r="I26" s="37" t="s">
        <v>80</v>
      </c>
      <c r="J26" s="39" t="n">
        <v>150</v>
      </c>
      <c r="L26" s="14" t="s">
        <v>81</v>
      </c>
      <c r="P26" s="16" t="str">
        <f aca="false">IF($CJ$1=0, "PASS", "ERROR")</f>
        <v>ERROR</v>
      </c>
      <c r="Q26" s="35" t="str">
        <f aca="false">IF(P26="Error", "Check column CJ for errors", "")</f>
        <v>Check column CJ for errors</v>
      </c>
      <c r="R26" s="16"/>
    </row>
    <row r="27" s="14" customFormat="true" ht="17.25" hidden="false" customHeight="true" outlineLevel="0" collapsed="false">
      <c r="D27" s="33"/>
      <c r="E27" s="33" t="s">
        <v>82</v>
      </c>
      <c r="F27" s="33"/>
      <c r="G27" s="36" t="s">
        <v>83</v>
      </c>
      <c r="H27" s="33" t="s">
        <v>84</v>
      </c>
      <c r="I27" s="37" t="s">
        <v>85</v>
      </c>
      <c r="J27" s="39" t="n">
        <v>500</v>
      </c>
      <c r="L27" s="14" t="s">
        <v>86</v>
      </c>
      <c r="P27" s="16" t="str">
        <f aca="false">IF($CK$1=0, "PASS", "ERROR")</f>
        <v>ERROR</v>
      </c>
      <c r="Q27" s="35" t="str">
        <f aca="false">IF(P27="Error", "Check column CK for errors", "")</f>
        <v>Check column CK for errors</v>
      </c>
      <c r="R27" s="16"/>
    </row>
    <row r="28" s="14" customFormat="true" ht="17.25" hidden="false" customHeight="true" outlineLevel="0" collapsed="false">
      <c r="D28" s="33"/>
      <c r="E28" s="33" t="s">
        <v>87</v>
      </c>
      <c r="F28" s="33"/>
      <c r="G28" s="36"/>
      <c r="H28" s="33" t="s">
        <v>79</v>
      </c>
      <c r="I28" s="37" t="s">
        <v>88</v>
      </c>
      <c r="J28" s="39" t="n">
        <v>50000</v>
      </c>
      <c r="L28" s="14" t="s">
        <v>89</v>
      </c>
      <c r="P28" s="16" t="str">
        <f aca="false">IF($CL$1=0, "PASS", "ERROR")</f>
        <v>PASS</v>
      </c>
      <c r="Q28" s="35" t="str">
        <f aca="false">IF(P28="Error", "Check column CL for errors", "")</f>
        <v/>
      </c>
      <c r="R28" s="16"/>
    </row>
    <row r="29" s="14" customFormat="true" ht="17.25" hidden="false" customHeight="true" outlineLevel="0" collapsed="false">
      <c r="D29" s="33"/>
      <c r="E29" s="40" t="s">
        <v>90</v>
      </c>
      <c r="F29" s="40"/>
      <c r="G29" s="41" t="s">
        <v>91</v>
      </c>
      <c r="H29" s="40" t="s">
        <v>74</v>
      </c>
      <c r="I29" s="42" t="s">
        <v>92</v>
      </c>
      <c r="J29" s="43" t="n">
        <f aca="false">(J27*J28)/1000000</f>
        <v>25</v>
      </c>
      <c r="L29" s="14" t="s">
        <v>93</v>
      </c>
      <c r="P29" s="16" t="str">
        <f aca="false">IF($CM$1=0, "PASS", "ERROR")</f>
        <v>PASS</v>
      </c>
      <c r="Q29" s="35" t="str">
        <f aca="false">IF(P29="Error", "Check column CM for errors", "")</f>
        <v/>
      </c>
      <c r="R29" s="16"/>
    </row>
    <row r="30" s="14" customFormat="true" ht="17.25" hidden="false" customHeight="true" outlineLevel="0" collapsed="false">
      <c r="D30" s="33"/>
      <c r="E30" s="33"/>
      <c r="F30" s="33"/>
      <c r="G30" s="36"/>
      <c r="H30" s="33"/>
      <c r="I30" s="37"/>
      <c r="J30" s="33"/>
      <c r="Q30" s="16"/>
      <c r="R30" s="16"/>
    </row>
    <row r="31" s="14" customFormat="true" ht="17.25" hidden="false" customHeight="true" outlineLevel="0" collapsed="false">
      <c r="D31" s="32" t="s">
        <v>94</v>
      </c>
      <c r="E31" s="33"/>
      <c r="F31" s="33"/>
      <c r="G31" s="36"/>
      <c r="H31" s="32"/>
      <c r="I31" s="32"/>
      <c r="J31" s="34"/>
      <c r="Q31" s="16"/>
      <c r="R31" s="16"/>
      <c r="Y31" s="14" t="s">
        <v>95</v>
      </c>
    </row>
    <row r="32" s="14" customFormat="true" ht="17.25" hidden="false" customHeight="true" outlineLevel="0" collapsed="false">
      <c r="D32" s="33"/>
      <c r="E32" s="33" t="s">
        <v>72</v>
      </c>
      <c r="F32" s="33"/>
      <c r="G32" s="36" t="s">
        <v>96</v>
      </c>
      <c r="H32" s="33"/>
      <c r="I32" s="37" t="s">
        <v>75</v>
      </c>
      <c r="J32" s="44" t="n">
        <v>4000</v>
      </c>
      <c r="Q32" s="16"/>
      <c r="R32" s="16"/>
    </row>
    <row r="33" s="14" customFormat="true" ht="17.25" hidden="false" customHeight="true" outlineLevel="0" collapsed="false">
      <c r="D33" s="33"/>
      <c r="E33" s="33" t="s">
        <v>77</v>
      </c>
      <c r="F33" s="33"/>
      <c r="G33" s="36" t="s">
        <v>97</v>
      </c>
      <c r="H33" s="33"/>
      <c r="I33" s="37" t="s">
        <v>80</v>
      </c>
      <c r="J33" s="44" t="n">
        <v>120</v>
      </c>
      <c r="Q33" s="16"/>
      <c r="R33" s="16"/>
    </row>
    <row r="34" s="14" customFormat="true" ht="17.25" hidden="false" customHeight="true" outlineLevel="0" collapsed="false">
      <c r="D34" s="33"/>
      <c r="E34" s="33" t="s">
        <v>82</v>
      </c>
      <c r="F34" s="33"/>
      <c r="G34" s="36" t="s">
        <v>98</v>
      </c>
      <c r="H34" s="33"/>
      <c r="I34" s="37" t="s">
        <v>85</v>
      </c>
      <c r="J34" s="39" t="n">
        <v>260</v>
      </c>
      <c r="Q34" s="16"/>
      <c r="R34" s="16"/>
    </row>
    <row r="35" s="14" customFormat="true" ht="17.25" hidden="false" customHeight="true" outlineLevel="0" collapsed="false">
      <c r="D35" s="33"/>
      <c r="E35" s="33" t="s">
        <v>87</v>
      </c>
      <c r="F35" s="33"/>
      <c r="G35" s="36"/>
      <c r="H35" s="33"/>
      <c r="I35" s="37" t="s">
        <v>88</v>
      </c>
      <c r="J35" s="44" t="n">
        <f aca="false">J28</f>
        <v>50000</v>
      </c>
      <c r="Q35" s="16"/>
      <c r="R35" s="16"/>
    </row>
    <row r="36" s="14" customFormat="true" ht="17.25" hidden="false" customHeight="true" outlineLevel="0" collapsed="false">
      <c r="D36" s="33"/>
      <c r="E36" s="40" t="s">
        <v>90</v>
      </c>
      <c r="F36" s="40"/>
      <c r="G36" s="41" t="s">
        <v>99</v>
      </c>
      <c r="H36" s="40" t="s">
        <v>100</v>
      </c>
      <c r="I36" s="42" t="s">
        <v>92</v>
      </c>
      <c r="J36" s="43" t="n">
        <f aca="false">(J34*J35)/1000000</f>
        <v>13</v>
      </c>
      <c r="K36" s="45"/>
      <c r="Q36" s="16"/>
      <c r="R36" s="16"/>
    </row>
    <row r="37" s="14" customFormat="true" ht="17.25" hidden="false" customHeight="true" outlineLevel="0" collapsed="false">
      <c r="D37" s="33"/>
      <c r="E37" s="46"/>
      <c r="F37" s="46"/>
      <c r="G37" s="47"/>
      <c r="H37" s="46"/>
      <c r="I37" s="48"/>
      <c r="J37" s="49"/>
      <c r="K37" s="50"/>
      <c r="Q37" s="16"/>
      <c r="R37" s="16"/>
    </row>
    <row r="38" s="14" customFormat="true" ht="17.25" hidden="false" customHeight="true" outlineLevel="0" collapsed="false">
      <c r="D38" s="32" t="s">
        <v>101</v>
      </c>
      <c r="E38" s="46"/>
      <c r="F38" s="46"/>
      <c r="G38" s="47"/>
      <c r="H38" s="46"/>
      <c r="I38" s="48"/>
      <c r="J38" s="49"/>
      <c r="K38" s="50"/>
      <c r="L38" s="51"/>
      <c r="Q38" s="16"/>
      <c r="R38" s="16"/>
    </row>
    <row r="39" s="14" customFormat="true" ht="17.25" hidden="false" customHeight="true" outlineLevel="0" collapsed="false">
      <c r="D39" s="32"/>
      <c r="E39" s="33" t="s">
        <v>72</v>
      </c>
      <c r="F39" s="46"/>
      <c r="G39" s="36" t="s">
        <v>102</v>
      </c>
      <c r="H39" s="46"/>
      <c r="I39" s="37" t="s">
        <v>75</v>
      </c>
      <c r="J39" s="52" t="n">
        <f aca="false">J25-J32</f>
        <v>2000</v>
      </c>
      <c r="Q39" s="16"/>
      <c r="R39" s="16"/>
    </row>
    <row r="40" s="14" customFormat="true" ht="17.25" hidden="false" customHeight="true" outlineLevel="0" collapsed="false">
      <c r="D40" s="32"/>
      <c r="E40" s="33" t="s">
        <v>77</v>
      </c>
      <c r="F40" s="46"/>
      <c r="G40" s="36" t="s">
        <v>103</v>
      </c>
      <c r="H40" s="46"/>
      <c r="I40" s="37" t="s">
        <v>80</v>
      </c>
      <c r="J40" s="52" t="n">
        <f aca="false">J26-J33</f>
        <v>30</v>
      </c>
      <c r="Q40" s="16"/>
      <c r="R40" s="16"/>
    </row>
    <row r="41" s="14" customFormat="true" ht="17.25" hidden="false" customHeight="true" outlineLevel="0" collapsed="false">
      <c r="D41" s="32"/>
      <c r="E41" s="33" t="s">
        <v>82</v>
      </c>
      <c r="F41" s="46"/>
      <c r="G41" s="36" t="s">
        <v>104</v>
      </c>
      <c r="H41" s="46"/>
      <c r="I41" s="37" t="s">
        <v>85</v>
      </c>
      <c r="J41" s="52" t="n">
        <f aca="false">J27-J34</f>
        <v>240</v>
      </c>
      <c r="Q41" s="16"/>
      <c r="R41" s="16"/>
    </row>
    <row r="42" s="14" customFormat="true" ht="17.25" hidden="false" customHeight="true" outlineLevel="0" collapsed="false">
      <c r="D42" s="32"/>
      <c r="E42" s="33" t="s">
        <v>105</v>
      </c>
      <c r="F42" s="46"/>
      <c r="G42" s="36" t="s">
        <v>106</v>
      </c>
      <c r="H42" s="46"/>
      <c r="I42" s="48" t="s">
        <v>107</v>
      </c>
      <c r="J42" s="52" t="n">
        <f aca="false">J29-J36</f>
        <v>12</v>
      </c>
      <c r="Q42" s="16"/>
      <c r="R42" s="16"/>
    </row>
    <row r="43" s="14" customFormat="true" ht="17.25" hidden="true" customHeight="true" outlineLevel="1" collapsed="false">
      <c r="D43" s="32" t="s">
        <v>67</v>
      </c>
      <c r="E43" s="33"/>
      <c r="F43" s="33"/>
      <c r="G43" s="33"/>
      <c r="H43" s="32" t="s">
        <v>68</v>
      </c>
      <c r="I43" s="42" t="s">
        <v>92</v>
      </c>
      <c r="J43" s="34" t="s">
        <v>70</v>
      </c>
      <c r="Q43" s="16"/>
      <c r="R43" s="16"/>
    </row>
    <row r="44" s="14" customFormat="true" ht="17.25" hidden="true" customHeight="true" outlineLevel="1" collapsed="false">
      <c r="D44" s="33"/>
      <c r="E44" s="33" t="s">
        <v>108</v>
      </c>
      <c r="F44" s="33"/>
      <c r="G44" s="36"/>
      <c r="H44" s="33" t="s">
        <v>74</v>
      </c>
      <c r="I44" s="37" t="s">
        <v>108</v>
      </c>
      <c r="J44" s="38" t="n">
        <v>12000000</v>
      </c>
      <c r="Q44" s="16"/>
      <c r="R44" s="16"/>
    </row>
    <row r="45" s="14" customFormat="true" ht="17.25" hidden="true" customHeight="true" outlineLevel="1" collapsed="false">
      <c r="D45" s="33"/>
      <c r="E45" s="33" t="s">
        <v>109</v>
      </c>
      <c r="F45" s="33"/>
      <c r="G45" s="36" t="s">
        <v>73</v>
      </c>
      <c r="H45" s="33" t="s">
        <v>74</v>
      </c>
      <c r="I45" s="37" t="s">
        <v>110</v>
      </c>
      <c r="J45" s="39" t="n">
        <v>0.14</v>
      </c>
      <c r="Q45" s="16"/>
      <c r="R45" s="16"/>
    </row>
    <row r="46" s="14" customFormat="true" ht="17.25" hidden="true" customHeight="true" outlineLevel="1" collapsed="false">
      <c r="D46" s="33"/>
      <c r="E46" s="40" t="s">
        <v>111</v>
      </c>
      <c r="F46" s="40"/>
      <c r="G46" s="41" t="s">
        <v>78</v>
      </c>
      <c r="H46" s="40" t="s">
        <v>74</v>
      </c>
      <c r="I46" s="42" t="s">
        <v>112</v>
      </c>
      <c r="J46" s="53" t="n">
        <f aca="false">(J44*J45)/1000</f>
        <v>1680</v>
      </c>
      <c r="Q46" s="16"/>
      <c r="R46" s="16"/>
    </row>
    <row r="47" s="14" customFormat="true" ht="17.25" hidden="true" customHeight="true" outlineLevel="1" collapsed="false">
      <c r="D47" s="33"/>
      <c r="E47" s="33"/>
      <c r="F47" s="33"/>
      <c r="G47" s="36"/>
      <c r="H47" s="33"/>
      <c r="I47" s="37"/>
      <c r="J47" s="33"/>
      <c r="Q47" s="16"/>
      <c r="R47" s="16"/>
    </row>
    <row r="48" s="14" customFormat="true" ht="17.25" hidden="true" customHeight="true" outlineLevel="1" collapsed="false">
      <c r="D48" s="32" t="s">
        <v>94</v>
      </c>
      <c r="E48" s="33"/>
      <c r="F48" s="33"/>
      <c r="G48" s="36"/>
      <c r="H48" s="32"/>
      <c r="I48" s="32"/>
      <c r="J48" s="34"/>
      <c r="Q48" s="16"/>
      <c r="R48" s="16"/>
    </row>
    <row r="49" s="14" customFormat="true" ht="17.25" hidden="true" customHeight="true" outlineLevel="1" collapsed="false">
      <c r="D49" s="33"/>
      <c r="E49" s="33" t="s">
        <v>108</v>
      </c>
      <c r="F49" s="33"/>
      <c r="G49" s="36"/>
      <c r="H49" s="33" t="s">
        <v>74</v>
      </c>
      <c r="I49" s="37" t="s">
        <v>108</v>
      </c>
      <c r="J49" s="54" t="n">
        <f aca="false">$J$25</f>
        <v>6000</v>
      </c>
      <c r="Q49" s="16"/>
      <c r="R49" s="16"/>
    </row>
    <row r="50" s="14" customFormat="true" ht="17.25" hidden="true" customHeight="true" outlineLevel="1" collapsed="false">
      <c r="D50" s="33"/>
      <c r="E50" s="33" t="s">
        <v>109</v>
      </c>
      <c r="F50" s="33"/>
      <c r="G50" s="36" t="s">
        <v>83</v>
      </c>
      <c r="H50" s="33" t="s">
        <v>100</v>
      </c>
      <c r="I50" s="37" t="s">
        <v>110</v>
      </c>
      <c r="J50" s="44" t="n">
        <v>0.1</v>
      </c>
      <c r="Q50" s="16"/>
      <c r="R50" s="16"/>
    </row>
    <row r="51" s="14" customFormat="true" ht="17.25" hidden="true" customHeight="true" outlineLevel="1" collapsed="false">
      <c r="D51" s="33"/>
      <c r="E51" s="40" t="s">
        <v>111</v>
      </c>
      <c r="F51" s="40"/>
      <c r="G51" s="41" t="s">
        <v>91</v>
      </c>
      <c r="H51" s="40" t="s">
        <v>100</v>
      </c>
      <c r="I51" s="42" t="s">
        <v>112</v>
      </c>
      <c r="J51" s="53" t="n">
        <f aca="false">(J49*J50)/1000</f>
        <v>0.6</v>
      </c>
      <c r="Q51" s="16"/>
      <c r="R51" s="16"/>
    </row>
    <row r="52" s="14" customFormat="true" ht="17.25" hidden="true" customHeight="true" outlineLevel="1" collapsed="false">
      <c r="D52" s="33"/>
      <c r="E52" s="46"/>
      <c r="F52" s="46"/>
      <c r="G52" s="47"/>
      <c r="H52" s="46"/>
      <c r="I52" s="48"/>
      <c r="J52" s="49"/>
      <c r="Q52" s="16"/>
      <c r="R52" s="16"/>
    </row>
    <row r="53" s="14" customFormat="true" ht="17.25" hidden="true" customHeight="true" outlineLevel="1" collapsed="false">
      <c r="D53" s="32" t="s">
        <v>101</v>
      </c>
      <c r="E53" s="46"/>
      <c r="F53" s="46"/>
      <c r="G53" s="47"/>
      <c r="H53" s="46"/>
      <c r="I53" s="48"/>
      <c r="J53" s="49"/>
      <c r="Q53" s="16"/>
      <c r="R53" s="16"/>
    </row>
    <row r="54" s="14" customFormat="true" ht="17.25" hidden="true" customHeight="true" outlineLevel="1" collapsed="false">
      <c r="D54" s="32"/>
      <c r="E54" s="33" t="str">
        <f aca="false">E50</f>
        <v>xxxx unit cost</v>
      </c>
      <c r="F54" s="46"/>
      <c r="G54" s="36" t="s">
        <v>113</v>
      </c>
      <c r="H54" s="46"/>
      <c r="I54" s="37" t="s">
        <v>114</v>
      </c>
      <c r="J54" s="52" t="n">
        <f aca="false">J45-J50</f>
        <v>0.04</v>
      </c>
      <c r="Q54" s="16"/>
      <c r="R54" s="16"/>
    </row>
    <row r="55" s="14" customFormat="true" ht="17.25" hidden="true" customHeight="true" outlineLevel="1" collapsed="false">
      <c r="D55" s="32"/>
      <c r="E55" s="33" t="str">
        <f aca="false">E51</f>
        <v>xxxx total spend</v>
      </c>
      <c r="F55" s="46"/>
      <c r="G55" s="36" t="s">
        <v>115</v>
      </c>
      <c r="H55" s="46"/>
      <c r="I55" s="37" t="s">
        <v>112</v>
      </c>
      <c r="J55" s="55" t="n">
        <f aca="false">J46-J51</f>
        <v>1679.4</v>
      </c>
      <c r="Q55" s="16"/>
      <c r="R55" s="16"/>
    </row>
    <row r="56" s="14" customFormat="true" ht="17.25" hidden="true" customHeight="true" outlineLevel="1" collapsed="false">
      <c r="E56" s="21"/>
      <c r="F56" s="21"/>
      <c r="G56" s="21"/>
      <c r="H56" s="21"/>
      <c r="I56" s="56"/>
      <c r="J56" s="57"/>
      <c r="Q56" s="16"/>
      <c r="R56" s="16"/>
    </row>
    <row r="57" s="14" customFormat="true" ht="17.25" hidden="false" customHeight="true" outlineLevel="0" collapsed="false">
      <c r="E57" s="21"/>
      <c r="F57" s="21"/>
      <c r="G57" s="21"/>
      <c r="H57" s="21"/>
      <c r="I57" s="56"/>
      <c r="J57" s="57"/>
      <c r="Q57" s="16"/>
      <c r="R57" s="16"/>
    </row>
    <row r="58" s="14" customFormat="true" ht="17.25" hidden="true" customHeight="true" outlineLevel="1" collapsed="false">
      <c r="D58" s="32" t="s">
        <v>67</v>
      </c>
      <c r="E58" s="33"/>
      <c r="F58" s="33"/>
      <c r="G58" s="33"/>
      <c r="H58" s="32" t="s">
        <v>68</v>
      </c>
      <c r="I58" s="32" t="s">
        <v>69</v>
      </c>
      <c r="J58" s="34" t="s">
        <v>70</v>
      </c>
      <c r="Q58" s="16"/>
      <c r="R58" s="16"/>
    </row>
    <row r="59" s="14" customFormat="true" ht="17.25" hidden="true" customHeight="true" outlineLevel="1" collapsed="false">
      <c r="D59" s="33"/>
      <c r="E59" s="33" t="s">
        <v>108</v>
      </c>
      <c r="F59" s="33"/>
      <c r="G59" s="36"/>
      <c r="H59" s="33" t="s">
        <v>74</v>
      </c>
      <c r="I59" s="37" t="s">
        <v>108</v>
      </c>
      <c r="J59" s="38" t="n">
        <v>12000000</v>
      </c>
      <c r="Q59" s="16"/>
      <c r="R59" s="16"/>
    </row>
    <row r="60" s="14" customFormat="true" ht="17.25" hidden="true" customHeight="true" outlineLevel="1" collapsed="false">
      <c r="D60" s="33"/>
      <c r="E60" s="33" t="s">
        <v>109</v>
      </c>
      <c r="F60" s="33"/>
      <c r="G60" s="36" t="s">
        <v>73</v>
      </c>
      <c r="H60" s="33" t="s">
        <v>74</v>
      </c>
      <c r="I60" s="37" t="s">
        <v>110</v>
      </c>
      <c r="J60" s="39" t="n">
        <v>0.14</v>
      </c>
      <c r="Q60" s="16"/>
      <c r="R60" s="16"/>
    </row>
    <row r="61" s="14" customFormat="true" ht="17.25" hidden="true" customHeight="true" outlineLevel="1" collapsed="false">
      <c r="D61" s="33"/>
      <c r="E61" s="40" t="s">
        <v>111</v>
      </c>
      <c r="F61" s="40"/>
      <c r="G61" s="41" t="s">
        <v>78</v>
      </c>
      <c r="H61" s="40" t="s">
        <v>74</v>
      </c>
      <c r="I61" s="42" t="s">
        <v>112</v>
      </c>
      <c r="J61" s="53" t="n">
        <f aca="false">(J59*J60)/1000</f>
        <v>1680</v>
      </c>
      <c r="Q61" s="16"/>
      <c r="R61" s="16"/>
    </row>
    <row r="62" s="14" customFormat="true" ht="17.25" hidden="true" customHeight="true" outlineLevel="1" collapsed="false">
      <c r="D62" s="33"/>
      <c r="E62" s="33"/>
      <c r="F62" s="33"/>
      <c r="G62" s="36"/>
      <c r="H62" s="33"/>
      <c r="I62" s="37"/>
      <c r="J62" s="33"/>
      <c r="Q62" s="16"/>
      <c r="R62" s="16"/>
    </row>
    <row r="63" s="14" customFormat="true" ht="17.25" hidden="true" customHeight="true" outlineLevel="1" collapsed="false">
      <c r="D63" s="32" t="s">
        <v>94</v>
      </c>
      <c r="E63" s="33"/>
      <c r="F63" s="33"/>
      <c r="G63" s="36"/>
      <c r="H63" s="32"/>
      <c r="I63" s="32"/>
      <c r="J63" s="34"/>
      <c r="Q63" s="16"/>
      <c r="R63" s="16"/>
    </row>
    <row r="64" s="14" customFormat="true" ht="17.25" hidden="true" customHeight="true" outlineLevel="1" collapsed="false">
      <c r="D64" s="33"/>
      <c r="E64" s="33" t="s">
        <v>108</v>
      </c>
      <c r="F64" s="33"/>
      <c r="G64" s="36"/>
      <c r="H64" s="33" t="s">
        <v>74</v>
      </c>
      <c r="I64" s="37" t="s">
        <v>108</v>
      </c>
      <c r="J64" s="54" t="n">
        <f aca="false">$J$25</f>
        <v>6000</v>
      </c>
      <c r="Q64" s="16"/>
      <c r="R64" s="16"/>
    </row>
    <row r="65" s="14" customFormat="true" ht="17.25" hidden="true" customHeight="true" outlineLevel="1" collapsed="false">
      <c r="D65" s="33"/>
      <c r="E65" s="33" t="s">
        <v>109</v>
      </c>
      <c r="F65" s="33"/>
      <c r="G65" s="36" t="s">
        <v>83</v>
      </c>
      <c r="H65" s="33" t="s">
        <v>100</v>
      </c>
      <c r="I65" s="37" t="s">
        <v>110</v>
      </c>
      <c r="J65" s="44" t="n">
        <v>0.1</v>
      </c>
      <c r="Q65" s="16"/>
      <c r="R65" s="16"/>
    </row>
    <row r="66" s="14" customFormat="true" ht="17.25" hidden="true" customHeight="true" outlineLevel="1" collapsed="false">
      <c r="D66" s="33"/>
      <c r="E66" s="40" t="s">
        <v>111</v>
      </c>
      <c r="F66" s="40"/>
      <c r="G66" s="41" t="s">
        <v>91</v>
      </c>
      <c r="H66" s="40" t="s">
        <v>100</v>
      </c>
      <c r="I66" s="42" t="s">
        <v>112</v>
      </c>
      <c r="J66" s="53" t="n">
        <f aca="false">(J64*J65)/1000</f>
        <v>0.6</v>
      </c>
      <c r="Q66" s="16"/>
      <c r="R66" s="16"/>
    </row>
    <row r="67" s="14" customFormat="true" ht="17.25" hidden="true" customHeight="true" outlineLevel="1" collapsed="false">
      <c r="D67" s="33"/>
      <c r="E67" s="46"/>
      <c r="F67" s="46"/>
      <c r="G67" s="47"/>
      <c r="H67" s="46"/>
      <c r="I67" s="48"/>
      <c r="J67" s="49"/>
      <c r="Q67" s="16"/>
      <c r="R67" s="16"/>
    </row>
    <row r="68" s="14" customFormat="true" ht="17.25" hidden="true" customHeight="true" outlineLevel="1" collapsed="false">
      <c r="D68" s="32" t="s">
        <v>101</v>
      </c>
      <c r="E68" s="46"/>
      <c r="F68" s="46"/>
      <c r="G68" s="47"/>
      <c r="H68" s="46"/>
      <c r="I68" s="48"/>
      <c r="J68" s="49"/>
      <c r="Q68" s="16"/>
      <c r="R68" s="16"/>
    </row>
    <row r="69" s="14" customFormat="true" ht="17.25" hidden="true" customHeight="true" outlineLevel="1" collapsed="false">
      <c r="D69" s="32"/>
      <c r="E69" s="33" t="str">
        <f aca="false">E65</f>
        <v>xxxx unit cost</v>
      </c>
      <c r="F69" s="46"/>
      <c r="G69" s="36" t="s">
        <v>113</v>
      </c>
      <c r="H69" s="46"/>
      <c r="I69" s="37" t="s">
        <v>114</v>
      </c>
      <c r="J69" s="52" t="n">
        <f aca="false">J60-J65</f>
        <v>0.04</v>
      </c>
      <c r="Q69" s="16"/>
      <c r="R69" s="16"/>
    </row>
    <row r="70" s="14" customFormat="true" ht="17.25" hidden="true" customHeight="true" outlineLevel="1" collapsed="false">
      <c r="D70" s="32"/>
      <c r="E70" s="33" t="str">
        <f aca="false">E66</f>
        <v>xxxx total spend</v>
      </c>
      <c r="F70" s="46"/>
      <c r="G70" s="36" t="s">
        <v>115</v>
      </c>
      <c r="H70" s="46"/>
      <c r="I70" s="37" t="s">
        <v>112</v>
      </c>
      <c r="J70" s="55" t="n">
        <f aca="false">J61-J66</f>
        <v>1679.4</v>
      </c>
      <c r="Q70" s="16"/>
      <c r="R70" s="16"/>
    </row>
    <row r="71" s="14" customFormat="true" ht="17.25" hidden="true" customHeight="true" outlineLevel="1" collapsed="false">
      <c r="E71" s="21"/>
      <c r="F71" s="21"/>
      <c r="G71" s="21"/>
      <c r="H71" s="21"/>
      <c r="I71" s="56"/>
      <c r="J71" s="57"/>
      <c r="Q71" s="16"/>
      <c r="R71" s="16"/>
    </row>
    <row r="72" s="14" customFormat="true" ht="16.5" hidden="true" customHeight="true" outlineLevel="1" collapsed="false">
      <c r="H72" s="58"/>
      <c r="Q72" s="16"/>
      <c r="R72" s="16"/>
    </row>
    <row r="73" s="14" customFormat="true" ht="16.5" hidden="false" customHeight="true" outlineLevel="0" collapsed="false">
      <c r="C73" s="19" t="s">
        <v>116</v>
      </c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20"/>
      <c r="R73" s="20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/>
      <c r="BJ73" s="19"/>
      <c r="BK73" s="19"/>
      <c r="BL73" s="19"/>
      <c r="BM73" s="19"/>
      <c r="BN73" s="19"/>
      <c r="BO73" s="19"/>
      <c r="BP73" s="19"/>
      <c r="BQ73" s="19"/>
      <c r="BR73" s="19"/>
      <c r="BS73" s="19"/>
      <c r="BT73" s="19"/>
      <c r="BU73" s="19"/>
      <c r="BV73" s="19"/>
      <c r="BW73" s="19"/>
      <c r="BX73" s="19"/>
      <c r="BY73" s="19"/>
      <c r="BZ73" s="19"/>
      <c r="CA73" s="19"/>
      <c r="CC73" s="19" t="s">
        <v>117</v>
      </c>
      <c r="CD73" s="19"/>
      <c r="CE73" s="19"/>
      <c r="CF73" s="19"/>
      <c r="CG73" s="19"/>
      <c r="CI73" s="19" t="s">
        <v>118</v>
      </c>
      <c r="CJ73" s="19"/>
      <c r="CK73" s="19"/>
      <c r="CL73" s="19"/>
      <c r="CM73" s="19"/>
    </row>
    <row r="74" s="14" customFormat="true" ht="16.5" hidden="false" customHeight="true" outlineLevel="0" collapsed="false">
      <c r="Q74" s="16"/>
    </row>
    <row r="75" s="14" customFormat="true" ht="16.5" hidden="false" customHeight="true" outlineLevel="0" collapsed="false">
      <c r="D75" s="30" t="s">
        <v>119</v>
      </c>
      <c r="E75" s="31"/>
      <c r="F75" s="31"/>
      <c r="G75" s="31"/>
      <c r="H75" s="30" t="s">
        <v>120</v>
      </c>
      <c r="I75" s="31" t="s">
        <v>67</v>
      </c>
      <c r="J75" s="31" t="s">
        <v>94</v>
      </c>
      <c r="K75" s="31" t="s">
        <v>121</v>
      </c>
      <c r="L75" s="31" t="n">
        <v>2026</v>
      </c>
      <c r="M75" s="31" t="n">
        <f aca="false">L75+1</f>
        <v>2027</v>
      </c>
      <c r="N75" s="31" t="n">
        <f aca="false">M75+1</f>
        <v>2028</v>
      </c>
      <c r="O75" s="31" t="n">
        <f aca="false">N75+1</f>
        <v>2029</v>
      </c>
      <c r="P75" s="31" t="n">
        <f aca="false">O75+1</f>
        <v>2030</v>
      </c>
      <c r="Q75" s="31" t="s">
        <v>122</v>
      </c>
      <c r="R75" s="31" t="s">
        <v>65</v>
      </c>
      <c r="T75" s="59" t="n">
        <v>46023</v>
      </c>
      <c r="U75" s="60" t="n">
        <f aca="false">EOMONTH(T75, 1)</f>
        <v>46081</v>
      </c>
      <c r="V75" s="60" t="n">
        <f aca="false">EOMONTH(U75, 1)</f>
        <v>46112</v>
      </c>
      <c r="W75" s="60" t="n">
        <f aca="false">EOMONTH(V75, 1)</f>
        <v>46142</v>
      </c>
      <c r="X75" s="60" t="n">
        <f aca="false">EOMONTH(W75, 1)</f>
        <v>46173</v>
      </c>
      <c r="Y75" s="60" t="n">
        <f aca="false">EOMONTH(X75, 1)</f>
        <v>46203</v>
      </c>
      <c r="Z75" s="60" t="n">
        <f aca="false">EOMONTH(Y75, 1)</f>
        <v>46234</v>
      </c>
      <c r="AA75" s="60" t="n">
        <f aca="false">EOMONTH(Z75, 1)</f>
        <v>46265</v>
      </c>
      <c r="AB75" s="60" t="n">
        <f aca="false">EOMONTH(AA75, 1)</f>
        <v>46295</v>
      </c>
      <c r="AC75" s="60" t="n">
        <f aca="false">EOMONTH(AB75, 1)</f>
        <v>46326</v>
      </c>
      <c r="AD75" s="60" t="n">
        <f aca="false">EOMONTH(AC75, 1)</f>
        <v>46356</v>
      </c>
      <c r="AE75" s="61" t="n">
        <f aca="false">EOMONTH(AD75, 1)</f>
        <v>46387</v>
      </c>
      <c r="AF75" s="59" t="n">
        <f aca="false">EOMONTH(AE75, 1)</f>
        <v>46418</v>
      </c>
      <c r="AG75" s="60" t="n">
        <f aca="false">EOMONTH(AF75, 1)</f>
        <v>46446</v>
      </c>
      <c r="AH75" s="60" t="n">
        <f aca="false">EOMONTH(AG75, 1)</f>
        <v>46477</v>
      </c>
      <c r="AI75" s="60" t="n">
        <f aca="false">EOMONTH(AH75, 1)</f>
        <v>46507</v>
      </c>
      <c r="AJ75" s="60" t="n">
        <f aca="false">EOMONTH(AI75, 1)</f>
        <v>46538</v>
      </c>
      <c r="AK75" s="60" t="n">
        <f aca="false">EOMONTH(AJ75, 1)</f>
        <v>46568</v>
      </c>
      <c r="AL75" s="60" t="n">
        <f aca="false">EOMONTH(AK75, 1)</f>
        <v>46599</v>
      </c>
      <c r="AM75" s="60" t="n">
        <f aca="false">EOMONTH(AL75, 1)</f>
        <v>46630</v>
      </c>
      <c r="AN75" s="60" t="n">
        <f aca="false">EOMONTH(AM75, 1)</f>
        <v>46660</v>
      </c>
      <c r="AO75" s="60" t="n">
        <f aca="false">EOMONTH(AN75, 1)</f>
        <v>46691</v>
      </c>
      <c r="AP75" s="60" t="n">
        <f aca="false">EOMONTH(AO75, 1)</f>
        <v>46721</v>
      </c>
      <c r="AQ75" s="61" t="n">
        <f aca="false">EOMONTH(AP75, 1)</f>
        <v>46752</v>
      </c>
      <c r="AR75" s="59" t="n">
        <f aca="false">EOMONTH(AQ75, 1)</f>
        <v>46783</v>
      </c>
      <c r="AS75" s="60" t="n">
        <f aca="false">EOMONTH(AR75, 1)</f>
        <v>46812</v>
      </c>
      <c r="AT75" s="60" t="n">
        <f aca="false">EOMONTH(AS75, 1)</f>
        <v>46843</v>
      </c>
      <c r="AU75" s="60" t="n">
        <f aca="false">EOMONTH(AT75, 1)</f>
        <v>46873</v>
      </c>
      <c r="AV75" s="60" t="n">
        <f aca="false">EOMONTH(AU75, 1)</f>
        <v>46904</v>
      </c>
      <c r="AW75" s="60" t="n">
        <f aca="false">EOMONTH(AV75, 1)</f>
        <v>46934</v>
      </c>
      <c r="AX75" s="60" t="n">
        <f aca="false">EOMONTH(AW75, 1)</f>
        <v>46965</v>
      </c>
      <c r="AY75" s="60" t="n">
        <f aca="false">EOMONTH(AX75, 1)</f>
        <v>46996</v>
      </c>
      <c r="AZ75" s="60" t="n">
        <f aca="false">EOMONTH(AY75, 1)</f>
        <v>47026</v>
      </c>
      <c r="BA75" s="60" t="n">
        <f aca="false">EOMONTH(AZ75, 1)</f>
        <v>47057</v>
      </c>
      <c r="BB75" s="60" t="n">
        <f aca="false">EOMONTH(BA75, 1)</f>
        <v>47087</v>
      </c>
      <c r="BC75" s="61" t="n">
        <f aca="false">EOMONTH(BB75, 1)</f>
        <v>47118</v>
      </c>
      <c r="BD75" s="59" t="n">
        <f aca="false">EOMONTH(BC75, 1)</f>
        <v>47149</v>
      </c>
      <c r="BE75" s="60" t="n">
        <f aca="false">EOMONTH(BD75, 1)</f>
        <v>47177</v>
      </c>
      <c r="BF75" s="60" t="n">
        <f aca="false">EOMONTH(BE75, 1)</f>
        <v>47208</v>
      </c>
      <c r="BG75" s="60" t="n">
        <f aca="false">EOMONTH(BF75, 1)</f>
        <v>47238</v>
      </c>
      <c r="BH75" s="60" t="n">
        <f aca="false">EOMONTH(BG75, 1)</f>
        <v>47269</v>
      </c>
      <c r="BI75" s="60" t="n">
        <f aca="false">EOMONTH(BH75, 1)</f>
        <v>47299</v>
      </c>
      <c r="BJ75" s="60" t="n">
        <f aca="false">EOMONTH(BI75, 1)</f>
        <v>47330</v>
      </c>
      <c r="BK75" s="60" t="n">
        <f aca="false">EOMONTH(BJ75, 1)</f>
        <v>47361</v>
      </c>
      <c r="BL75" s="60" t="n">
        <f aca="false">EOMONTH(BK75, 1)</f>
        <v>47391</v>
      </c>
      <c r="BM75" s="60" t="n">
        <f aca="false">EOMONTH(BL75, 1)</f>
        <v>47422</v>
      </c>
      <c r="BN75" s="60" t="n">
        <f aca="false">EOMONTH(BM75, 1)</f>
        <v>47452</v>
      </c>
      <c r="BO75" s="61" t="n">
        <f aca="false">EOMONTH(BN75, 1)</f>
        <v>47483</v>
      </c>
      <c r="BP75" s="59" t="n">
        <f aca="false">EOMONTH(BO75, 1)</f>
        <v>47514</v>
      </c>
      <c r="BQ75" s="60" t="n">
        <f aca="false">EOMONTH(BP75, 1)</f>
        <v>47542</v>
      </c>
      <c r="BR75" s="60" t="n">
        <f aca="false">EOMONTH(BQ75, 1)</f>
        <v>47573</v>
      </c>
      <c r="BS75" s="60" t="n">
        <f aca="false">EOMONTH(BR75, 1)</f>
        <v>47603</v>
      </c>
      <c r="BT75" s="60" t="n">
        <f aca="false">EOMONTH(BS75, 1)</f>
        <v>47634</v>
      </c>
      <c r="BU75" s="60" t="n">
        <f aca="false">EOMONTH(BT75, 1)</f>
        <v>47664</v>
      </c>
      <c r="BV75" s="60" t="n">
        <f aca="false">EOMONTH(BU75, 1)</f>
        <v>47695</v>
      </c>
      <c r="BW75" s="60" t="n">
        <f aca="false">EOMONTH(BV75, 1)</f>
        <v>47726</v>
      </c>
      <c r="BX75" s="60" t="n">
        <f aca="false">EOMONTH(BW75, 1)</f>
        <v>47756</v>
      </c>
      <c r="BY75" s="60" t="n">
        <f aca="false">EOMONTH(BX75, 1)</f>
        <v>47787</v>
      </c>
      <c r="BZ75" s="60" t="n">
        <f aca="false">EOMONTH(BY75, 1)</f>
        <v>47817</v>
      </c>
      <c r="CA75" s="60" t="n">
        <f aca="false">EOMONTH(BZ75, 1)</f>
        <v>47848</v>
      </c>
      <c r="CC75" s="62" t="n">
        <v>2026</v>
      </c>
      <c r="CD75" s="62" t="n">
        <f aca="false">CC75+1</f>
        <v>2027</v>
      </c>
      <c r="CE75" s="62" t="n">
        <f aca="false">CD75+1</f>
        <v>2028</v>
      </c>
      <c r="CF75" s="62" t="n">
        <f aca="false">CE75+1</f>
        <v>2029</v>
      </c>
      <c r="CG75" s="62" t="n">
        <f aca="false">CF75+1</f>
        <v>2030</v>
      </c>
      <c r="CI75" s="62" t="n">
        <v>2026</v>
      </c>
      <c r="CJ75" s="62" t="n">
        <f aca="false">CI75+1</f>
        <v>2027</v>
      </c>
      <c r="CK75" s="62" t="n">
        <f aca="false">CJ75+1</f>
        <v>2028</v>
      </c>
      <c r="CL75" s="62" t="n">
        <f aca="false">CK75+1</f>
        <v>2029</v>
      </c>
      <c r="CM75" s="62" t="n">
        <f aca="false">CL75+1</f>
        <v>2030</v>
      </c>
    </row>
    <row r="76" s="14" customFormat="true" ht="16.5" hidden="true" customHeight="true" outlineLevel="1" collapsed="false">
      <c r="D76" s="63"/>
      <c r="E76" s="64" t="s">
        <v>92</v>
      </c>
      <c r="H76" s="16"/>
      <c r="I76" s="65" t="s">
        <v>123</v>
      </c>
      <c r="J76" s="65" t="s">
        <v>124</v>
      </c>
      <c r="K76" s="65" t="s">
        <v>125</v>
      </c>
      <c r="L76" s="66"/>
      <c r="M76" s="66"/>
      <c r="N76" s="66"/>
      <c r="O76" s="66"/>
      <c r="P76" s="66"/>
      <c r="Q76" s="16"/>
      <c r="R76" s="16"/>
      <c r="T76" s="66"/>
      <c r="U76" s="66"/>
      <c r="V76" s="66"/>
      <c r="W76" s="66"/>
      <c r="X76" s="66"/>
      <c r="Y76" s="66"/>
      <c r="Z76" s="66"/>
      <c r="AA76" s="66"/>
      <c r="AB76" s="66"/>
      <c r="AC76" s="66"/>
      <c r="AD76" s="66"/>
      <c r="AE76" s="66"/>
      <c r="AF76" s="67"/>
      <c r="AG76" s="66"/>
      <c r="AH76" s="66"/>
      <c r="AI76" s="66"/>
      <c r="AJ76" s="66"/>
      <c r="AK76" s="66"/>
      <c r="AL76" s="66"/>
      <c r="AM76" s="66"/>
      <c r="AN76" s="66"/>
      <c r="AO76" s="66"/>
      <c r="AP76" s="66"/>
      <c r="AQ76" s="66"/>
      <c r="AR76" s="67"/>
      <c r="AS76" s="66"/>
      <c r="AT76" s="66"/>
      <c r="AU76" s="66"/>
      <c r="AV76" s="66"/>
      <c r="AW76" s="66"/>
      <c r="AX76" s="66"/>
      <c r="AY76" s="66"/>
      <c r="AZ76" s="66"/>
      <c r="BA76" s="66"/>
      <c r="BB76" s="66"/>
      <c r="BC76" s="66"/>
      <c r="BD76" s="67"/>
      <c r="BE76" s="66"/>
      <c r="BF76" s="66"/>
      <c r="BG76" s="66"/>
      <c r="BH76" s="66"/>
      <c r="BI76" s="66"/>
      <c r="BJ76" s="66"/>
      <c r="BK76" s="66"/>
      <c r="BL76" s="66"/>
      <c r="BM76" s="66"/>
      <c r="BN76" s="66"/>
      <c r="BO76" s="66"/>
      <c r="BP76" s="67"/>
      <c r="BQ76" s="66"/>
      <c r="BR76" s="66"/>
      <c r="BS76" s="66"/>
      <c r="BT76" s="66"/>
      <c r="BU76" s="66"/>
      <c r="BV76" s="66"/>
      <c r="BW76" s="66"/>
      <c r="BX76" s="66"/>
      <c r="BY76" s="66"/>
      <c r="BZ76" s="66"/>
      <c r="CA76" s="66"/>
    </row>
    <row r="77" s="14" customFormat="true" ht="16.5" hidden="true" customHeight="true" outlineLevel="1" collapsed="false">
      <c r="E77" s="68" t="s">
        <v>126</v>
      </c>
      <c r="F77" s="21"/>
      <c r="G77" s="21"/>
      <c r="H77" s="16"/>
      <c r="I77" s="65"/>
      <c r="J77" s="65"/>
      <c r="K77" s="65"/>
      <c r="Q77" s="16"/>
      <c r="R77" s="16"/>
      <c r="AF77" s="69"/>
      <c r="AR77" s="69"/>
      <c r="BD77" s="69"/>
      <c r="BP77" s="69"/>
    </row>
    <row r="78" s="14" customFormat="true" ht="16.5" hidden="true" customHeight="true" outlineLevel="2" collapsed="false">
      <c r="E78" s="70"/>
      <c r="H78" s="71"/>
      <c r="I78" s="72" t="n">
        <v>0</v>
      </c>
      <c r="J78" s="72" t="n">
        <v>0</v>
      </c>
      <c r="K78" s="73" t="n">
        <f aca="false">J78-I78</f>
        <v>0</v>
      </c>
      <c r="L78" s="72"/>
      <c r="M78" s="72"/>
      <c r="N78" s="72"/>
      <c r="O78" s="72"/>
      <c r="P78" s="74"/>
      <c r="Q78" s="75"/>
      <c r="R78" s="16" t="str">
        <f aca="false">IF(K78=P78, "", "Error")</f>
        <v/>
      </c>
      <c r="T78" s="76"/>
      <c r="U78" s="76"/>
      <c r="V78" s="76"/>
      <c r="W78" s="76"/>
      <c r="X78" s="76"/>
      <c r="Y78" s="76"/>
      <c r="Z78" s="76"/>
      <c r="AA78" s="76"/>
      <c r="AB78" s="76"/>
      <c r="AC78" s="76"/>
      <c r="AD78" s="76"/>
      <c r="AE78" s="77"/>
      <c r="AF78" s="78"/>
      <c r="AG78" s="76"/>
      <c r="AH78" s="76"/>
      <c r="AI78" s="76"/>
      <c r="AJ78" s="76"/>
      <c r="AK78" s="76"/>
      <c r="AL78" s="76"/>
      <c r="AM78" s="76"/>
      <c r="AN78" s="76"/>
      <c r="AO78" s="76"/>
      <c r="AP78" s="76"/>
      <c r="AQ78" s="77"/>
      <c r="AR78" s="78"/>
      <c r="AS78" s="76"/>
      <c r="AT78" s="76"/>
      <c r="AU78" s="76"/>
      <c r="AV78" s="76"/>
      <c r="AW78" s="76"/>
      <c r="AX78" s="76"/>
      <c r="AY78" s="76"/>
      <c r="AZ78" s="76"/>
      <c r="BA78" s="76"/>
      <c r="BB78" s="76"/>
      <c r="BC78" s="77"/>
      <c r="BD78" s="78"/>
      <c r="BE78" s="76"/>
      <c r="BF78" s="76"/>
      <c r="BG78" s="76"/>
      <c r="BH78" s="76"/>
      <c r="BI78" s="76"/>
      <c r="BJ78" s="76"/>
      <c r="BK78" s="76"/>
      <c r="BL78" s="76"/>
      <c r="BM78" s="76"/>
      <c r="BN78" s="76"/>
      <c r="BO78" s="77"/>
      <c r="BP78" s="78"/>
      <c r="BQ78" s="76"/>
      <c r="BR78" s="76"/>
      <c r="BS78" s="76"/>
      <c r="BT78" s="76"/>
      <c r="BU78" s="76"/>
      <c r="BV78" s="76"/>
      <c r="BW78" s="76"/>
      <c r="BX78" s="76"/>
      <c r="BY78" s="76"/>
      <c r="BZ78" s="76"/>
      <c r="CA78" s="76"/>
      <c r="CC78" s="79" t="n">
        <f aca="false">SUMIFS($T78:$CA78, $T$1:$CA$1, CC$75)</f>
        <v>0</v>
      </c>
      <c r="CD78" s="79" t="n">
        <f aca="false">SUMIFS($T78:$CA78, $T$1:$CA$1, CD$75)</f>
        <v>0</v>
      </c>
      <c r="CE78" s="79" t="n">
        <f aca="false">SUMIFS($T78:$CA78, $T$1:$CA$1, CE$75)</f>
        <v>0</v>
      </c>
      <c r="CF78" s="79" t="n">
        <f aca="false">SUMIFS($T78:$CA78, $T$1:$CA$1, CF$75)</f>
        <v>0</v>
      </c>
      <c r="CG78" s="79" t="n">
        <f aca="false">SUMIFS($T78:$CA78, $T$1:$CA$1, CG$75)</f>
        <v>0</v>
      </c>
      <c r="CI78" s="79" t="n">
        <f aca="false">CC78=L78</f>
        <v>1</v>
      </c>
      <c r="CJ78" s="79" t="n">
        <f aca="false">CD78=M78</f>
        <v>1</v>
      </c>
      <c r="CK78" s="79" t="n">
        <f aca="false">CE78=N78</f>
        <v>1</v>
      </c>
      <c r="CL78" s="79" t="n">
        <f aca="false">CF78=O78</f>
        <v>1</v>
      </c>
      <c r="CM78" s="79" t="n">
        <f aca="false">CG78=P78</f>
        <v>1</v>
      </c>
    </row>
    <row r="79" s="14" customFormat="true" ht="16.5" hidden="true" customHeight="true" outlineLevel="2" collapsed="false">
      <c r="E79" s="70"/>
      <c r="H79" s="71"/>
      <c r="I79" s="72" t="n">
        <v>0</v>
      </c>
      <c r="J79" s="72" t="n">
        <v>0</v>
      </c>
      <c r="K79" s="73" t="n">
        <f aca="false">J79-I79</f>
        <v>0</v>
      </c>
      <c r="L79" s="72"/>
      <c r="M79" s="72"/>
      <c r="N79" s="72"/>
      <c r="O79" s="72"/>
      <c r="P79" s="74"/>
      <c r="Q79" s="75"/>
      <c r="R79" s="16" t="str">
        <f aca="false">IF(K79=P79, "", "Error")</f>
        <v/>
      </c>
      <c r="T79" s="76"/>
      <c r="U79" s="76"/>
      <c r="V79" s="76"/>
      <c r="W79" s="76"/>
      <c r="X79" s="76"/>
      <c r="Y79" s="76"/>
      <c r="Z79" s="76"/>
      <c r="AA79" s="76"/>
      <c r="AB79" s="76"/>
      <c r="AC79" s="76"/>
      <c r="AD79" s="76"/>
      <c r="AE79" s="77"/>
      <c r="AF79" s="78"/>
      <c r="AG79" s="76"/>
      <c r="AH79" s="76"/>
      <c r="AI79" s="76"/>
      <c r="AJ79" s="76"/>
      <c r="AK79" s="76"/>
      <c r="AL79" s="76"/>
      <c r="AM79" s="76"/>
      <c r="AN79" s="76"/>
      <c r="AO79" s="76"/>
      <c r="AP79" s="76"/>
      <c r="AQ79" s="77"/>
      <c r="AR79" s="78"/>
      <c r="AS79" s="76"/>
      <c r="AT79" s="76"/>
      <c r="AU79" s="76"/>
      <c r="AV79" s="76"/>
      <c r="AW79" s="76"/>
      <c r="AX79" s="76"/>
      <c r="AY79" s="76"/>
      <c r="AZ79" s="76"/>
      <c r="BA79" s="76"/>
      <c r="BB79" s="76"/>
      <c r="BC79" s="77"/>
      <c r="BD79" s="78"/>
      <c r="BE79" s="76"/>
      <c r="BF79" s="76"/>
      <c r="BG79" s="76"/>
      <c r="BH79" s="76"/>
      <c r="BI79" s="76"/>
      <c r="BJ79" s="76"/>
      <c r="BK79" s="76"/>
      <c r="BL79" s="76"/>
      <c r="BM79" s="76"/>
      <c r="BN79" s="76"/>
      <c r="BO79" s="77"/>
      <c r="BP79" s="78"/>
      <c r="BQ79" s="76"/>
      <c r="BR79" s="76"/>
      <c r="BS79" s="76"/>
      <c r="BT79" s="76"/>
      <c r="BU79" s="76"/>
      <c r="BV79" s="76"/>
      <c r="BW79" s="76"/>
      <c r="BX79" s="76"/>
      <c r="BY79" s="76"/>
      <c r="BZ79" s="76"/>
      <c r="CA79" s="76"/>
      <c r="CC79" s="79" t="n">
        <f aca="false">SUMIFS($T79:$CA79, $T$1:$CA$1, CC$75)</f>
        <v>0</v>
      </c>
      <c r="CD79" s="79" t="n">
        <f aca="false">SUMIFS($T79:$CA79, $T$1:$CA$1, CD$75)</f>
        <v>0</v>
      </c>
      <c r="CE79" s="79" t="n">
        <f aca="false">SUMIFS($T79:$CA79, $T$1:$CA$1, CE$75)</f>
        <v>0</v>
      </c>
      <c r="CF79" s="79" t="n">
        <f aca="false">SUMIFS($T79:$CA79, $T$1:$CA$1, CF$75)</f>
        <v>0</v>
      </c>
      <c r="CG79" s="79" t="n">
        <f aca="false">SUMIFS($T79:$CA79, $T$1:$CA$1, CG$75)</f>
        <v>0</v>
      </c>
      <c r="CI79" s="79" t="n">
        <f aca="false">CC79=L79</f>
        <v>1</v>
      </c>
      <c r="CJ79" s="79" t="n">
        <f aca="false">CD79=M79</f>
        <v>1</v>
      </c>
      <c r="CK79" s="79" t="n">
        <f aca="false">CE79=N79</f>
        <v>1</v>
      </c>
      <c r="CL79" s="79" t="n">
        <f aca="false">CF79=O79</f>
        <v>1</v>
      </c>
      <c r="CM79" s="79" t="n">
        <f aca="false">CG79=P79</f>
        <v>1</v>
      </c>
    </row>
    <row r="80" s="14" customFormat="true" ht="16.5" hidden="true" customHeight="true" outlineLevel="1" collapsed="true">
      <c r="E80" s="80" t="s">
        <v>127</v>
      </c>
      <c r="H80" s="71"/>
      <c r="I80" s="81" t="n">
        <f aca="false">SUM(I78:I79)</f>
        <v>0</v>
      </c>
      <c r="J80" s="81" t="n">
        <f aca="false">SUM(J78:J79)</f>
        <v>0</v>
      </c>
      <c r="K80" s="81" t="n">
        <f aca="false">SUM(K78:K79)</f>
        <v>0</v>
      </c>
      <c r="L80" s="81" t="n">
        <f aca="false">SUM(L78:L79)</f>
        <v>0</v>
      </c>
      <c r="M80" s="81" t="n">
        <f aca="false">SUM(M78:M79)</f>
        <v>0</v>
      </c>
      <c r="N80" s="81" t="n">
        <f aca="false">SUM(N78:N79)</f>
        <v>0</v>
      </c>
      <c r="O80" s="81" t="n">
        <f aca="false">SUM(O78:O79)</f>
        <v>0</v>
      </c>
      <c r="P80" s="81" t="n">
        <f aca="false">SUM(P78:P79)</f>
        <v>0</v>
      </c>
      <c r="Q80" s="16"/>
      <c r="R80" s="16"/>
      <c r="T80" s="82" t="n">
        <f aca="false">SUM(T78:T79)</f>
        <v>0</v>
      </c>
      <c r="U80" s="82" t="n">
        <f aca="false">SUM(U78:U79)</f>
        <v>0</v>
      </c>
      <c r="V80" s="82" t="n">
        <f aca="false">SUM(V78:V79)</f>
        <v>0</v>
      </c>
      <c r="W80" s="82" t="n">
        <f aca="false">SUM(W78:W79)</f>
        <v>0</v>
      </c>
      <c r="X80" s="82" t="n">
        <f aca="false">SUM(X78:X79)</f>
        <v>0</v>
      </c>
      <c r="Y80" s="82" t="n">
        <f aca="false">SUM(Y78:Y79)</f>
        <v>0</v>
      </c>
      <c r="Z80" s="82" t="n">
        <f aca="false">SUM(Z78:Z79)</f>
        <v>0</v>
      </c>
      <c r="AA80" s="82" t="n">
        <f aca="false">SUM(AA78:AA79)</f>
        <v>0</v>
      </c>
      <c r="AB80" s="82" t="n">
        <f aca="false">SUM(AB78:AB79)</f>
        <v>0</v>
      </c>
      <c r="AC80" s="82" t="n">
        <f aca="false">SUM(AC78:AC79)</f>
        <v>0</v>
      </c>
      <c r="AD80" s="82" t="n">
        <f aca="false">SUM(AD78:AD79)</f>
        <v>0</v>
      </c>
      <c r="AE80" s="82" t="n">
        <f aca="false">SUM(AE78:AE79)</f>
        <v>0</v>
      </c>
      <c r="AF80" s="83" t="n">
        <f aca="false">SUM(AF78:AF79)</f>
        <v>0</v>
      </c>
      <c r="AG80" s="82" t="n">
        <f aca="false">SUM(AG78:AG79)</f>
        <v>0</v>
      </c>
      <c r="AH80" s="82" t="n">
        <f aca="false">SUM(AH78:AH79)</f>
        <v>0</v>
      </c>
      <c r="AI80" s="82" t="n">
        <f aca="false">SUM(AI78:AI79)</f>
        <v>0</v>
      </c>
      <c r="AJ80" s="82" t="n">
        <f aca="false">SUM(AJ78:AJ79)</f>
        <v>0</v>
      </c>
      <c r="AK80" s="82" t="n">
        <f aca="false">SUM(AK78:AK79)</f>
        <v>0</v>
      </c>
      <c r="AL80" s="82" t="n">
        <f aca="false">SUM(AL78:AL79)</f>
        <v>0</v>
      </c>
      <c r="AM80" s="82" t="n">
        <f aca="false">SUM(AM78:AM79)</f>
        <v>0</v>
      </c>
      <c r="AN80" s="82" t="n">
        <f aca="false">SUM(AN78:AN79)</f>
        <v>0</v>
      </c>
      <c r="AO80" s="82" t="n">
        <f aca="false">SUM(AO78:AO79)</f>
        <v>0</v>
      </c>
      <c r="AP80" s="82" t="n">
        <f aca="false">SUM(AP78:AP79)</f>
        <v>0</v>
      </c>
      <c r="AQ80" s="82" t="n">
        <f aca="false">SUM(AQ78:AQ79)</f>
        <v>0</v>
      </c>
      <c r="AR80" s="83" t="n">
        <f aca="false">SUM(AR78:AR79)</f>
        <v>0</v>
      </c>
      <c r="AS80" s="82" t="n">
        <f aca="false">SUM(AS78:AS79)</f>
        <v>0</v>
      </c>
      <c r="AT80" s="82" t="n">
        <f aca="false">SUM(AT78:AT79)</f>
        <v>0</v>
      </c>
      <c r="AU80" s="82" t="n">
        <f aca="false">SUM(AU78:AU79)</f>
        <v>0</v>
      </c>
      <c r="AV80" s="82" t="n">
        <f aca="false">SUM(AV78:AV79)</f>
        <v>0</v>
      </c>
      <c r="AW80" s="82" t="n">
        <f aca="false">SUM(AW78:AW79)</f>
        <v>0</v>
      </c>
      <c r="AX80" s="82" t="n">
        <f aca="false">SUM(AX78:AX79)</f>
        <v>0</v>
      </c>
      <c r="AY80" s="82" t="n">
        <f aca="false">SUM(AY78:AY79)</f>
        <v>0</v>
      </c>
      <c r="AZ80" s="82" t="n">
        <f aca="false">SUM(AZ78:AZ79)</f>
        <v>0</v>
      </c>
      <c r="BA80" s="82" t="n">
        <f aca="false">SUM(BA78:BA79)</f>
        <v>0</v>
      </c>
      <c r="BB80" s="82" t="n">
        <f aca="false">SUM(BB78:BB79)</f>
        <v>0</v>
      </c>
      <c r="BC80" s="82" t="n">
        <f aca="false">SUM(BC78:BC79)</f>
        <v>0</v>
      </c>
      <c r="BD80" s="83" t="n">
        <f aca="false">SUM(BD78:BD79)</f>
        <v>0</v>
      </c>
      <c r="BE80" s="82" t="n">
        <f aca="false">SUM(BE78:BE79)</f>
        <v>0</v>
      </c>
      <c r="BF80" s="82" t="n">
        <f aca="false">SUM(BF78:BF79)</f>
        <v>0</v>
      </c>
      <c r="BG80" s="82" t="n">
        <f aca="false">SUM(BG78:BG79)</f>
        <v>0</v>
      </c>
      <c r="BH80" s="82" t="n">
        <f aca="false">SUM(BH78:BH79)</f>
        <v>0</v>
      </c>
      <c r="BI80" s="82" t="n">
        <f aca="false">SUM(BI78:BI79)</f>
        <v>0</v>
      </c>
      <c r="BJ80" s="82" t="n">
        <f aca="false">SUM(BJ78:BJ79)</f>
        <v>0</v>
      </c>
      <c r="BK80" s="82" t="n">
        <f aca="false">SUM(BK78:BK79)</f>
        <v>0</v>
      </c>
      <c r="BL80" s="82" t="n">
        <f aca="false">SUM(BL78:BL79)</f>
        <v>0</v>
      </c>
      <c r="BM80" s="82" t="n">
        <f aca="false">SUM(BM78:BM79)</f>
        <v>0</v>
      </c>
      <c r="BN80" s="82" t="n">
        <f aca="false">SUM(BN78:BN79)</f>
        <v>0</v>
      </c>
      <c r="BO80" s="82" t="n">
        <f aca="false">SUM(BO78:BO79)</f>
        <v>0</v>
      </c>
      <c r="BP80" s="83" t="n">
        <f aca="false">SUM(BP78:BP79)</f>
        <v>0</v>
      </c>
      <c r="BQ80" s="82" t="n">
        <f aca="false">SUM(BQ78:BQ79)</f>
        <v>0</v>
      </c>
      <c r="BR80" s="82" t="n">
        <f aca="false">SUM(BR78:BR79)</f>
        <v>0</v>
      </c>
      <c r="BS80" s="82" t="n">
        <f aca="false">SUM(BS78:BS79)</f>
        <v>0</v>
      </c>
      <c r="BT80" s="82" t="n">
        <f aca="false">SUM(BT78:BT79)</f>
        <v>0</v>
      </c>
      <c r="BU80" s="82" t="n">
        <f aca="false">SUM(BU78:BU79)</f>
        <v>0</v>
      </c>
      <c r="BV80" s="82" t="n">
        <f aca="false">SUM(BV78:BV79)</f>
        <v>0</v>
      </c>
      <c r="BW80" s="82" t="n">
        <f aca="false">SUM(BW78:BW79)</f>
        <v>0</v>
      </c>
      <c r="BX80" s="82" t="n">
        <f aca="false">SUM(BX78:BX79)</f>
        <v>0</v>
      </c>
      <c r="BY80" s="82" t="n">
        <f aca="false">SUM(BY78:BY79)</f>
        <v>0</v>
      </c>
      <c r="BZ80" s="82" t="n">
        <f aca="false">SUM(BZ78:BZ79)</f>
        <v>0</v>
      </c>
      <c r="CA80" s="82" t="n">
        <f aca="false">SUM(CA78:CA79)</f>
        <v>0</v>
      </c>
      <c r="CC80" s="84" t="n">
        <f aca="false">SUM(CC78:CC79)</f>
        <v>0</v>
      </c>
      <c r="CD80" s="84" t="n">
        <f aca="false">SUM(CD78:CD79)</f>
        <v>0</v>
      </c>
      <c r="CE80" s="84" t="n">
        <f aca="false">SUM(CE78:CE79)</f>
        <v>0</v>
      </c>
      <c r="CF80" s="84" t="n">
        <f aca="false">SUM(CF78:CF79)</f>
        <v>0</v>
      </c>
      <c r="CG80" s="84" t="n">
        <f aca="false">SUM(CG78:CG79)</f>
        <v>0</v>
      </c>
      <c r="CI80" s="84" t="n">
        <f aca="false">CC80=L80</f>
        <v>1</v>
      </c>
      <c r="CJ80" s="84" t="n">
        <f aca="false">CD80=M80</f>
        <v>1</v>
      </c>
      <c r="CK80" s="84" t="n">
        <f aca="false">CE80=N80</f>
        <v>1</v>
      </c>
      <c r="CL80" s="84" t="n">
        <f aca="false">CF80=O80</f>
        <v>1</v>
      </c>
      <c r="CM80" s="84" t="n">
        <f aca="false">CG80=P80</f>
        <v>1</v>
      </c>
    </row>
    <row r="81" s="14" customFormat="true" ht="16.5" hidden="true" customHeight="true" outlineLevel="1" collapsed="false">
      <c r="E81" s="85"/>
      <c r="H81" s="86"/>
      <c r="I81" s="87"/>
      <c r="J81" s="87"/>
      <c r="K81" s="87"/>
      <c r="L81" s="87"/>
      <c r="M81" s="87"/>
      <c r="N81" s="87"/>
      <c r="O81" s="87"/>
      <c r="P81" s="87"/>
      <c r="Q81" s="16"/>
      <c r="R81" s="16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9"/>
      <c r="AG81" s="88"/>
      <c r="AH81" s="88"/>
      <c r="AI81" s="88"/>
      <c r="AJ81" s="88"/>
      <c r="AK81" s="88"/>
      <c r="AL81" s="88"/>
      <c r="AM81" s="88"/>
      <c r="AN81" s="88"/>
      <c r="AO81" s="88"/>
      <c r="AP81" s="88"/>
      <c r="AQ81" s="88"/>
      <c r="AR81" s="89"/>
      <c r="AS81" s="88"/>
      <c r="AT81" s="88"/>
      <c r="AU81" s="88"/>
      <c r="AV81" s="88"/>
      <c r="AW81" s="88"/>
      <c r="AX81" s="88"/>
      <c r="AY81" s="88"/>
      <c r="AZ81" s="88"/>
      <c r="BA81" s="88"/>
      <c r="BB81" s="88"/>
      <c r="BC81" s="88"/>
      <c r="BD81" s="89"/>
      <c r="BE81" s="88"/>
      <c r="BF81" s="88"/>
      <c r="BG81" s="88"/>
      <c r="BH81" s="88"/>
      <c r="BI81" s="88"/>
      <c r="BJ81" s="88"/>
      <c r="BK81" s="88"/>
      <c r="BL81" s="88"/>
      <c r="BM81" s="88"/>
      <c r="BN81" s="88"/>
      <c r="BO81" s="88"/>
      <c r="BP81" s="89"/>
      <c r="BQ81" s="88"/>
      <c r="BR81" s="88"/>
      <c r="BS81" s="88"/>
      <c r="BT81" s="88"/>
      <c r="BU81" s="88"/>
      <c r="BV81" s="88"/>
      <c r="BW81" s="88"/>
      <c r="BX81" s="88"/>
      <c r="BY81" s="88"/>
      <c r="BZ81" s="88"/>
      <c r="CA81" s="88"/>
      <c r="CC81" s="90"/>
      <c r="CD81" s="90"/>
      <c r="CE81" s="90"/>
      <c r="CF81" s="90"/>
      <c r="CG81" s="90"/>
      <c r="CI81" s="90"/>
      <c r="CJ81" s="90"/>
      <c r="CK81" s="90"/>
      <c r="CL81" s="90"/>
      <c r="CM81" s="90"/>
    </row>
    <row r="82" s="14" customFormat="true" ht="16.5" hidden="true" customHeight="true" outlineLevel="1" collapsed="false">
      <c r="E82" s="21" t="s">
        <v>128</v>
      </c>
      <c r="H82" s="71"/>
      <c r="I82" s="87"/>
      <c r="J82" s="87"/>
      <c r="K82" s="87"/>
      <c r="L82" s="87"/>
      <c r="M82" s="87"/>
      <c r="N82" s="87"/>
      <c r="O82" s="87"/>
      <c r="P82" s="87"/>
      <c r="Q82" s="16"/>
      <c r="R82" s="16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9"/>
      <c r="AG82" s="88"/>
      <c r="AH82" s="88"/>
      <c r="AI82" s="88"/>
      <c r="AJ82" s="88"/>
      <c r="AK82" s="88"/>
      <c r="AL82" s="88"/>
      <c r="AM82" s="88"/>
      <c r="AN82" s="88"/>
      <c r="AO82" s="88"/>
      <c r="AP82" s="88"/>
      <c r="AQ82" s="88"/>
      <c r="AR82" s="89"/>
      <c r="AS82" s="88"/>
      <c r="AT82" s="88"/>
      <c r="AU82" s="88"/>
      <c r="AV82" s="88"/>
      <c r="AW82" s="88"/>
      <c r="AX82" s="88"/>
      <c r="AY82" s="88"/>
      <c r="AZ82" s="88"/>
      <c r="BA82" s="88"/>
      <c r="BB82" s="88"/>
      <c r="BC82" s="88"/>
      <c r="BD82" s="89"/>
      <c r="BE82" s="88"/>
      <c r="BF82" s="88"/>
      <c r="BG82" s="88"/>
      <c r="BH82" s="88"/>
      <c r="BI82" s="88"/>
      <c r="BJ82" s="88"/>
      <c r="BK82" s="88"/>
      <c r="BL82" s="88"/>
      <c r="BM82" s="88"/>
      <c r="BN82" s="88"/>
      <c r="BO82" s="88"/>
      <c r="BP82" s="89"/>
      <c r="BQ82" s="88"/>
      <c r="BR82" s="88"/>
      <c r="BS82" s="88"/>
      <c r="BT82" s="88"/>
      <c r="BU82" s="88"/>
      <c r="BV82" s="88"/>
      <c r="BW82" s="88"/>
      <c r="BX82" s="88"/>
      <c r="BY82" s="88"/>
      <c r="BZ82" s="88"/>
      <c r="CA82" s="88"/>
      <c r="CC82" s="90"/>
      <c r="CD82" s="90"/>
      <c r="CE82" s="90"/>
      <c r="CF82" s="90"/>
      <c r="CG82" s="90"/>
      <c r="CI82" s="90"/>
      <c r="CJ82" s="90"/>
      <c r="CK82" s="90"/>
      <c r="CL82" s="90"/>
      <c r="CM82" s="90"/>
    </row>
    <row r="83" s="14" customFormat="true" ht="16.5" hidden="true" customHeight="true" outlineLevel="2" collapsed="false">
      <c r="E83" s="91"/>
      <c r="H83" s="71"/>
      <c r="I83" s="92"/>
      <c r="J83" s="92"/>
      <c r="K83" s="73" t="n">
        <f aca="false">I83-J83</f>
        <v>0</v>
      </c>
      <c r="L83" s="92"/>
      <c r="M83" s="92"/>
      <c r="N83" s="92"/>
      <c r="O83" s="92"/>
      <c r="P83" s="92"/>
      <c r="Q83" s="93"/>
      <c r="R83" s="16" t="str">
        <f aca="false">IF(K83=P83, "", "Error")</f>
        <v/>
      </c>
      <c r="T83" s="91"/>
      <c r="U83" s="91"/>
      <c r="V83" s="91"/>
      <c r="W83" s="91"/>
      <c r="X83" s="91"/>
      <c r="Y83" s="91"/>
      <c r="Z83" s="91"/>
      <c r="AA83" s="91"/>
      <c r="AB83" s="91"/>
      <c r="AC83" s="91"/>
      <c r="AD83" s="91"/>
      <c r="AE83" s="94"/>
      <c r="AF83" s="95"/>
      <c r="AG83" s="91"/>
      <c r="AH83" s="91"/>
      <c r="AI83" s="91"/>
      <c r="AJ83" s="91"/>
      <c r="AK83" s="91"/>
      <c r="AL83" s="91"/>
      <c r="AM83" s="91"/>
      <c r="AN83" s="91"/>
      <c r="AO83" s="91"/>
      <c r="AP83" s="91"/>
      <c r="AQ83" s="94"/>
      <c r="AR83" s="95"/>
      <c r="AS83" s="91"/>
      <c r="AT83" s="91"/>
      <c r="AU83" s="91"/>
      <c r="AV83" s="91"/>
      <c r="AW83" s="91"/>
      <c r="AX83" s="91"/>
      <c r="AY83" s="91"/>
      <c r="AZ83" s="91"/>
      <c r="BA83" s="91"/>
      <c r="BB83" s="91"/>
      <c r="BC83" s="94"/>
      <c r="BD83" s="95"/>
      <c r="BE83" s="91"/>
      <c r="BF83" s="91"/>
      <c r="BG83" s="91"/>
      <c r="BH83" s="91"/>
      <c r="BI83" s="91"/>
      <c r="BJ83" s="91"/>
      <c r="BK83" s="91"/>
      <c r="BL83" s="91"/>
      <c r="BM83" s="91"/>
      <c r="BN83" s="91"/>
      <c r="BO83" s="94"/>
      <c r="BP83" s="95"/>
      <c r="BQ83" s="91"/>
      <c r="BR83" s="91"/>
      <c r="BS83" s="91"/>
      <c r="BT83" s="91"/>
      <c r="BU83" s="91"/>
      <c r="BV83" s="91"/>
      <c r="BW83" s="91"/>
      <c r="BX83" s="91"/>
      <c r="BY83" s="91"/>
      <c r="BZ83" s="91"/>
      <c r="CA83" s="91"/>
      <c r="CC83" s="79" t="n">
        <f aca="false">SUMIFS($T83:$CA83, $T$1:$CA$1, CC$75)</f>
        <v>0</v>
      </c>
      <c r="CD83" s="79" t="n">
        <f aca="false">SUMIFS($T83:$CA83, $T$1:$CA$1, CD$75)</f>
        <v>0</v>
      </c>
      <c r="CE83" s="79" t="n">
        <f aca="false">SUMIFS($T83:$CA83, $T$1:$CA$1, CE$75)</f>
        <v>0</v>
      </c>
      <c r="CF83" s="79" t="n">
        <f aca="false">SUMIFS($T83:$CA83, $T$1:$CA$1, CF$75)</f>
        <v>0</v>
      </c>
      <c r="CG83" s="79" t="n">
        <f aca="false">SUMIFS($T83:$CA83, $T$1:$CA$1, CG$75)</f>
        <v>0</v>
      </c>
      <c r="CI83" s="79" t="n">
        <f aca="false">CC83=L83</f>
        <v>1</v>
      </c>
      <c r="CJ83" s="79" t="n">
        <f aca="false">CD83=M83</f>
        <v>1</v>
      </c>
      <c r="CK83" s="79" t="n">
        <f aca="false">CE83=N83</f>
        <v>1</v>
      </c>
      <c r="CL83" s="79" t="n">
        <f aca="false">CF83=O83</f>
        <v>1</v>
      </c>
      <c r="CM83" s="79" t="n">
        <f aca="false">CG83=P83</f>
        <v>1</v>
      </c>
    </row>
    <row r="84" s="14" customFormat="true" ht="16.5" hidden="true" customHeight="true" outlineLevel="2" collapsed="false">
      <c r="E84" s="91"/>
      <c r="H84" s="71"/>
      <c r="I84" s="92" t="n">
        <v>0</v>
      </c>
      <c r="J84" s="92" t="n">
        <v>0</v>
      </c>
      <c r="K84" s="73" t="n">
        <f aca="false">I84-J84</f>
        <v>0</v>
      </c>
      <c r="L84" s="92"/>
      <c r="M84" s="92"/>
      <c r="N84" s="92"/>
      <c r="O84" s="92"/>
      <c r="P84" s="92"/>
      <c r="Q84" s="93"/>
      <c r="R84" s="16" t="str">
        <f aca="false">IF(K84=P84, "", "Error")</f>
        <v/>
      </c>
      <c r="T84" s="91"/>
      <c r="U84" s="91"/>
      <c r="V84" s="91"/>
      <c r="W84" s="91"/>
      <c r="X84" s="91"/>
      <c r="Y84" s="91"/>
      <c r="Z84" s="91"/>
      <c r="AA84" s="91"/>
      <c r="AB84" s="91"/>
      <c r="AC84" s="91"/>
      <c r="AD84" s="91"/>
      <c r="AE84" s="94"/>
      <c r="AF84" s="95"/>
      <c r="AG84" s="91"/>
      <c r="AH84" s="91"/>
      <c r="AI84" s="91"/>
      <c r="AJ84" s="91"/>
      <c r="AK84" s="91"/>
      <c r="AL84" s="91"/>
      <c r="AM84" s="91"/>
      <c r="AN84" s="91"/>
      <c r="AO84" s="91"/>
      <c r="AP84" s="91"/>
      <c r="AQ84" s="94"/>
      <c r="AR84" s="95"/>
      <c r="AS84" s="91"/>
      <c r="AT84" s="91"/>
      <c r="AU84" s="91"/>
      <c r="AV84" s="91"/>
      <c r="AW84" s="91"/>
      <c r="AX84" s="91"/>
      <c r="AY84" s="91"/>
      <c r="AZ84" s="91"/>
      <c r="BA84" s="91"/>
      <c r="BB84" s="91"/>
      <c r="BC84" s="94"/>
      <c r="BD84" s="95"/>
      <c r="BE84" s="91"/>
      <c r="BF84" s="91"/>
      <c r="BG84" s="91"/>
      <c r="BH84" s="91"/>
      <c r="BI84" s="91"/>
      <c r="BJ84" s="91"/>
      <c r="BK84" s="91"/>
      <c r="BL84" s="91"/>
      <c r="BM84" s="91"/>
      <c r="BN84" s="91"/>
      <c r="BO84" s="94"/>
      <c r="BP84" s="95"/>
      <c r="BQ84" s="91"/>
      <c r="BR84" s="91"/>
      <c r="BS84" s="91"/>
      <c r="BT84" s="91"/>
      <c r="BU84" s="91"/>
      <c r="BV84" s="91"/>
      <c r="BW84" s="91"/>
      <c r="BX84" s="91"/>
      <c r="BY84" s="91"/>
      <c r="BZ84" s="91"/>
      <c r="CA84" s="91"/>
      <c r="CC84" s="79" t="n">
        <f aca="false">SUMIFS($T84:$CA84, $T$1:$CA$1, CC$75)</f>
        <v>0</v>
      </c>
      <c r="CD84" s="79" t="n">
        <f aca="false">SUMIFS($T84:$CA84, $T$1:$CA$1, CD$75)</f>
        <v>0</v>
      </c>
      <c r="CE84" s="79" t="n">
        <f aca="false">SUMIFS($T84:$CA84, $T$1:$CA$1, CE$75)</f>
        <v>0</v>
      </c>
      <c r="CF84" s="79" t="n">
        <f aca="false">SUMIFS($T84:$CA84, $T$1:$CA$1, CF$75)</f>
        <v>0</v>
      </c>
      <c r="CG84" s="79" t="n">
        <f aca="false">SUMIFS($T84:$CA84, $T$1:$CA$1, CG$75)</f>
        <v>0</v>
      </c>
      <c r="CI84" s="79" t="n">
        <f aca="false">CC84=L84</f>
        <v>1</v>
      </c>
      <c r="CJ84" s="79" t="n">
        <f aca="false">CD84=M84</f>
        <v>1</v>
      </c>
      <c r="CK84" s="79" t="n">
        <f aca="false">CE84=N84</f>
        <v>1</v>
      </c>
      <c r="CL84" s="79" t="n">
        <f aca="false">CF84=O84</f>
        <v>1</v>
      </c>
      <c r="CM84" s="79" t="n">
        <f aca="false">CG84=P84</f>
        <v>1</v>
      </c>
    </row>
    <row r="85" s="14" customFormat="true" ht="16.5" hidden="true" customHeight="true" outlineLevel="2" collapsed="false">
      <c r="E85" s="91"/>
      <c r="H85" s="71"/>
      <c r="I85" s="92" t="n">
        <v>0</v>
      </c>
      <c r="J85" s="92" t="n">
        <v>0</v>
      </c>
      <c r="K85" s="73" t="n">
        <f aca="false">I85-J85</f>
        <v>0</v>
      </c>
      <c r="L85" s="92"/>
      <c r="M85" s="92"/>
      <c r="N85" s="92"/>
      <c r="O85" s="92"/>
      <c r="P85" s="92"/>
      <c r="Q85" s="93"/>
      <c r="R85" s="16" t="str">
        <f aca="false">IF(K85=P85, "", "Error")</f>
        <v/>
      </c>
      <c r="T85" s="91"/>
      <c r="U85" s="91"/>
      <c r="V85" s="91"/>
      <c r="W85" s="91"/>
      <c r="X85" s="91"/>
      <c r="Y85" s="91"/>
      <c r="Z85" s="91"/>
      <c r="AA85" s="91"/>
      <c r="AB85" s="91"/>
      <c r="AC85" s="91"/>
      <c r="AD85" s="91"/>
      <c r="AE85" s="94"/>
      <c r="AF85" s="95"/>
      <c r="AG85" s="91"/>
      <c r="AH85" s="91"/>
      <c r="AI85" s="91"/>
      <c r="AJ85" s="91"/>
      <c r="AK85" s="91"/>
      <c r="AL85" s="91"/>
      <c r="AM85" s="91"/>
      <c r="AN85" s="91"/>
      <c r="AO85" s="91"/>
      <c r="AP85" s="91"/>
      <c r="AQ85" s="94"/>
      <c r="AR85" s="95"/>
      <c r="AS85" s="91"/>
      <c r="AT85" s="91"/>
      <c r="AU85" s="91"/>
      <c r="AV85" s="91"/>
      <c r="AW85" s="91"/>
      <c r="AX85" s="91"/>
      <c r="AY85" s="91"/>
      <c r="AZ85" s="91"/>
      <c r="BA85" s="91"/>
      <c r="BB85" s="91"/>
      <c r="BC85" s="94"/>
      <c r="BD85" s="95"/>
      <c r="BE85" s="91"/>
      <c r="BF85" s="91"/>
      <c r="BG85" s="91"/>
      <c r="BH85" s="91"/>
      <c r="BI85" s="91"/>
      <c r="BJ85" s="91"/>
      <c r="BK85" s="91"/>
      <c r="BL85" s="91"/>
      <c r="BM85" s="91"/>
      <c r="BN85" s="91"/>
      <c r="BO85" s="94"/>
      <c r="BP85" s="95"/>
      <c r="BQ85" s="91"/>
      <c r="BR85" s="91"/>
      <c r="BS85" s="91"/>
      <c r="BT85" s="91"/>
      <c r="BU85" s="91"/>
      <c r="BV85" s="91"/>
      <c r="BW85" s="91"/>
      <c r="BX85" s="91"/>
      <c r="BY85" s="91"/>
      <c r="BZ85" s="91"/>
      <c r="CA85" s="91"/>
      <c r="CC85" s="79" t="n">
        <f aca="false">SUMIFS($T85:$CA85, $T$1:$CA$1, CC$75)</f>
        <v>0</v>
      </c>
      <c r="CD85" s="79" t="n">
        <f aca="false">SUMIFS($T85:$CA85, $T$1:$CA$1, CD$75)</f>
        <v>0</v>
      </c>
      <c r="CE85" s="79" t="n">
        <f aca="false">SUMIFS($T85:$CA85, $T$1:$CA$1, CE$75)</f>
        <v>0</v>
      </c>
      <c r="CF85" s="79" t="n">
        <f aca="false">SUMIFS($T85:$CA85, $T$1:$CA$1, CF$75)</f>
        <v>0</v>
      </c>
      <c r="CG85" s="79" t="n">
        <f aca="false">SUMIFS($T85:$CA85, $T$1:$CA$1, CG$75)</f>
        <v>0</v>
      </c>
      <c r="CI85" s="79" t="n">
        <f aca="false">CC85=L85</f>
        <v>1</v>
      </c>
      <c r="CJ85" s="79" t="n">
        <f aca="false">CD85=M85</f>
        <v>1</v>
      </c>
      <c r="CK85" s="79" t="n">
        <f aca="false">CE85=N85</f>
        <v>1</v>
      </c>
      <c r="CL85" s="79" t="n">
        <f aca="false">CF85=O85</f>
        <v>1</v>
      </c>
      <c r="CM85" s="79" t="n">
        <f aca="false">CG85=P85</f>
        <v>1</v>
      </c>
    </row>
    <row r="86" s="14" customFormat="true" ht="16.5" hidden="true" customHeight="true" outlineLevel="2" collapsed="false">
      <c r="E86" s="91"/>
      <c r="H86" s="71"/>
      <c r="I86" s="92" t="n">
        <v>0</v>
      </c>
      <c r="J86" s="92" t="n">
        <v>0</v>
      </c>
      <c r="K86" s="73" t="n">
        <f aca="false">I86-J86</f>
        <v>0</v>
      </c>
      <c r="L86" s="92"/>
      <c r="M86" s="92"/>
      <c r="N86" s="92"/>
      <c r="O86" s="92"/>
      <c r="P86" s="92"/>
      <c r="Q86" s="93"/>
      <c r="R86" s="16" t="str">
        <f aca="false">IF(K86=P86, "", "Error")</f>
        <v/>
      </c>
      <c r="T86" s="91"/>
      <c r="U86" s="91"/>
      <c r="V86" s="91"/>
      <c r="W86" s="91"/>
      <c r="X86" s="91"/>
      <c r="Y86" s="91"/>
      <c r="Z86" s="91"/>
      <c r="AA86" s="91"/>
      <c r="AB86" s="91"/>
      <c r="AC86" s="91"/>
      <c r="AD86" s="91"/>
      <c r="AE86" s="94"/>
      <c r="AF86" s="95"/>
      <c r="AG86" s="91"/>
      <c r="AH86" s="91"/>
      <c r="AI86" s="91"/>
      <c r="AJ86" s="91"/>
      <c r="AK86" s="91"/>
      <c r="AL86" s="91"/>
      <c r="AM86" s="91"/>
      <c r="AN86" s="91"/>
      <c r="AO86" s="91"/>
      <c r="AP86" s="91"/>
      <c r="AQ86" s="94"/>
      <c r="AR86" s="95"/>
      <c r="AS86" s="91"/>
      <c r="AT86" s="91"/>
      <c r="AU86" s="91"/>
      <c r="AV86" s="91"/>
      <c r="AW86" s="91"/>
      <c r="AX86" s="91"/>
      <c r="AY86" s="91"/>
      <c r="AZ86" s="91"/>
      <c r="BA86" s="91"/>
      <c r="BB86" s="91"/>
      <c r="BC86" s="94"/>
      <c r="BD86" s="95"/>
      <c r="BE86" s="91"/>
      <c r="BF86" s="91"/>
      <c r="BG86" s="91"/>
      <c r="BH86" s="91"/>
      <c r="BI86" s="91"/>
      <c r="BJ86" s="91"/>
      <c r="BK86" s="91"/>
      <c r="BL86" s="91"/>
      <c r="BM86" s="91"/>
      <c r="BN86" s="91"/>
      <c r="BO86" s="94"/>
      <c r="BP86" s="95"/>
      <c r="BQ86" s="91"/>
      <c r="BR86" s="91"/>
      <c r="BS86" s="91"/>
      <c r="BT86" s="91"/>
      <c r="BU86" s="91"/>
      <c r="BV86" s="91"/>
      <c r="BW86" s="91"/>
      <c r="BX86" s="91"/>
      <c r="BY86" s="91"/>
      <c r="BZ86" s="91"/>
      <c r="CA86" s="91"/>
      <c r="CC86" s="79" t="n">
        <f aca="false">SUMIFS($T86:$CA86, $T$1:$CA$1, CC$75)</f>
        <v>0</v>
      </c>
      <c r="CD86" s="79" t="n">
        <f aca="false">SUMIFS($T86:$CA86, $T$1:$CA$1, CD$75)</f>
        <v>0</v>
      </c>
      <c r="CE86" s="79" t="n">
        <f aca="false">SUMIFS($T86:$CA86, $T$1:$CA$1, CE$75)</f>
        <v>0</v>
      </c>
      <c r="CF86" s="79" t="n">
        <f aca="false">SUMIFS($T86:$CA86, $T$1:$CA$1, CF$75)</f>
        <v>0</v>
      </c>
      <c r="CG86" s="79" t="n">
        <f aca="false">SUMIFS($T86:$CA86, $T$1:$CA$1, CG$75)</f>
        <v>0</v>
      </c>
      <c r="CI86" s="79" t="n">
        <f aca="false">CC86=L86</f>
        <v>1</v>
      </c>
      <c r="CJ86" s="79" t="n">
        <f aca="false">CD86=M86</f>
        <v>1</v>
      </c>
      <c r="CK86" s="79" t="n">
        <f aca="false">CE86=N86</f>
        <v>1</v>
      </c>
      <c r="CL86" s="79" t="n">
        <f aca="false">CF86=O86</f>
        <v>1</v>
      </c>
      <c r="CM86" s="79" t="n">
        <f aca="false">CG86=P86</f>
        <v>1</v>
      </c>
    </row>
    <row r="87" s="14" customFormat="true" ht="16.5" hidden="true" customHeight="true" outlineLevel="2" collapsed="false">
      <c r="E87" s="91"/>
      <c r="H87" s="71"/>
      <c r="I87" s="92"/>
      <c r="J87" s="92"/>
      <c r="K87" s="73" t="n">
        <f aca="false">I87-J87</f>
        <v>0</v>
      </c>
      <c r="L87" s="92"/>
      <c r="M87" s="92"/>
      <c r="N87" s="92"/>
      <c r="O87" s="92"/>
      <c r="P87" s="92"/>
      <c r="Q87" s="93"/>
      <c r="R87" s="16" t="str">
        <f aca="false">IF(K87=P87, "", "Error")</f>
        <v/>
      </c>
      <c r="T87" s="91"/>
      <c r="U87" s="91"/>
      <c r="V87" s="91"/>
      <c r="W87" s="91"/>
      <c r="X87" s="91"/>
      <c r="Y87" s="91"/>
      <c r="Z87" s="91"/>
      <c r="AA87" s="91"/>
      <c r="AB87" s="91"/>
      <c r="AC87" s="91"/>
      <c r="AD87" s="91"/>
      <c r="AE87" s="94"/>
      <c r="AF87" s="95"/>
      <c r="AG87" s="91"/>
      <c r="AH87" s="91"/>
      <c r="AI87" s="91"/>
      <c r="AJ87" s="91"/>
      <c r="AK87" s="91"/>
      <c r="AL87" s="91"/>
      <c r="AM87" s="91"/>
      <c r="AN87" s="91"/>
      <c r="AO87" s="91"/>
      <c r="AP87" s="91"/>
      <c r="AQ87" s="94"/>
      <c r="AR87" s="95"/>
      <c r="AS87" s="91"/>
      <c r="AT87" s="91"/>
      <c r="AU87" s="91"/>
      <c r="AV87" s="91"/>
      <c r="AW87" s="91"/>
      <c r="AX87" s="91"/>
      <c r="AY87" s="91"/>
      <c r="AZ87" s="91"/>
      <c r="BA87" s="91"/>
      <c r="BB87" s="91"/>
      <c r="BC87" s="94"/>
      <c r="BD87" s="95"/>
      <c r="BE87" s="91"/>
      <c r="BF87" s="91"/>
      <c r="BG87" s="91"/>
      <c r="BH87" s="91"/>
      <c r="BI87" s="91"/>
      <c r="BJ87" s="91"/>
      <c r="BK87" s="91"/>
      <c r="BL87" s="91"/>
      <c r="BM87" s="91"/>
      <c r="BN87" s="91"/>
      <c r="BO87" s="94"/>
      <c r="BP87" s="95"/>
      <c r="BQ87" s="91"/>
      <c r="BR87" s="91"/>
      <c r="BS87" s="91"/>
      <c r="BT87" s="91"/>
      <c r="BU87" s="91"/>
      <c r="BV87" s="91"/>
      <c r="BW87" s="91"/>
      <c r="BX87" s="91"/>
      <c r="BY87" s="91"/>
      <c r="BZ87" s="91"/>
      <c r="CA87" s="91"/>
      <c r="CC87" s="79" t="n">
        <f aca="false">SUMIFS($T87:$CA87, $T$1:$CA$1, CC$75)</f>
        <v>0</v>
      </c>
      <c r="CD87" s="79" t="n">
        <f aca="false">SUMIFS($T87:$CA87, $T$1:$CA$1, CD$75)</f>
        <v>0</v>
      </c>
      <c r="CE87" s="79" t="n">
        <f aca="false">SUMIFS($T87:$CA87, $T$1:$CA$1, CE$75)</f>
        <v>0</v>
      </c>
      <c r="CF87" s="79" t="n">
        <f aca="false">SUMIFS($T87:$CA87, $T$1:$CA$1, CF$75)</f>
        <v>0</v>
      </c>
      <c r="CG87" s="79" t="n">
        <f aca="false">SUMIFS($T87:$CA87, $T$1:$CA$1, CG$75)</f>
        <v>0</v>
      </c>
      <c r="CI87" s="79" t="n">
        <f aca="false">CC87=L87</f>
        <v>1</v>
      </c>
      <c r="CJ87" s="79" t="n">
        <f aca="false">CD87=M87</f>
        <v>1</v>
      </c>
      <c r="CK87" s="79" t="n">
        <f aca="false">CE87=N87</f>
        <v>1</v>
      </c>
      <c r="CL87" s="79" t="n">
        <f aca="false">CF87=O87</f>
        <v>1</v>
      </c>
      <c r="CM87" s="79" t="n">
        <f aca="false">CG87=P87</f>
        <v>1</v>
      </c>
    </row>
    <row r="88" s="14" customFormat="true" ht="16.5" hidden="true" customHeight="true" outlineLevel="1" collapsed="true">
      <c r="E88" s="96" t="s">
        <v>129</v>
      </c>
      <c r="H88" s="71"/>
      <c r="I88" s="81" t="n">
        <f aca="false">SUM(I83:I87)</f>
        <v>0</v>
      </c>
      <c r="J88" s="81" t="n">
        <f aca="false">SUM(J83:J87)</f>
        <v>0</v>
      </c>
      <c r="K88" s="81" t="n">
        <f aca="false">SUM(K83:K87)</f>
        <v>0</v>
      </c>
      <c r="L88" s="81" t="n">
        <f aca="false">SUM(L83:L87)</f>
        <v>0</v>
      </c>
      <c r="M88" s="81" t="n">
        <f aca="false">SUM(M83:M87)</f>
        <v>0</v>
      </c>
      <c r="N88" s="81" t="n">
        <f aca="false">SUM(N83:N87)</f>
        <v>0</v>
      </c>
      <c r="O88" s="81" t="n">
        <f aca="false">SUM(O83:O87)</f>
        <v>0</v>
      </c>
      <c r="P88" s="81" t="n">
        <f aca="false">SUM(P83:P87)</f>
        <v>0</v>
      </c>
      <c r="Q88" s="16"/>
      <c r="R88" s="16"/>
      <c r="T88" s="82" t="n">
        <f aca="false">SUM(T83:T87)</f>
        <v>0</v>
      </c>
      <c r="U88" s="82" t="n">
        <f aca="false">SUM(U83:U87)</f>
        <v>0</v>
      </c>
      <c r="V88" s="82" t="n">
        <f aca="false">SUM(V83:V87)</f>
        <v>0</v>
      </c>
      <c r="W88" s="82" t="n">
        <f aca="false">SUM(W83:W87)</f>
        <v>0</v>
      </c>
      <c r="X88" s="82" t="n">
        <f aca="false">SUM(X83:X87)</f>
        <v>0</v>
      </c>
      <c r="Y88" s="82" t="n">
        <f aca="false">SUM(Y83:Y87)</f>
        <v>0</v>
      </c>
      <c r="Z88" s="82" t="n">
        <f aca="false">SUM(Z83:Z87)</f>
        <v>0</v>
      </c>
      <c r="AA88" s="82" t="n">
        <f aca="false">SUM(AA83:AA87)</f>
        <v>0</v>
      </c>
      <c r="AB88" s="82" t="n">
        <f aca="false">SUM(AB83:AB87)</f>
        <v>0</v>
      </c>
      <c r="AC88" s="82" t="n">
        <f aca="false">SUM(AC83:AC87)</f>
        <v>0</v>
      </c>
      <c r="AD88" s="82" t="n">
        <f aca="false">SUM(AD83:AD87)</f>
        <v>0</v>
      </c>
      <c r="AE88" s="82" t="n">
        <f aca="false">SUM(AE83:AE87)</f>
        <v>0</v>
      </c>
      <c r="AF88" s="83" t="n">
        <f aca="false">SUM(AF83:AF87)</f>
        <v>0</v>
      </c>
      <c r="AG88" s="82" t="n">
        <f aca="false">SUM(AG83:AG87)</f>
        <v>0</v>
      </c>
      <c r="AH88" s="82" t="n">
        <f aca="false">SUM(AH83:AH87)</f>
        <v>0</v>
      </c>
      <c r="AI88" s="82" t="n">
        <f aca="false">SUM(AI83:AI87)</f>
        <v>0</v>
      </c>
      <c r="AJ88" s="82" t="n">
        <f aca="false">SUM(AJ83:AJ87)</f>
        <v>0</v>
      </c>
      <c r="AK88" s="82" t="n">
        <f aca="false">SUM(AK83:AK87)</f>
        <v>0</v>
      </c>
      <c r="AL88" s="82" t="n">
        <f aca="false">SUM(AL83:AL87)</f>
        <v>0</v>
      </c>
      <c r="AM88" s="82" t="n">
        <f aca="false">SUM(AM83:AM87)</f>
        <v>0</v>
      </c>
      <c r="AN88" s="82" t="n">
        <f aca="false">SUM(AN83:AN87)</f>
        <v>0</v>
      </c>
      <c r="AO88" s="82" t="n">
        <f aca="false">SUM(AO83:AO87)</f>
        <v>0</v>
      </c>
      <c r="AP88" s="82" t="n">
        <f aca="false">SUM(AP83:AP87)</f>
        <v>0</v>
      </c>
      <c r="AQ88" s="82" t="n">
        <f aca="false">SUM(AQ83:AQ87)</f>
        <v>0</v>
      </c>
      <c r="AR88" s="83" t="n">
        <f aca="false">SUM(AR83:AR87)</f>
        <v>0</v>
      </c>
      <c r="AS88" s="82" t="n">
        <f aca="false">SUM(AS83:AS87)</f>
        <v>0</v>
      </c>
      <c r="AT88" s="82" t="n">
        <f aca="false">SUM(AT83:AT87)</f>
        <v>0</v>
      </c>
      <c r="AU88" s="82" t="n">
        <f aca="false">SUM(AU83:AU87)</f>
        <v>0</v>
      </c>
      <c r="AV88" s="82" t="n">
        <f aca="false">SUM(AV83:AV87)</f>
        <v>0</v>
      </c>
      <c r="AW88" s="82" t="n">
        <f aca="false">SUM(AW83:AW87)</f>
        <v>0</v>
      </c>
      <c r="AX88" s="82" t="n">
        <f aca="false">SUM(AX83:AX87)</f>
        <v>0</v>
      </c>
      <c r="AY88" s="82" t="n">
        <f aca="false">SUM(AY83:AY87)</f>
        <v>0</v>
      </c>
      <c r="AZ88" s="82" t="n">
        <f aca="false">SUM(AZ83:AZ87)</f>
        <v>0</v>
      </c>
      <c r="BA88" s="82" t="n">
        <f aca="false">SUM(BA83:BA87)</f>
        <v>0</v>
      </c>
      <c r="BB88" s="82" t="n">
        <f aca="false">SUM(BB83:BB87)</f>
        <v>0</v>
      </c>
      <c r="BC88" s="82" t="n">
        <f aca="false">SUM(BC83:BC87)</f>
        <v>0</v>
      </c>
      <c r="BD88" s="83" t="n">
        <f aca="false">SUM(BD83:BD87)</f>
        <v>0</v>
      </c>
      <c r="BE88" s="82" t="n">
        <f aca="false">SUM(BE83:BE87)</f>
        <v>0</v>
      </c>
      <c r="BF88" s="82" t="n">
        <f aca="false">SUM(BF83:BF87)</f>
        <v>0</v>
      </c>
      <c r="BG88" s="82" t="n">
        <f aca="false">SUM(BG83:BG87)</f>
        <v>0</v>
      </c>
      <c r="BH88" s="82" t="n">
        <f aca="false">SUM(BH83:BH87)</f>
        <v>0</v>
      </c>
      <c r="BI88" s="82" t="n">
        <f aca="false">SUM(BI83:BI87)</f>
        <v>0</v>
      </c>
      <c r="BJ88" s="82" t="n">
        <f aca="false">SUM(BJ83:BJ87)</f>
        <v>0</v>
      </c>
      <c r="BK88" s="82" t="n">
        <f aca="false">SUM(BK83:BK87)</f>
        <v>0</v>
      </c>
      <c r="BL88" s="82" t="n">
        <f aca="false">SUM(BL83:BL87)</f>
        <v>0</v>
      </c>
      <c r="BM88" s="82" t="n">
        <f aca="false">SUM(BM83:BM87)</f>
        <v>0</v>
      </c>
      <c r="BN88" s="82" t="n">
        <f aca="false">SUM(BN83:BN87)</f>
        <v>0</v>
      </c>
      <c r="BO88" s="82" t="n">
        <f aca="false">SUM(BO83:BO87)</f>
        <v>0</v>
      </c>
      <c r="BP88" s="83" t="n">
        <f aca="false">SUM(BP83:BP87)</f>
        <v>0</v>
      </c>
      <c r="BQ88" s="82" t="n">
        <f aca="false">SUM(BQ83:BQ87)</f>
        <v>0</v>
      </c>
      <c r="BR88" s="82" t="n">
        <f aca="false">SUM(BR83:BR87)</f>
        <v>0</v>
      </c>
      <c r="BS88" s="82" t="n">
        <f aca="false">SUM(BS83:BS87)</f>
        <v>0</v>
      </c>
      <c r="BT88" s="82" t="n">
        <f aca="false">SUM(BT83:BT87)</f>
        <v>0</v>
      </c>
      <c r="BU88" s="82" t="n">
        <f aca="false">SUM(BU83:BU87)</f>
        <v>0</v>
      </c>
      <c r="BV88" s="82" t="n">
        <f aca="false">SUM(BV83:BV87)</f>
        <v>0</v>
      </c>
      <c r="BW88" s="82" t="n">
        <f aca="false">SUM(BW83:BW87)</f>
        <v>0</v>
      </c>
      <c r="BX88" s="82" t="n">
        <f aca="false">SUM(BX83:BX87)</f>
        <v>0</v>
      </c>
      <c r="BY88" s="82" t="n">
        <f aca="false">SUM(BY83:BY87)</f>
        <v>0</v>
      </c>
      <c r="BZ88" s="82" t="n">
        <f aca="false">SUM(BZ83:BZ87)</f>
        <v>0</v>
      </c>
      <c r="CA88" s="82" t="n">
        <f aca="false">SUM(CA83:CA87)</f>
        <v>0</v>
      </c>
      <c r="CC88" s="84" t="n">
        <f aca="false">SUM(CC83:CC87)</f>
        <v>0</v>
      </c>
      <c r="CD88" s="84" t="n">
        <f aca="false">SUM(CD83:CD87)</f>
        <v>0</v>
      </c>
      <c r="CE88" s="84" t="n">
        <f aca="false">SUM(CE83:CE87)</f>
        <v>0</v>
      </c>
      <c r="CF88" s="84" t="n">
        <f aca="false">SUM(CF83:CF87)</f>
        <v>0</v>
      </c>
      <c r="CG88" s="84" t="n">
        <f aca="false">SUM(CG83:CG87)</f>
        <v>0</v>
      </c>
      <c r="CI88" s="84" t="n">
        <f aca="false">CC88=L88</f>
        <v>1</v>
      </c>
      <c r="CJ88" s="84" t="n">
        <f aca="false">CD88=M88</f>
        <v>1</v>
      </c>
      <c r="CK88" s="84" t="n">
        <f aca="false">CE88=N88</f>
        <v>1</v>
      </c>
      <c r="CL88" s="84" t="n">
        <f aca="false">CF88=O88</f>
        <v>1</v>
      </c>
      <c r="CM88" s="84" t="n">
        <f aca="false">CG88=P88</f>
        <v>1</v>
      </c>
    </row>
    <row r="89" s="14" customFormat="true" ht="16.5" hidden="true" customHeight="true" outlineLevel="1" collapsed="false">
      <c r="H89" s="71"/>
      <c r="I89" s="87"/>
      <c r="J89" s="87"/>
      <c r="K89" s="87"/>
      <c r="L89" s="87"/>
      <c r="M89" s="87"/>
      <c r="N89" s="87"/>
      <c r="O89" s="87"/>
      <c r="P89" s="87"/>
      <c r="Q89" s="16"/>
      <c r="R89" s="16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9"/>
      <c r="AG89" s="88"/>
      <c r="AH89" s="88"/>
      <c r="AI89" s="88"/>
      <c r="AJ89" s="88"/>
      <c r="AK89" s="88"/>
      <c r="AL89" s="88"/>
      <c r="AM89" s="88"/>
      <c r="AN89" s="88"/>
      <c r="AO89" s="88"/>
      <c r="AP89" s="88"/>
      <c r="AQ89" s="88"/>
      <c r="AR89" s="89"/>
      <c r="AS89" s="88"/>
      <c r="AT89" s="88"/>
      <c r="AU89" s="88"/>
      <c r="AV89" s="88"/>
      <c r="AW89" s="88"/>
      <c r="AX89" s="88"/>
      <c r="AY89" s="88"/>
      <c r="AZ89" s="88"/>
      <c r="BA89" s="88"/>
      <c r="BB89" s="88"/>
      <c r="BC89" s="88"/>
      <c r="BD89" s="89"/>
      <c r="BE89" s="88"/>
      <c r="BF89" s="88"/>
      <c r="BG89" s="88"/>
      <c r="BH89" s="88"/>
      <c r="BI89" s="88"/>
      <c r="BJ89" s="88"/>
      <c r="BK89" s="88"/>
      <c r="BL89" s="88"/>
      <c r="BM89" s="88"/>
      <c r="BN89" s="88"/>
      <c r="BO89" s="88"/>
      <c r="BP89" s="89"/>
      <c r="BQ89" s="88"/>
      <c r="BR89" s="88"/>
      <c r="BS89" s="88"/>
      <c r="BT89" s="88"/>
      <c r="BU89" s="88"/>
      <c r="BV89" s="88"/>
      <c r="BW89" s="88"/>
      <c r="BX89" s="88"/>
      <c r="BY89" s="88"/>
      <c r="BZ89" s="88"/>
      <c r="CA89" s="88"/>
      <c r="CC89" s="90"/>
      <c r="CD89" s="90"/>
      <c r="CE89" s="90"/>
      <c r="CF89" s="90"/>
      <c r="CG89" s="90"/>
      <c r="CI89" s="90"/>
      <c r="CJ89" s="90"/>
      <c r="CK89" s="90"/>
      <c r="CL89" s="90"/>
      <c r="CM89" s="90"/>
    </row>
    <row r="90" s="14" customFormat="true" ht="16.5" hidden="false" customHeight="true" outlineLevel="0" collapsed="false">
      <c r="E90" s="21" t="s">
        <v>130</v>
      </c>
      <c r="H90" s="71"/>
      <c r="I90" s="87"/>
      <c r="J90" s="87"/>
      <c r="K90" s="87"/>
      <c r="L90" s="87"/>
      <c r="M90" s="87"/>
      <c r="N90" s="87"/>
      <c r="O90" s="87"/>
      <c r="P90" s="87"/>
      <c r="Q90" s="16"/>
      <c r="R90" s="16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9"/>
      <c r="AG90" s="88"/>
      <c r="AH90" s="88"/>
      <c r="AI90" s="88"/>
      <c r="AJ90" s="88"/>
      <c r="AK90" s="88"/>
      <c r="AL90" s="88"/>
      <c r="AM90" s="88"/>
      <c r="AN90" s="88"/>
      <c r="AO90" s="88"/>
      <c r="AP90" s="88"/>
      <c r="AQ90" s="88"/>
      <c r="AR90" s="89"/>
      <c r="AS90" s="88"/>
      <c r="AT90" s="88"/>
      <c r="AU90" s="88"/>
      <c r="AV90" s="88"/>
      <c r="AW90" s="88"/>
      <c r="AX90" s="88"/>
      <c r="AY90" s="88"/>
      <c r="AZ90" s="88"/>
      <c r="BA90" s="88"/>
      <c r="BB90" s="88"/>
      <c r="BC90" s="88"/>
      <c r="BD90" s="89"/>
      <c r="BE90" s="88"/>
      <c r="BF90" s="88"/>
      <c r="BG90" s="88"/>
      <c r="BH90" s="88"/>
      <c r="BI90" s="88"/>
      <c r="BJ90" s="88"/>
      <c r="BK90" s="88"/>
      <c r="BL90" s="88"/>
      <c r="BM90" s="88"/>
      <c r="BN90" s="88"/>
      <c r="BO90" s="88"/>
      <c r="BP90" s="89"/>
      <c r="BQ90" s="88"/>
      <c r="BR90" s="88"/>
      <c r="BS90" s="88"/>
      <c r="BT90" s="88"/>
      <c r="BU90" s="88"/>
      <c r="BV90" s="88"/>
      <c r="BW90" s="88"/>
      <c r="BX90" s="88"/>
      <c r="BY90" s="88"/>
      <c r="BZ90" s="88"/>
      <c r="CA90" s="88"/>
      <c r="CC90" s="90"/>
      <c r="CD90" s="90"/>
      <c r="CE90" s="90"/>
      <c r="CF90" s="90"/>
      <c r="CG90" s="90"/>
      <c r="CI90" s="90"/>
      <c r="CJ90" s="90"/>
      <c r="CK90" s="90"/>
      <c r="CL90" s="90"/>
      <c r="CM90" s="90"/>
    </row>
    <row r="91" s="14" customFormat="true" ht="16.5" hidden="false" customHeight="true" outlineLevel="0" collapsed="false">
      <c r="E91" s="91" t="s">
        <v>131</v>
      </c>
      <c r="H91" s="71"/>
      <c r="I91" s="97" t="n">
        <f aca="false">J29</f>
        <v>25</v>
      </c>
      <c r="J91" s="97" t="n">
        <f aca="false">J36</f>
        <v>13</v>
      </c>
      <c r="K91" s="98" t="n">
        <f aca="false">I91-J91</f>
        <v>12</v>
      </c>
      <c r="L91" s="97"/>
      <c r="M91" s="97"/>
      <c r="N91" s="97" t="n">
        <f aca="false">K91</f>
        <v>12</v>
      </c>
      <c r="O91" s="97" t="n">
        <f aca="false">N91</f>
        <v>12</v>
      </c>
      <c r="P91" s="97" t="n">
        <f aca="false">O91</f>
        <v>12</v>
      </c>
      <c r="Q91" s="93" t="s">
        <v>132</v>
      </c>
      <c r="R91" s="16" t="str">
        <f aca="false">IF(K91=P91, "", "Error")</f>
        <v/>
      </c>
      <c r="T91" s="91"/>
      <c r="U91" s="91"/>
      <c r="V91" s="91"/>
      <c r="W91" s="91"/>
      <c r="X91" s="91"/>
      <c r="Y91" s="91"/>
      <c r="Z91" s="91"/>
      <c r="AA91" s="91"/>
      <c r="AB91" s="91"/>
      <c r="AC91" s="91"/>
      <c r="AD91" s="91"/>
      <c r="AE91" s="94"/>
      <c r="AF91" s="95"/>
      <c r="AG91" s="91"/>
      <c r="AH91" s="91"/>
      <c r="AI91" s="91"/>
      <c r="AJ91" s="91"/>
      <c r="AK91" s="91"/>
      <c r="AL91" s="91"/>
      <c r="AM91" s="91"/>
      <c r="AN91" s="91"/>
      <c r="AO91" s="91"/>
      <c r="AP91" s="91"/>
      <c r="AQ91" s="94"/>
      <c r="AR91" s="99" t="n">
        <f aca="false">$P$91/12</f>
        <v>1</v>
      </c>
      <c r="AS91" s="99" t="n">
        <f aca="false">$P$91/12</f>
        <v>1</v>
      </c>
      <c r="AT91" s="99" t="n">
        <f aca="false">$P$91/12</f>
        <v>1</v>
      </c>
      <c r="AU91" s="99" t="n">
        <f aca="false">$P$91/12</f>
        <v>1</v>
      </c>
      <c r="AV91" s="99" t="n">
        <f aca="false">$P$91/12</f>
        <v>1</v>
      </c>
      <c r="AW91" s="99" t="n">
        <f aca="false">$P$91/12</f>
        <v>1</v>
      </c>
      <c r="AX91" s="99" t="n">
        <f aca="false">$P$91/12</f>
        <v>1</v>
      </c>
      <c r="AY91" s="99" t="n">
        <f aca="false">$P$91/12</f>
        <v>1</v>
      </c>
      <c r="AZ91" s="99" t="n">
        <f aca="false">$P$91/12</f>
        <v>1</v>
      </c>
      <c r="BA91" s="99" t="n">
        <f aca="false">$P$91/12</f>
        <v>1</v>
      </c>
      <c r="BB91" s="99" t="n">
        <f aca="false">$P$91/12</f>
        <v>1</v>
      </c>
      <c r="BC91" s="99" t="n">
        <f aca="false">$P$91/12</f>
        <v>1</v>
      </c>
      <c r="BD91" s="99" t="n">
        <f aca="false">$P$91/12</f>
        <v>1</v>
      </c>
      <c r="BE91" s="99" t="n">
        <f aca="false">$P$91/12</f>
        <v>1</v>
      </c>
      <c r="BF91" s="99" t="n">
        <f aca="false">$P$91/12</f>
        <v>1</v>
      </c>
      <c r="BG91" s="99" t="n">
        <f aca="false">$P$91/12</f>
        <v>1</v>
      </c>
      <c r="BH91" s="99" t="n">
        <f aca="false">$P$91/12</f>
        <v>1</v>
      </c>
      <c r="BI91" s="99" t="n">
        <f aca="false">$P$91/12</f>
        <v>1</v>
      </c>
      <c r="BJ91" s="99" t="n">
        <f aca="false">$P$91/12</f>
        <v>1</v>
      </c>
      <c r="BK91" s="99" t="n">
        <f aca="false">$P$91/12</f>
        <v>1</v>
      </c>
      <c r="BL91" s="99" t="n">
        <f aca="false">$P$91/12</f>
        <v>1</v>
      </c>
      <c r="BM91" s="99" t="n">
        <f aca="false">$P$91/12</f>
        <v>1</v>
      </c>
      <c r="BN91" s="99" t="n">
        <f aca="false">$P$91/12</f>
        <v>1</v>
      </c>
      <c r="BO91" s="99" t="n">
        <f aca="false">$P$91/12</f>
        <v>1</v>
      </c>
      <c r="BP91" s="99" t="n">
        <f aca="false">$P$91/12</f>
        <v>1</v>
      </c>
      <c r="BQ91" s="99" t="n">
        <f aca="false">$P$91/12</f>
        <v>1</v>
      </c>
      <c r="BR91" s="99" t="n">
        <f aca="false">$P$91/12</f>
        <v>1</v>
      </c>
      <c r="BS91" s="99" t="n">
        <f aca="false">$P$91/12</f>
        <v>1</v>
      </c>
      <c r="BT91" s="99" t="n">
        <f aca="false">$P$91/12</f>
        <v>1</v>
      </c>
      <c r="BU91" s="99" t="n">
        <f aca="false">$P$91/12</f>
        <v>1</v>
      </c>
      <c r="BV91" s="99" t="n">
        <f aca="false">$P$91/12</f>
        <v>1</v>
      </c>
      <c r="BW91" s="99" t="n">
        <f aca="false">$P$91/12</f>
        <v>1</v>
      </c>
      <c r="BX91" s="99" t="n">
        <f aca="false">$P$91/12</f>
        <v>1</v>
      </c>
      <c r="BY91" s="99" t="n">
        <f aca="false">$P$91/12</f>
        <v>1</v>
      </c>
      <c r="BZ91" s="99" t="n">
        <f aca="false">$P$91/12</f>
        <v>1</v>
      </c>
      <c r="CA91" s="99" t="n">
        <f aca="false">$P$91/12</f>
        <v>1</v>
      </c>
      <c r="CB91" s="95" t="n">
        <f aca="false">20/12</f>
        <v>1.66666666666667</v>
      </c>
      <c r="CC91" s="79" t="n">
        <f aca="false">SUMIFS($T91:$CA91, $T$1:$CA$1, CC$75)</f>
        <v>0</v>
      </c>
      <c r="CD91" s="79"/>
      <c r="CE91" s="79" t="n">
        <f aca="false">SUMIFS($T91:$CA91, $T$1:$CA$1, CE$75)</f>
        <v>12</v>
      </c>
      <c r="CF91" s="79" t="n">
        <f aca="false">SUMIFS($T91:$CA91, $T$1:$CA$1, CF$75)</f>
        <v>12</v>
      </c>
      <c r="CG91" s="79" t="n">
        <f aca="false">SUMIFS($T91:$CA91, $T$1:$CA$1, CG$75)</f>
        <v>12</v>
      </c>
      <c r="CI91" s="79" t="n">
        <f aca="false">CC91=L91</f>
        <v>1</v>
      </c>
      <c r="CJ91" s="79" t="n">
        <f aca="false">CD91=M91</f>
        <v>1</v>
      </c>
      <c r="CK91" s="79" t="n">
        <f aca="false">CE91=N91</f>
        <v>1</v>
      </c>
      <c r="CL91" s="79" t="n">
        <f aca="false">CF91=O91</f>
        <v>1</v>
      </c>
      <c r="CM91" s="79" t="n">
        <f aca="false">CG91=P91</f>
        <v>1</v>
      </c>
    </row>
    <row r="92" s="14" customFormat="true" ht="16.5" hidden="true" customHeight="true" outlineLevel="1" collapsed="false">
      <c r="E92" s="91"/>
      <c r="H92" s="71"/>
      <c r="I92" s="100" t="n">
        <v>0</v>
      </c>
      <c r="J92" s="100" t="n">
        <v>0</v>
      </c>
      <c r="K92" s="101" t="n">
        <f aca="false">I92-J92</f>
        <v>0</v>
      </c>
      <c r="L92" s="100"/>
      <c r="M92" s="100"/>
      <c r="N92" s="100"/>
      <c r="O92" s="100"/>
      <c r="P92" s="100"/>
      <c r="Q92" s="93"/>
      <c r="R92" s="16" t="str">
        <f aca="false">IF(K92=P92, "", "Error")</f>
        <v/>
      </c>
      <c r="T92" s="91"/>
      <c r="U92" s="91"/>
      <c r="V92" s="91"/>
      <c r="W92" s="91"/>
      <c r="X92" s="91"/>
      <c r="Y92" s="91"/>
      <c r="Z92" s="91"/>
      <c r="AA92" s="91"/>
      <c r="AB92" s="91"/>
      <c r="AC92" s="91"/>
      <c r="AD92" s="91"/>
      <c r="AE92" s="94"/>
      <c r="AF92" s="95"/>
      <c r="AG92" s="91"/>
      <c r="AH92" s="91"/>
      <c r="AI92" s="91"/>
      <c r="AJ92" s="91"/>
      <c r="AK92" s="91"/>
      <c r="AL92" s="91"/>
      <c r="AM92" s="91"/>
      <c r="AN92" s="91"/>
      <c r="AO92" s="91"/>
      <c r="AP92" s="91"/>
      <c r="AQ92" s="94"/>
      <c r="AR92" s="95"/>
      <c r="AS92" s="91"/>
      <c r="AT92" s="91"/>
      <c r="AU92" s="91"/>
      <c r="AV92" s="91"/>
      <c r="AW92" s="91"/>
      <c r="AX92" s="91"/>
      <c r="AY92" s="91"/>
      <c r="AZ92" s="91"/>
      <c r="BA92" s="91"/>
      <c r="BB92" s="91"/>
      <c r="BC92" s="94"/>
      <c r="BD92" s="95"/>
      <c r="BE92" s="91"/>
      <c r="BF92" s="91"/>
      <c r="BG92" s="91"/>
      <c r="BH92" s="91"/>
      <c r="BI92" s="91"/>
      <c r="BJ92" s="91"/>
      <c r="BK92" s="91"/>
      <c r="BL92" s="91"/>
      <c r="BM92" s="91"/>
      <c r="BN92" s="91"/>
      <c r="BO92" s="94"/>
      <c r="BP92" s="95"/>
      <c r="BQ92" s="91"/>
      <c r="BR92" s="91"/>
      <c r="BS92" s="91"/>
      <c r="BT92" s="91"/>
      <c r="BU92" s="91"/>
      <c r="BV92" s="91"/>
      <c r="BW92" s="91"/>
      <c r="BX92" s="91"/>
      <c r="BY92" s="91"/>
      <c r="BZ92" s="91"/>
      <c r="CA92" s="91"/>
      <c r="CC92" s="79" t="n">
        <f aca="false">SUMIFS($T92:$CA92, $T$1:$CA$1, CC$75)</f>
        <v>0</v>
      </c>
      <c r="CD92" s="79" t="n">
        <f aca="false">SUMIFS($T92:$CA92, $T$1:$CA$1, CD$75)</f>
        <v>0</v>
      </c>
      <c r="CE92" s="79" t="n">
        <f aca="false">SUMIFS($T92:$CA92, $T$1:$CA$1, CE$75)</f>
        <v>0</v>
      </c>
      <c r="CF92" s="79" t="n">
        <f aca="false">SUMIFS($T92:$CA92, $T$1:$CA$1, CF$75)</f>
        <v>0</v>
      </c>
      <c r="CG92" s="79" t="n">
        <f aca="false">SUMIFS($T92:$CA92, $T$1:$CA$1, CG$75)</f>
        <v>0</v>
      </c>
      <c r="CI92" s="79" t="n">
        <f aca="false">CC92=L92</f>
        <v>1</v>
      </c>
      <c r="CJ92" s="79" t="n">
        <f aca="false">CD92=M92</f>
        <v>1</v>
      </c>
      <c r="CK92" s="79" t="n">
        <f aca="false">CE92=N92</f>
        <v>1</v>
      </c>
      <c r="CL92" s="79" t="n">
        <f aca="false">CF92=O92</f>
        <v>1</v>
      </c>
      <c r="CM92" s="79" t="n">
        <f aca="false">CG92=P92</f>
        <v>1</v>
      </c>
    </row>
    <row r="93" s="14" customFormat="true" ht="16.5" hidden="true" customHeight="true" outlineLevel="1" collapsed="false">
      <c r="E93" s="91"/>
      <c r="H93" s="71"/>
      <c r="I93" s="100" t="n">
        <v>0</v>
      </c>
      <c r="J93" s="100" t="n">
        <v>0</v>
      </c>
      <c r="K93" s="101" t="n">
        <f aca="false">I93-J93</f>
        <v>0</v>
      </c>
      <c r="L93" s="100"/>
      <c r="M93" s="100"/>
      <c r="N93" s="100"/>
      <c r="O93" s="100"/>
      <c r="P93" s="100"/>
      <c r="Q93" s="93"/>
      <c r="R93" s="16" t="str">
        <f aca="false">IF(K93=P93, "", "Error")</f>
        <v/>
      </c>
      <c r="T93" s="91"/>
      <c r="U93" s="91"/>
      <c r="V93" s="91"/>
      <c r="W93" s="91"/>
      <c r="X93" s="91"/>
      <c r="Y93" s="91"/>
      <c r="Z93" s="91"/>
      <c r="AA93" s="91"/>
      <c r="AB93" s="91"/>
      <c r="AC93" s="91"/>
      <c r="AD93" s="91"/>
      <c r="AE93" s="94"/>
      <c r="AF93" s="95"/>
      <c r="AG93" s="91"/>
      <c r="AH93" s="91"/>
      <c r="AI93" s="91"/>
      <c r="AJ93" s="91"/>
      <c r="AK93" s="91"/>
      <c r="AL93" s="91"/>
      <c r="AM93" s="91"/>
      <c r="AN93" s="91"/>
      <c r="AO93" s="91"/>
      <c r="AP93" s="91"/>
      <c r="AQ93" s="94"/>
      <c r="AR93" s="95"/>
      <c r="AS93" s="91"/>
      <c r="AT93" s="91"/>
      <c r="AU93" s="91"/>
      <c r="AV93" s="91"/>
      <c r="AW93" s="91"/>
      <c r="AX93" s="91"/>
      <c r="AY93" s="91"/>
      <c r="AZ93" s="91"/>
      <c r="BA93" s="91"/>
      <c r="BB93" s="91"/>
      <c r="BC93" s="94"/>
      <c r="BD93" s="95"/>
      <c r="BE93" s="91"/>
      <c r="BF93" s="91"/>
      <c r="BG93" s="91"/>
      <c r="BH93" s="91"/>
      <c r="BI93" s="91"/>
      <c r="BJ93" s="91"/>
      <c r="BK93" s="91"/>
      <c r="BL93" s="91"/>
      <c r="BM93" s="91"/>
      <c r="BN93" s="91"/>
      <c r="BO93" s="94"/>
      <c r="BP93" s="95"/>
      <c r="BQ93" s="91"/>
      <c r="BR93" s="91"/>
      <c r="BS93" s="91"/>
      <c r="BT93" s="91"/>
      <c r="BU93" s="91"/>
      <c r="BV93" s="91"/>
      <c r="BW93" s="91"/>
      <c r="BX93" s="91"/>
      <c r="BY93" s="91"/>
      <c r="BZ93" s="91"/>
      <c r="CA93" s="91"/>
      <c r="CC93" s="79" t="n">
        <f aca="false">SUMIFS($T93:$CA93, $T$1:$CA$1, CC$75)</f>
        <v>0</v>
      </c>
      <c r="CD93" s="79" t="n">
        <f aca="false">SUMIFS($T93:$CA93, $T$1:$CA$1, CD$75)</f>
        <v>0</v>
      </c>
      <c r="CE93" s="79" t="n">
        <f aca="false">SUMIFS($T93:$CA93, $T$1:$CA$1, CE$75)</f>
        <v>0</v>
      </c>
      <c r="CF93" s="79" t="n">
        <f aca="false">SUMIFS($T93:$CA93, $T$1:$CA$1, CF$75)</f>
        <v>0</v>
      </c>
      <c r="CG93" s="79" t="n">
        <f aca="false">SUMIFS($T93:$CA93, $T$1:$CA$1, CG$75)</f>
        <v>0</v>
      </c>
      <c r="CI93" s="79" t="n">
        <f aca="false">CC93=L93</f>
        <v>1</v>
      </c>
      <c r="CJ93" s="79" t="n">
        <f aca="false">CD93=M93</f>
        <v>1</v>
      </c>
      <c r="CK93" s="79" t="n">
        <f aca="false">CE93=N93</f>
        <v>1</v>
      </c>
      <c r="CL93" s="79" t="n">
        <f aca="false">CF93=O93</f>
        <v>1</v>
      </c>
      <c r="CM93" s="79" t="n">
        <f aca="false">CG93=P93</f>
        <v>1</v>
      </c>
    </row>
    <row r="94" s="14" customFormat="true" ht="16.5" hidden="true" customHeight="true" outlineLevel="1" collapsed="false">
      <c r="E94" s="91"/>
      <c r="H94" s="71"/>
      <c r="I94" s="100" t="n">
        <v>0</v>
      </c>
      <c r="J94" s="100" t="n">
        <v>0</v>
      </c>
      <c r="K94" s="101" t="n">
        <f aca="false">I94-J94</f>
        <v>0</v>
      </c>
      <c r="L94" s="100"/>
      <c r="M94" s="100"/>
      <c r="N94" s="100"/>
      <c r="O94" s="100"/>
      <c r="P94" s="100"/>
      <c r="Q94" s="93"/>
      <c r="R94" s="16" t="str">
        <f aca="false">IF(K94=P94, "", "Error")</f>
        <v/>
      </c>
      <c r="T94" s="91"/>
      <c r="U94" s="91"/>
      <c r="V94" s="91"/>
      <c r="W94" s="91"/>
      <c r="X94" s="91"/>
      <c r="Y94" s="91"/>
      <c r="Z94" s="91"/>
      <c r="AA94" s="91"/>
      <c r="AB94" s="91"/>
      <c r="AC94" s="91"/>
      <c r="AD94" s="91"/>
      <c r="AE94" s="94"/>
      <c r="AF94" s="95"/>
      <c r="AG94" s="91"/>
      <c r="AH94" s="91"/>
      <c r="AI94" s="91"/>
      <c r="AJ94" s="91"/>
      <c r="AK94" s="91"/>
      <c r="AL94" s="91"/>
      <c r="AM94" s="91"/>
      <c r="AN94" s="91"/>
      <c r="AO94" s="91"/>
      <c r="AP94" s="91"/>
      <c r="AQ94" s="94"/>
      <c r="AR94" s="95"/>
      <c r="AS94" s="91"/>
      <c r="AT94" s="91"/>
      <c r="AU94" s="91"/>
      <c r="AV94" s="91"/>
      <c r="AW94" s="91"/>
      <c r="AX94" s="91"/>
      <c r="AY94" s="91"/>
      <c r="AZ94" s="91"/>
      <c r="BA94" s="91"/>
      <c r="BB94" s="91"/>
      <c r="BC94" s="94"/>
      <c r="BD94" s="95"/>
      <c r="BE94" s="91"/>
      <c r="BF94" s="91"/>
      <c r="BG94" s="91"/>
      <c r="BH94" s="91"/>
      <c r="BI94" s="91"/>
      <c r="BJ94" s="91"/>
      <c r="BK94" s="91"/>
      <c r="BL94" s="91"/>
      <c r="BM94" s="91"/>
      <c r="BN94" s="91"/>
      <c r="BO94" s="94"/>
      <c r="BP94" s="95"/>
      <c r="BQ94" s="91"/>
      <c r="BR94" s="91"/>
      <c r="BS94" s="91"/>
      <c r="BT94" s="91"/>
      <c r="BU94" s="91"/>
      <c r="BV94" s="91"/>
      <c r="BW94" s="91"/>
      <c r="BX94" s="91"/>
      <c r="BY94" s="91"/>
      <c r="BZ94" s="91"/>
      <c r="CA94" s="91"/>
      <c r="CC94" s="79" t="n">
        <f aca="false">SUMIFS($T94:$CA94, $T$1:$CA$1, CC$75)</f>
        <v>0</v>
      </c>
      <c r="CD94" s="79" t="n">
        <f aca="false">SUMIFS($T94:$CA94, $T$1:$CA$1, CD$75)</f>
        <v>0</v>
      </c>
      <c r="CE94" s="79" t="n">
        <f aca="false">SUMIFS($T94:$CA94, $T$1:$CA$1, CE$75)</f>
        <v>0</v>
      </c>
      <c r="CF94" s="79" t="n">
        <f aca="false">SUMIFS($T94:$CA94, $T$1:$CA$1, CF$75)</f>
        <v>0</v>
      </c>
      <c r="CG94" s="79" t="n">
        <f aca="false">SUMIFS($T94:$CA94, $T$1:$CA$1, CG$75)</f>
        <v>0</v>
      </c>
      <c r="CI94" s="79" t="n">
        <f aca="false">CC94=L94</f>
        <v>1</v>
      </c>
      <c r="CJ94" s="79" t="n">
        <f aca="false">CD94=M94</f>
        <v>1</v>
      </c>
      <c r="CK94" s="79" t="n">
        <f aca="false">CE94=N94</f>
        <v>1</v>
      </c>
      <c r="CL94" s="79" t="n">
        <f aca="false">CF94=O94</f>
        <v>1</v>
      </c>
      <c r="CM94" s="79" t="n">
        <f aca="false">CG94=P94</f>
        <v>1</v>
      </c>
    </row>
    <row r="95" s="14" customFormat="true" ht="16.5" hidden="true" customHeight="true" outlineLevel="1" collapsed="false">
      <c r="E95" s="91"/>
      <c r="H95" s="71"/>
      <c r="I95" s="100" t="n">
        <v>0</v>
      </c>
      <c r="J95" s="100" t="n">
        <v>0</v>
      </c>
      <c r="K95" s="101" t="n">
        <f aca="false">I95-J95</f>
        <v>0</v>
      </c>
      <c r="L95" s="100"/>
      <c r="M95" s="100"/>
      <c r="N95" s="100"/>
      <c r="O95" s="100"/>
      <c r="P95" s="100"/>
      <c r="Q95" s="93"/>
      <c r="R95" s="16" t="str">
        <f aca="false">IF(K95=P95, "", "Error")</f>
        <v/>
      </c>
      <c r="T95" s="91"/>
      <c r="U95" s="91"/>
      <c r="V95" s="91"/>
      <c r="W95" s="91"/>
      <c r="X95" s="91"/>
      <c r="Y95" s="91"/>
      <c r="Z95" s="91"/>
      <c r="AA95" s="91"/>
      <c r="AB95" s="91"/>
      <c r="AC95" s="91"/>
      <c r="AD95" s="91"/>
      <c r="AE95" s="94"/>
      <c r="AF95" s="95"/>
      <c r="AG95" s="91"/>
      <c r="AH95" s="91"/>
      <c r="AI95" s="91"/>
      <c r="AJ95" s="91"/>
      <c r="AK95" s="91"/>
      <c r="AL95" s="91"/>
      <c r="AM95" s="91"/>
      <c r="AN95" s="91"/>
      <c r="AO95" s="91"/>
      <c r="AP95" s="91"/>
      <c r="AQ95" s="94"/>
      <c r="AR95" s="95"/>
      <c r="AS95" s="91"/>
      <c r="AT95" s="91"/>
      <c r="AU95" s="91"/>
      <c r="AV95" s="91"/>
      <c r="AW95" s="91"/>
      <c r="AX95" s="91"/>
      <c r="AY95" s="91"/>
      <c r="AZ95" s="91"/>
      <c r="BA95" s="91"/>
      <c r="BB95" s="91"/>
      <c r="BC95" s="94"/>
      <c r="BD95" s="95"/>
      <c r="BE95" s="91"/>
      <c r="BF95" s="91"/>
      <c r="BG95" s="91"/>
      <c r="BH95" s="91"/>
      <c r="BI95" s="91"/>
      <c r="BJ95" s="91"/>
      <c r="BK95" s="91"/>
      <c r="BL95" s="91"/>
      <c r="BM95" s="91"/>
      <c r="BN95" s="91"/>
      <c r="BO95" s="94"/>
      <c r="BP95" s="95"/>
      <c r="BQ95" s="91"/>
      <c r="BR95" s="91"/>
      <c r="BS95" s="91"/>
      <c r="BT95" s="91"/>
      <c r="BU95" s="91"/>
      <c r="BV95" s="91"/>
      <c r="BW95" s="91"/>
      <c r="BX95" s="91"/>
      <c r="BY95" s="91"/>
      <c r="BZ95" s="91"/>
      <c r="CA95" s="91"/>
      <c r="CC95" s="79" t="n">
        <f aca="false">SUMIFS($T95:$CA95, $T$1:$CA$1, CC$75)</f>
        <v>0</v>
      </c>
      <c r="CD95" s="79" t="n">
        <f aca="false">SUMIFS($T95:$CA95, $T$1:$CA$1, CD$75)</f>
        <v>0</v>
      </c>
      <c r="CE95" s="79" t="n">
        <f aca="false">SUMIFS($T95:$CA95, $T$1:$CA$1, CE$75)</f>
        <v>0</v>
      </c>
      <c r="CF95" s="79" t="n">
        <f aca="false">SUMIFS($T95:$CA95, $T$1:$CA$1, CF$75)</f>
        <v>0</v>
      </c>
      <c r="CG95" s="79" t="n">
        <f aca="false">SUMIFS($T95:$CA95, $T$1:$CA$1, CG$75)</f>
        <v>0</v>
      </c>
      <c r="CI95" s="79" t="n">
        <f aca="false">CC95=L95</f>
        <v>1</v>
      </c>
      <c r="CJ95" s="79" t="n">
        <f aca="false">CD95=M95</f>
        <v>1</v>
      </c>
      <c r="CK95" s="79" t="n">
        <f aca="false">CE95=N95</f>
        <v>1</v>
      </c>
      <c r="CL95" s="79" t="n">
        <f aca="false">CF95=O95</f>
        <v>1</v>
      </c>
      <c r="CM95" s="79" t="n">
        <f aca="false">CG95=P95</f>
        <v>1</v>
      </c>
    </row>
    <row r="96" s="14" customFormat="true" ht="16.5" hidden="false" customHeight="true" outlineLevel="0" collapsed="false">
      <c r="E96" s="96" t="s">
        <v>133</v>
      </c>
      <c r="H96" s="71"/>
      <c r="I96" s="102" t="n">
        <f aca="false">SUM(I91:I95)</f>
        <v>25</v>
      </c>
      <c r="J96" s="102" t="n">
        <f aca="false">SUM(J91:J95)</f>
        <v>13</v>
      </c>
      <c r="K96" s="102" t="n">
        <f aca="false">SUM(K91:K95)</f>
        <v>12</v>
      </c>
      <c r="L96" s="102" t="n">
        <f aca="false">SUM(L91:L95)</f>
        <v>0</v>
      </c>
      <c r="M96" s="102" t="n">
        <f aca="false">SUM(M91:M95)</f>
        <v>0</v>
      </c>
      <c r="N96" s="102" t="n">
        <f aca="false">SUM(N91:N95)</f>
        <v>12</v>
      </c>
      <c r="O96" s="102" t="n">
        <f aca="false">SUM(O91:O95)</f>
        <v>12</v>
      </c>
      <c r="P96" s="102" t="n">
        <f aca="false">SUM(P91:P95)</f>
        <v>12</v>
      </c>
      <c r="Q96" s="103"/>
      <c r="R96" s="103"/>
      <c r="S96" s="104"/>
      <c r="T96" s="105" t="n">
        <f aca="false">SUM(T91:T95)</f>
        <v>0</v>
      </c>
      <c r="U96" s="105" t="n">
        <f aca="false">SUM(U91:U95)</f>
        <v>0</v>
      </c>
      <c r="V96" s="105" t="n">
        <f aca="false">SUM(V91:V95)</f>
        <v>0</v>
      </c>
      <c r="W96" s="105" t="n">
        <f aca="false">SUM(W91:W95)</f>
        <v>0</v>
      </c>
      <c r="X96" s="105" t="n">
        <f aca="false">SUM(X91:X95)</f>
        <v>0</v>
      </c>
      <c r="Y96" s="105" t="n">
        <f aca="false">SUM(Y91:Y95)</f>
        <v>0</v>
      </c>
      <c r="Z96" s="105" t="n">
        <f aca="false">SUM(Z91:Z95)</f>
        <v>0</v>
      </c>
      <c r="AA96" s="105" t="n">
        <f aca="false">SUM(AA91:AA95)</f>
        <v>0</v>
      </c>
      <c r="AB96" s="105" t="n">
        <f aca="false">SUM(AB91:AB95)</f>
        <v>0</v>
      </c>
      <c r="AC96" s="105" t="n">
        <f aca="false">SUM(AC91:AC95)</f>
        <v>0</v>
      </c>
      <c r="AD96" s="105" t="n">
        <f aca="false">SUM(AD91:AD95)</f>
        <v>0</v>
      </c>
      <c r="AE96" s="105" t="n">
        <f aca="false">SUM(AE91:AE95)</f>
        <v>0</v>
      </c>
      <c r="AF96" s="106" t="n">
        <f aca="false">SUM(AF91:AF95)</f>
        <v>0</v>
      </c>
      <c r="AG96" s="105" t="n">
        <f aca="false">SUM(AG91:AG95)</f>
        <v>0</v>
      </c>
      <c r="AH96" s="105" t="n">
        <f aca="false">SUM(AH91:AH95)</f>
        <v>0</v>
      </c>
      <c r="AI96" s="105" t="n">
        <f aca="false">SUM(AI91:AI95)</f>
        <v>0</v>
      </c>
      <c r="AJ96" s="105" t="n">
        <f aca="false">SUM(AJ91:AJ95)</f>
        <v>0</v>
      </c>
      <c r="AK96" s="105" t="n">
        <f aca="false">SUM(AK91:AK95)</f>
        <v>0</v>
      </c>
      <c r="AL96" s="105" t="n">
        <f aca="false">SUM(AL91:AL95)</f>
        <v>0</v>
      </c>
      <c r="AM96" s="105" t="n">
        <f aca="false">SUM(AM91:AM95)</f>
        <v>0</v>
      </c>
      <c r="AN96" s="105" t="n">
        <f aca="false">SUM(AN91:AN95)</f>
        <v>0</v>
      </c>
      <c r="AO96" s="105" t="n">
        <f aca="false">SUM(AO91:AO95)</f>
        <v>0</v>
      </c>
      <c r="AP96" s="105" t="n">
        <f aca="false">SUM(AP91:AP95)</f>
        <v>0</v>
      </c>
      <c r="AQ96" s="105" t="n">
        <f aca="false">SUM(AQ91:AQ95)</f>
        <v>0</v>
      </c>
      <c r="AR96" s="106" t="n">
        <f aca="false">SUM(AR91:AR95)</f>
        <v>1</v>
      </c>
      <c r="AS96" s="105" t="n">
        <f aca="false">SUM(AS91:AS95)</f>
        <v>1</v>
      </c>
      <c r="AT96" s="105" t="n">
        <f aca="false">SUM(AT91:AT95)</f>
        <v>1</v>
      </c>
      <c r="AU96" s="105" t="n">
        <f aca="false">SUM(AU91:AU95)</f>
        <v>1</v>
      </c>
      <c r="AV96" s="105" t="n">
        <f aca="false">SUM(AV91:AV95)</f>
        <v>1</v>
      </c>
      <c r="AW96" s="105" t="n">
        <f aca="false">SUM(AW91:AW95)</f>
        <v>1</v>
      </c>
      <c r="AX96" s="105" t="n">
        <f aca="false">SUM(AX91:AX95)</f>
        <v>1</v>
      </c>
      <c r="AY96" s="105" t="n">
        <f aca="false">SUM(AY91:AY95)</f>
        <v>1</v>
      </c>
      <c r="AZ96" s="105" t="n">
        <f aca="false">SUM(AZ91:AZ95)</f>
        <v>1</v>
      </c>
      <c r="BA96" s="105" t="n">
        <f aca="false">SUM(BA91:BA95)</f>
        <v>1</v>
      </c>
      <c r="BB96" s="105" t="n">
        <f aca="false">SUM(BB91:BB95)</f>
        <v>1</v>
      </c>
      <c r="BC96" s="105" t="n">
        <f aca="false">SUM(BC91:BC95)</f>
        <v>1</v>
      </c>
      <c r="BD96" s="106" t="n">
        <f aca="false">SUM(BD91:BD95)</f>
        <v>1</v>
      </c>
      <c r="BE96" s="105" t="n">
        <f aca="false">SUM(BE91:BE95)</f>
        <v>1</v>
      </c>
      <c r="BF96" s="105" t="n">
        <f aca="false">SUM(BF91:BF95)</f>
        <v>1</v>
      </c>
      <c r="BG96" s="105" t="n">
        <f aca="false">SUM(BG91:BG95)</f>
        <v>1</v>
      </c>
      <c r="BH96" s="105" t="n">
        <f aca="false">SUM(BH91:BH95)</f>
        <v>1</v>
      </c>
      <c r="BI96" s="105" t="n">
        <f aca="false">SUM(BI91:BI95)</f>
        <v>1</v>
      </c>
      <c r="BJ96" s="105" t="n">
        <f aca="false">SUM(BJ91:BJ95)</f>
        <v>1</v>
      </c>
      <c r="BK96" s="105" t="n">
        <f aca="false">SUM(BK91:BK95)</f>
        <v>1</v>
      </c>
      <c r="BL96" s="105" t="n">
        <f aca="false">SUM(BL91:BL95)</f>
        <v>1</v>
      </c>
      <c r="BM96" s="105" t="n">
        <f aca="false">SUM(BM91:BM95)</f>
        <v>1</v>
      </c>
      <c r="BN96" s="105" t="n">
        <f aca="false">SUM(BN91:BN95)</f>
        <v>1</v>
      </c>
      <c r="BO96" s="105" t="n">
        <f aca="false">SUM(BO91:BO95)</f>
        <v>1</v>
      </c>
      <c r="BP96" s="106" t="n">
        <f aca="false">SUM(BP91:BP95)</f>
        <v>1</v>
      </c>
      <c r="BQ96" s="105" t="n">
        <f aca="false">SUM(BQ91:BQ95)</f>
        <v>1</v>
      </c>
      <c r="BR96" s="105" t="n">
        <f aca="false">SUM(BR91:BR95)</f>
        <v>1</v>
      </c>
      <c r="BS96" s="105" t="n">
        <f aca="false">SUM(BS91:BS95)</f>
        <v>1</v>
      </c>
      <c r="BT96" s="105" t="n">
        <f aca="false">SUM(BT91:BT95)</f>
        <v>1</v>
      </c>
      <c r="BU96" s="105" t="n">
        <f aca="false">SUM(BU91:BU95)</f>
        <v>1</v>
      </c>
      <c r="BV96" s="105" t="n">
        <f aca="false">SUM(BV91:BV95)</f>
        <v>1</v>
      </c>
      <c r="BW96" s="105" t="n">
        <f aca="false">SUM(BW91:BW95)</f>
        <v>1</v>
      </c>
      <c r="BX96" s="105" t="n">
        <f aca="false">SUM(BX91:BX95)</f>
        <v>1</v>
      </c>
      <c r="BY96" s="105" t="n">
        <f aca="false">SUM(BY91:BY95)</f>
        <v>1</v>
      </c>
      <c r="BZ96" s="105" t="n">
        <f aca="false">SUM(BZ91:BZ95)</f>
        <v>1</v>
      </c>
      <c r="CA96" s="105" t="n">
        <f aca="false">SUM(CA91:CA95)</f>
        <v>1</v>
      </c>
      <c r="CB96" s="104"/>
      <c r="CC96" s="105" t="n">
        <f aca="false">SUM(CC91:CC95)</f>
        <v>0</v>
      </c>
      <c r="CD96" s="105" t="n">
        <f aca="false">SUM(CD91:CD95)</f>
        <v>0</v>
      </c>
      <c r="CE96" s="105" t="n">
        <f aca="false">SUM(CE91:CE95)</f>
        <v>12</v>
      </c>
      <c r="CF96" s="105" t="n">
        <f aca="false">SUM(CF91:CF95)</f>
        <v>12</v>
      </c>
      <c r="CG96" s="105" t="n">
        <f aca="false">SUM(CG91:CG95)</f>
        <v>12</v>
      </c>
      <c r="CI96" s="84" t="n">
        <f aca="false">CC96=L96</f>
        <v>1</v>
      </c>
      <c r="CJ96" s="84" t="n">
        <f aca="false">CD96=M96</f>
        <v>1</v>
      </c>
      <c r="CK96" s="84" t="n">
        <f aca="false">CE96=N96</f>
        <v>1</v>
      </c>
      <c r="CL96" s="84" t="n">
        <f aca="false">CF96=O96</f>
        <v>1</v>
      </c>
      <c r="CM96" s="84" t="n">
        <f aca="false">CG96=P96</f>
        <v>1</v>
      </c>
    </row>
    <row r="97" s="14" customFormat="true" ht="16.5" hidden="true" customHeight="true" outlineLevel="1" collapsed="false">
      <c r="E97" s="96"/>
      <c r="H97" s="71"/>
      <c r="I97" s="107"/>
      <c r="J97" s="107"/>
      <c r="K97" s="107"/>
      <c r="L97" s="107"/>
      <c r="M97" s="107"/>
      <c r="N97" s="107"/>
      <c r="O97" s="107"/>
      <c r="P97" s="107"/>
      <c r="Q97" s="16"/>
      <c r="R97" s="16"/>
      <c r="T97" s="82"/>
      <c r="U97" s="82"/>
      <c r="V97" s="82"/>
      <c r="W97" s="82"/>
      <c r="X97" s="82"/>
      <c r="Y97" s="82"/>
      <c r="Z97" s="82"/>
      <c r="AA97" s="82"/>
      <c r="AB97" s="82"/>
      <c r="AC97" s="82"/>
      <c r="AD97" s="82"/>
      <c r="AE97" s="82"/>
      <c r="AF97" s="83"/>
      <c r="AG97" s="82"/>
      <c r="AH97" s="82"/>
      <c r="AI97" s="82"/>
      <c r="AJ97" s="82"/>
      <c r="AK97" s="82"/>
      <c r="AL97" s="82"/>
      <c r="AM97" s="82"/>
      <c r="AN97" s="82"/>
      <c r="AO97" s="82"/>
      <c r="AP97" s="82"/>
      <c r="AQ97" s="82"/>
      <c r="AR97" s="83"/>
      <c r="AS97" s="82"/>
      <c r="AT97" s="82"/>
      <c r="AU97" s="82"/>
      <c r="AV97" s="82"/>
      <c r="AW97" s="82"/>
      <c r="AX97" s="82"/>
      <c r="AY97" s="82"/>
      <c r="AZ97" s="82"/>
      <c r="BA97" s="82"/>
      <c r="BB97" s="82"/>
      <c r="BC97" s="82"/>
      <c r="BD97" s="83"/>
      <c r="BE97" s="82"/>
      <c r="BF97" s="82"/>
      <c r="BG97" s="82"/>
      <c r="BH97" s="82"/>
      <c r="BI97" s="82"/>
      <c r="BJ97" s="82"/>
      <c r="BK97" s="82"/>
      <c r="BL97" s="82"/>
      <c r="BM97" s="82"/>
      <c r="BN97" s="82"/>
      <c r="BO97" s="82"/>
      <c r="BP97" s="83"/>
      <c r="BQ97" s="82"/>
      <c r="BR97" s="82"/>
      <c r="BS97" s="82"/>
      <c r="BT97" s="82"/>
      <c r="BU97" s="82"/>
      <c r="BV97" s="82"/>
      <c r="BW97" s="82"/>
      <c r="BX97" s="82"/>
      <c r="BY97" s="82"/>
      <c r="BZ97" s="82"/>
      <c r="CA97" s="82"/>
      <c r="CC97" s="84"/>
      <c r="CD97" s="84"/>
      <c r="CE97" s="84"/>
      <c r="CF97" s="84"/>
      <c r="CG97" s="84"/>
      <c r="CI97" s="84"/>
      <c r="CJ97" s="84"/>
      <c r="CK97" s="84"/>
      <c r="CL97" s="84"/>
      <c r="CM97" s="84"/>
    </row>
    <row r="98" s="14" customFormat="true" ht="16.5" hidden="true" customHeight="true" outlineLevel="1" collapsed="false">
      <c r="E98" s="96"/>
      <c r="H98" s="71"/>
      <c r="I98" s="107"/>
      <c r="J98" s="107"/>
      <c r="K98" s="107"/>
      <c r="L98" s="107"/>
      <c r="M98" s="107"/>
      <c r="N98" s="107"/>
      <c r="O98" s="107"/>
      <c r="P98" s="107"/>
      <c r="Q98" s="16"/>
      <c r="R98" s="16"/>
      <c r="T98" s="82"/>
      <c r="U98" s="82"/>
      <c r="V98" s="82"/>
      <c r="W98" s="82"/>
      <c r="X98" s="82"/>
      <c r="Y98" s="82"/>
      <c r="Z98" s="82"/>
      <c r="AA98" s="82"/>
      <c r="AB98" s="82"/>
      <c r="AC98" s="82"/>
      <c r="AD98" s="82"/>
      <c r="AE98" s="82"/>
      <c r="AF98" s="83"/>
      <c r="AG98" s="82"/>
      <c r="AH98" s="82"/>
      <c r="AI98" s="82"/>
      <c r="AJ98" s="82"/>
      <c r="AK98" s="82"/>
      <c r="AL98" s="82"/>
      <c r="AM98" s="82"/>
      <c r="AN98" s="82"/>
      <c r="AO98" s="82"/>
      <c r="AP98" s="82"/>
      <c r="AQ98" s="82"/>
      <c r="AR98" s="83"/>
      <c r="AS98" s="82"/>
      <c r="AT98" s="82"/>
      <c r="AU98" s="82"/>
      <c r="AV98" s="82"/>
      <c r="AW98" s="82"/>
      <c r="AX98" s="82"/>
      <c r="AY98" s="82"/>
      <c r="AZ98" s="82"/>
      <c r="BA98" s="82"/>
      <c r="BB98" s="82"/>
      <c r="BC98" s="82"/>
      <c r="BD98" s="83"/>
      <c r="BE98" s="82"/>
      <c r="BF98" s="82"/>
      <c r="BG98" s="82"/>
      <c r="BH98" s="82"/>
      <c r="BI98" s="82"/>
      <c r="BJ98" s="82"/>
      <c r="BK98" s="82"/>
      <c r="BL98" s="82"/>
      <c r="BM98" s="82"/>
      <c r="BN98" s="82"/>
      <c r="BO98" s="82"/>
      <c r="BP98" s="83"/>
      <c r="BQ98" s="82"/>
      <c r="BR98" s="82"/>
      <c r="BS98" s="82"/>
      <c r="BT98" s="82"/>
      <c r="BU98" s="82"/>
      <c r="BV98" s="82"/>
      <c r="BW98" s="82"/>
      <c r="BX98" s="82"/>
      <c r="BY98" s="82"/>
      <c r="BZ98" s="82"/>
      <c r="CA98" s="82"/>
      <c r="CC98" s="84"/>
      <c r="CD98" s="84"/>
      <c r="CE98" s="84"/>
      <c r="CF98" s="84"/>
      <c r="CG98" s="84"/>
      <c r="CI98" s="84"/>
      <c r="CJ98" s="84"/>
      <c r="CK98" s="84"/>
      <c r="CL98" s="84"/>
      <c r="CM98" s="84"/>
    </row>
    <row r="99" s="14" customFormat="true" ht="16.5" hidden="true" customHeight="true" outlineLevel="1" collapsed="false">
      <c r="E99" s="85"/>
      <c r="H99" s="71"/>
      <c r="I99" s="108"/>
      <c r="J99" s="108"/>
      <c r="K99" s="108"/>
      <c r="L99" s="108"/>
      <c r="M99" s="108"/>
      <c r="N99" s="108"/>
      <c r="O99" s="108"/>
      <c r="P99" s="108"/>
      <c r="Q99" s="16"/>
      <c r="R99" s="16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9"/>
      <c r="AG99" s="88"/>
      <c r="AH99" s="88"/>
      <c r="AI99" s="88"/>
      <c r="AJ99" s="88"/>
      <c r="AK99" s="88"/>
      <c r="AL99" s="88"/>
      <c r="AM99" s="88"/>
      <c r="AN99" s="88"/>
      <c r="AO99" s="88"/>
      <c r="AP99" s="88"/>
      <c r="AQ99" s="88"/>
      <c r="AR99" s="89"/>
      <c r="AS99" s="88"/>
      <c r="AT99" s="88"/>
      <c r="AU99" s="88"/>
      <c r="AV99" s="88"/>
      <c r="AW99" s="88"/>
      <c r="AX99" s="88"/>
      <c r="AY99" s="88"/>
      <c r="AZ99" s="88"/>
      <c r="BA99" s="88"/>
      <c r="BB99" s="88"/>
      <c r="BC99" s="88"/>
      <c r="BD99" s="89"/>
      <c r="BE99" s="88"/>
      <c r="BF99" s="88"/>
      <c r="BG99" s="88"/>
      <c r="BH99" s="88"/>
      <c r="BI99" s="88"/>
      <c r="BJ99" s="88"/>
      <c r="BK99" s="88"/>
      <c r="BL99" s="88"/>
      <c r="BM99" s="88"/>
      <c r="BN99" s="88"/>
      <c r="BO99" s="88"/>
      <c r="BP99" s="89"/>
      <c r="BQ99" s="88"/>
      <c r="BR99" s="88"/>
      <c r="BS99" s="88"/>
      <c r="BT99" s="88"/>
      <c r="BU99" s="88"/>
      <c r="BV99" s="88"/>
      <c r="BW99" s="88"/>
      <c r="BX99" s="88"/>
      <c r="BY99" s="88"/>
      <c r="BZ99" s="88"/>
      <c r="CA99" s="88"/>
      <c r="CC99" s="90"/>
      <c r="CD99" s="90"/>
      <c r="CE99" s="90"/>
      <c r="CF99" s="90"/>
      <c r="CG99" s="90"/>
      <c r="CI99" s="90"/>
      <c r="CJ99" s="90"/>
      <c r="CK99" s="90"/>
      <c r="CL99" s="90"/>
      <c r="CM99" s="90"/>
    </row>
    <row r="100" s="14" customFormat="true" ht="16.5" hidden="false" customHeight="true" outlineLevel="0" collapsed="false">
      <c r="E100" s="109" t="s">
        <v>134</v>
      </c>
      <c r="F100" s="109"/>
      <c r="G100" s="109"/>
      <c r="H100" s="110"/>
      <c r="I100" s="111" t="n">
        <f aca="false">SUM(I80, I88, I96)</f>
        <v>25</v>
      </c>
      <c r="J100" s="111" t="n">
        <f aca="false">SUM(J80, J88, J96)</f>
        <v>13</v>
      </c>
      <c r="K100" s="111" t="n">
        <f aca="false">SUM(-K80, K88, K96)</f>
        <v>12</v>
      </c>
      <c r="L100" s="111" t="n">
        <f aca="false">SUM(L80, L88, L96)</f>
        <v>0</v>
      </c>
      <c r="M100" s="111" t="n">
        <f aca="false">SUM(M80, M88, M96)</f>
        <v>0</v>
      </c>
      <c r="N100" s="111" t="n">
        <f aca="false">SUM(N80, N88, N96)</f>
        <v>12</v>
      </c>
      <c r="O100" s="111" t="n">
        <f aca="false">SUM(O80, O88, O96)</f>
        <v>12</v>
      </c>
      <c r="P100" s="111" t="n">
        <f aca="false">SUM(P80, P88, P96)</f>
        <v>12</v>
      </c>
      <c r="Q100" s="16"/>
      <c r="R100" s="16"/>
      <c r="T100" s="112" t="n">
        <f aca="false">SUM(T80, T88, T96)</f>
        <v>0</v>
      </c>
      <c r="U100" s="112" t="n">
        <f aca="false">SUM(U80, U88, U96)</f>
        <v>0</v>
      </c>
      <c r="V100" s="112" t="n">
        <f aca="false">SUM(V80, V88, V96)</f>
        <v>0</v>
      </c>
      <c r="W100" s="112" t="n">
        <f aca="false">SUM(W80, W88, W96)</f>
        <v>0</v>
      </c>
      <c r="X100" s="112" t="n">
        <f aca="false">SUM(X80, X88, X96)</f>
        <v>0</v>
      </c>
      <c r="Y100" s="112" t="n">
        <f aca="false">SUM(Y80, Y88, Y96)</f>
        <v>0</v>
      </c>
      <c r="Z100" s="112" t="n">
        <f aca="false">SUM(Z80, Z88, Z96)</f>
        <v>0</v>
      </c>
      <c r="AA100" s="112" t="n">
        <f aca="false">SUM(AA80, AA88, AA96)</f>
        <v>0</v>
      </c>
      <c r="AB100" s="112" t="n">
        <f aca="false">SUM(AB80, AB88, AB96)</f>
        <v>0</v>
      </c>
      <c r="AC100" s="112" t="n">
        <f aca="false">SUM(AC80, AC88, AC96)</f>
        <v>0</v>
      </c>
      <c r="AD100" s="112" t="n">
        <f aca="false">SUM(AD80, AD88, AD96)</f>
        <v>0</v>
      </c>
      <c r="AE100" s="112" t="n">
        <f aca="false">SUM(AE80, AE88, AE96)</f>
        <v>0</v>
      </c>
      <c r="AF100" s="112" t="n">
        <f aca="false">SUM(AF80, AF88, AF96)</f>
        <v>0</v>
      </c>
      <c r="AG100" s="112" t="n">
        <f aca="false">SUM(AG80, AG88, AG96)</f>
        <v>0</v>
      </c>
      <c r="AH100" s="112" t="n">
        <f aca="false">SUM(AH80, AH88, AH96)</f>
        <v>0</v>
      </c>
      <c r="AI100" s="112" t="n">
        <f aca="false">SUM(AI80, AI88, AI96)</f>
        <v>0</v>
      </c>
      <c r="AJ100" s="112" t="n">
        <f aca="false">SUM(AJ80, AJ88, AJ96)</f>
        <v>0</v>
      </c>
      <c r="AK100" s="112" t="n">
        <f aca="false">SUM(AK80, AK88, AK96)</f>
        <v>0</v>
      </c>
      <c r="AL100" s="112" t="n">
        <f aca="false">SUM(AL80, AL88, AL96)</f>
        <v>0</v>
      </c>
      <c r="AM100" s="112" t="n">
        <f aca="false">SUM(AM80, AM88, AM96)</f>
        <v>0</v>
      </c>
      <c r="AN100" s="112" t="n">
        <f aca="false">SUM(AN80, AN88, AN96)</f>
        <v>0</v>
      </c>
      <c r="AO100" s="112" t="n">
        <f aca="false">SUM(AO80, AO88, AO96)</f>
        <v>0</v>
      </c>
      <c r="AP100" s="112" t="n">
        <f aca="false">SUM(AP80, AP88, AP96)</f>
        <v>0</v>
      </c>
      <c r="AQ100" s="112" t="n">
        <f aca="false">SUM(AQ80, AQ88, AQ96)</f>
        <v>0</v>
      </c>
      <c r="AR100" s="112" t="n">
        <f aca="false">SUM(AR80, AR88, AR96)</f>
        <v>1</v>
      </c>
      <c r="AS100" s="112" t="n">
        <f aca="false">SUM(AS80, AS88, AS96)</f>
        <v>1</v>
      </c>
      <c r="AT100" s="112" t="n">
        <f aca="false">SUM(AT80, AT88, AT96)</f>
        <v>1</v>
      </c>
      <c r="AU100" s="112" t="n">
        <f aca="false">SUM(AU80, AU88, AU96)</f>
        <v>1</v>
      </c>
      <c r="AV100" s="112" t="n">
        <f aca="false">SUM(AV80, AV88, AV96)</f>
        <v>1</v>
      </c>
      <c r="AW100" s="112" t="n">
        <f aca="false">SUM(AW80, AW88, AW96)</f>
        <v>1</v>
      </c>
      <c r="AX100" s="112" t="n">
        <f aca="false">SUM(AX80, AX88, AX96)</f>
        <v>1</v>
      </c>
      <c r="AY100" s="112" t="n">
        <f aca="false">SUM(AY80, AY88, AY96)</f>
        <v>1</v>
      </c>
      <c r="AZ100" s="112" t="n">
        <f aca="false">SUM(AZ80, AZ88, AZ96)</f>
        <v>1</v>
      </c>
      <c r="BA100" s="112" t="n">
        <f aca="false">SUM(BA80, BA88, BA96)</f>
        <v>1</v>
      </c>
      <c r="BB100" s="112" t="n">
        <f aca="false">SUM(BB80, BB88, BB96)</f>
        <v>1</v>
      </c>
      <c r="BC100" s="112" t="n">
        <f aca="false">SUM(BC80, BC88, BC96)</f>
        <v>1</v>
      </c>
      <c r="BD100" s="112" t="n">
        <f aca="false">SUM(BD80, BD88, BD96)</f>
        <v>1</v>
      </c>
      <c r="BE100" s="112" t="n">
        <f aca="false">SUM(BE80, BE88, BE96)</f>
        <v>1</v>
      </c>
      <c r="BF100" s="112" t="n">
        <f aca="false">SUM(BF80, BF88, BF96)</f>
        <v>1</v>
      </c>
      <c r="BG100" s="112" t="n">
        <f aca="false">SUM(BG80, BG88, BG96)</f>
        <v>1</v>
      </c>
      <c r="BH100" s="112" t="n">
        <f aca="false">SUM(BH80, BH88, BH96)</f>
        <v>1</v>
      </c>
      <c r="BI100" s="112" t="n">
        <f aca="false">SUM(BI80, BI88, BI96)</f>
        <v>1</v>
      </c>
      <c r="BJ100" s="112" t="n">
        <f aca="false">SUM(BJ80, BJ88, BJ96)</f>
        <v>1</v>
      </c>
      <c r="BK100" s="112" t="n">
        <f aca="false">SUM(BK80, BK88, BK96)</f>
        <v>1</v>
      </c>
      <c r="BL100" s="112" t="n">
        <f aca="false">SUM(BL80, BL88, BL96)</f>
        <v>1</v>
      </c>
      <c r="BM100" s="112" t="n">
        <f aca="false">SUM(BM80, BM88, BM96)</f>
        <v>1</v>
      </c>
      <c r="BN100" s="112" t="n">
        <f aca="false">SUM(BN80, BN88, BN96)</f>
        <v>1</v>
      </c>
      <c r="BO100" s="112" t="n">
        <f aca="false">SUM(BO80, BO88, BO96)</f>
        <v>1</v>
      </c>
      <c r="BP100" s="112" t="n">
        <f aca="false">SUM(BP80, BP88, BP96)</f>
        <v>1</v>
      </c>
      <c r="BQ100" s="112" t="n">
        <f aca="false">SUM(BQ80, BQ88, BQ96)</f>
        <v>1</v>
      </c>
      <c r="BR100" s="112" t="n">
        <f aca="false">SUM(BR80, BR88, BR96)</f>
        <v>1</v>
      </c>
      <c r="BS100" s="112" t="n">
        <f aca="false">SUM(BS80, BS88, BS96)</f>
        <v>1</v>
      </c>
      <c r="BT100" s="112" t="n">
        <f aca="false">SUM(BT80, BT88, BT96)</f>
        <v>1</v>
      </c>
      <c r="BU100" s="112" t="n">
        <f aca="false">SUM(BU80, BU88, BU96)</f>
        <v>1</v>
      </c>
      <c r="BV100" s="112" t="n">
        <f aca="false">SUM(BV80, BV88, BV96)</f>
        <v>1</v>
      </c>
      <c r="BW100" s="112" t="n">
        <f aca="false">SUM(BW80, BW88, BW96)</f>
        <v>1</v>
      </c>
      <c r="BX100" s="112" t="n">
        <f aca="false">SUM(BX80, BX88, BX96)</f>
        <v>1</v>
      </c>
      <c r="BY100" s="112" t="n">
        <f aca="false">SUM(BY80, BY88, BY96)</f>
        <v>1</v>
      </c>
      <c r="BZ100" s="112" t="n">
        <f aca="false">SUM(BZ80, BZ88, BZ96)</f>
        <v>1</v>
      </c>
      <c r="CA100" s="112" t="n">
        <f aca="false">SUM(CA80, CA88, CA96)</f>
        <v>1</v>
      </c>
      <c r="CC100" s="112" t="n">
        <f aca="false">SUM(CC80, CC88, CC96)</f>
        <v>0</v>
      </c>
      <c r="CD100" s="112" t="n">
        <f aca="false">SUM(CD80, CD88, CD96)</f>
        <v>0</v>
      </c>
      <c r="CE100" s="112" t="n">
        <f aca="false">SUM(CE80, CE88, CE96)</f>
        <v>12</v>
      </c>
      <c r="CF100" s="112" t="n">
        <f aca="false">SUM(CF80, CF88, CF96)</f>
        <v>12</v>
      </c>
      <c r="CG100" s="112" t="n">
        <f aca="false">SUM(CG80, CG88, CG96)</f>
        <v>12</v>
      </c>
      <c r="CH100" s="112" t="n">
        <f aca="false">SUM(CH80, CH88, CH96)</f>
        <v>0</v>
      </c>
      <c r="CI100" s="113" t="n">
        <f aca="false">CC100=L100</f>
        <v>1</v>
      </c>
      <c r="CJ100" s="113" t="n">
        <f aca="false">CD100=M100</f>
        <v>1</v>
      </c>
      <c r="CK100" s="113" t="n">
        <f aca="false">CE100=N100</f>
        <v>1</v>
      </c>
      <c r="CL100" s="113" t="n">
        <f aca="false">CF100=O100</f>
        <v>1</v>
      </c>
      <c r="CM100" s="113" t="n">
        <f aca="false">CG100=P100</f>
        <v>1</v>
      </c>
    </row>
    <row r="101" s="14" customFormat="true" ht="16.5" hidden="false" customHeight="true" outlineLevel="0" collapsed="false">
      <c r="H101" s="29"/>
      <c r="I101" s="108"/>
      <c r="J101" s="108"/>
      <c r="K101" s="108"/>
      <c r="L101" s="108"/>
      <c r="M101" s="108"/>
      <c r="N101" s="108"/>
      <c r="O101" s="108"/>
      <c r="P101" s="108"/>
      <c r="Q101" s="16"/>
      <c r="R101" s="16"/>
    </row>
    <row r="102" s="14" customFormat="true" ht="16.5" hidden="false" customHeight="true" outlineLevel="0" collapsed="false">
      <c r="D102" s="30" t="s">
        <v>135</v>
      </c>
      <c r="E102" s="31"/>
      <c r="F102" s="31"/>
      <c r="G102" s="31"/>
      <c r="H102" s="30" t="s">
        <v>120</v>
      </c>
      <c r="I102" s="114" t="s">
        <v>67</v>
      </c>
      <c r="J102" s="114" t="s">
        <v>94</v>
      </c>
      <c r="K102" s="114" t="s">
        <v>121</v>
      </c>
      <c r="L102" s="114" t="n">
        <v>2026</v>
      </c>
      <c r="M102" s="114" t="n">
        <f aca="false">L102+1</f>
        <v>2027</v>
      </c>
      <c r="N102" s="114" t="n">
        <f aca="false">M102+1</f>
        <v>2028</v>
      </c>
      <c r="O102" s="114" t="n">
        <f aca="false">N102+1</f>
        <v>2029</v>
      </c>
      <c r="P102" s="114" t="n">
        <f aca="false">O102+1</f>
        <v>2030</v>
      </c>
      <c r="Q102" s="31" t="s">
        <v>122</v>
      </c>
      <c r="R102" s="31" t="s">
        <v>65</v>
      </c>
      <c r="T102" s="59" t="n">
        <v>46023</v>
      </c>
      <c r="U102" s="60" t="n">
        <f aca="false">EOMONTH(T102, 1)</f>
        <v>46081</v>
      </c>
      <c r="V102" s="60" t="n">
        <f aca="false">EOMONTH(U102, 1)</f>
        <v>46112</v>
      </c>
      <c r="W102" s="60" t="n">
        <f aca="false">EOMONTH(V102, 1)</f>
        <v>46142</v>
      </c>
      <c r="X102" s="60" t="n">
        <f aca="false">EOMONTH(W102, 1)</f>
        <v>46173</v>
      </c>
      <c r="Y102" s="60" t="n">
        <f aca="false">EOMONTH(X102, 1)</f>
        <v>46203</v>
      </c>
      <c r="Z102" s="60" t="n">
        <f aca="false">EOMONTH(Y102, 1)</f>
        <v>46234</v>
      </c>
      <c r="AA102" s="60" t="n">
        <f aca="false">EOMONTH(Z102, 1)</f>
        <v>46265</v>
      </c>
      <c r="AB102" s="60" t="n">
        <f aca="false">EOMONTH(AA102, 1)</f>
        <v>46295</v>
      </c>
      <c r="AC102" s="60" t="n">
        <f aca="false">EOMONTH(AB102, 1)</f>
        <v>46326</v>
      </c>
      <c r="AD102" s="60" t="n">
        <f aca="false">EOMONTH(AC102, 1)</f>
        <v>46356</v>
      </c>
      <c r="AE102" s="61" t="n">
        <f aca="false">EOMONTH(AD102, 1)</f>
        <v>46387</v>
      </c>
      <c r="AF102" s="59" t="n">
        <f aca="false">EOMONTH(AE102, 1)</f>
        <v>46418</v>
      </c>
      <c r="AG102" s="60" t="n">
        <f aca="false">EOMONTH(AF102, 1)</f>
        <v>46446</v>
      </c>
      <c r="AH102" s="60" t="n">
        <f aca="false">EOMONTH(AG102, 1)</f>
        <v>46477</v>
      </c>
      <c r="AI102" s="60" t="n">
        <f aca="false">EOMONTH(AH102, 1)</f>
        <v>46507</v>
      </c>
      <c r="AJ102" s="60" t="n">
        <f aca="false">EOMONTH(AI102, 1)</f>
        <v>46538</v>
      </c>
      <c r="AK102" s="60" t="n">
        <f aca="false">EOMONTH(AJ102, 1)</f>
        <v>46568</v>
      </c>
      <c r="AL102" s="60" t="n">
        <f aca="false">EOMONTH(AK102, 1)</f>
        <v>46599</v>
      </c>
      <c r="AM102" s="60" t="n">
        <f aca="false">EOMONTH(AL102, 1)</f>
        <v>46630</v>
      </c>
      <c r="AN102" s="60" t="n">
        <f aca="false">EOMONTH(AM102, 1)</f>
        <v>46660</v>
      </c>
      <c r="AO102" s="60" t="n">
        <f aca="false">EOMONTH(AN102, 1)</f>
        <v>46691</v>
      </c>
      <c r="AP102" s="60" t="n">
        <f aca="false">EOMONTH(AO102, 1)</f>
        <v>46721</v>
      </c>
      <c r="AQ102" s="61" t="n">
        <f aca="false">EOMONTH(AP102, 1)</f>
        <v>46752</v>
      </c>
      <c r="AR102" s="59" t="n">
        <f aca="false">EOMONTH(AQ102, 1)</f>
        <v>46783</v>
      </c>
      <c r="AS102" s="60" t="n">
        <f aca="false">EOMONTH(AR102, 1)</f>
        <v>46812</v>
      </c>
      <c r="AT102" s="60" t="n">
        <f aca="false">EOMONTH(AS102, 1)</f>
        <v>46843</v>
      </c>
      <c r="AU102" s="60" t="n">
        <f aca="false">EOMONTH(AT102, 1)</f>
        <v>46873</v>
      </c>
      <c r="AV102" s="60" t="n">
        <f aca="false">EOMONTH(AU102, 1)</f>
        <v>46904</v>
      </c>
      <c r="AW102" s="60" t="n">
        <f aca="false">EOMONTH(AV102, 1)</f>
        <v>46934</v>
      </c>
      <c r="AX102" s="60" t="n">
        <f aca="false">EOMONTH(AW102, 1)</f>
        <v>46965</v>
      </c>
      <c r="AY102" s="60" t="n">
        <f aca="false">EOMONTH(AX102, 1)</f>
        <v>46996</v>
      </c>
      <c r="AZ102" s="60" t="n">
        <f aca="false">EOMONTH(AY102, 1)</f>
        <v>47026</v>
      </c>
      <c r="BA102" s="60" t="n">
        <f aca="false">EOMONTH(AZ102, 1)</f>
        <v>47057</v>
      </c>
      <c r="BB102" s="60" t="n">
        <f aca="false">EOMONTH(BA102, 1)</f>
        <v>47087</v>
      </c>
      <c r="BC102" s="61" t="n">
        <f aca="false">EOMONTH(BB102, 1)</f>
        <v>47118</v>
      </c>
      <c r="BD102" s="59" t="n">
        <f aca="false">EOMONTH(BC102, 1)</f>
        <v>47149</v>
      </c>
      <c r="BE102" s="60" t="n">
        <f aca="false">EOMONTH(BD102, 1)</f>
        <v>47177</v>
      </c>
      <c r="BF102" s="60" t="n">
        <f aca="false">EOMONTH(BE102, 1)</f>
        <v>47208</v>
      </c>
      <c r="BG102" s="60" t="n">
        <f aca="false">EOMONTH(BF102, 1)</f>
        <v>47238</v>
      </c>
      <c r="BH102" s="60" t="n">
        <f aca="false">EOMONTH(BG102, 1)</f>
        <v>47269</v>
      </c>
      <c r="BI102" s="60" t="n">
        <f aca="false">EOMONTH(BH102, 1)</f>
        <v>47299</v>
      </c>
      <c r="BJ102" s="60" t="n">
        <f aca="false">EOMONTH(BI102, 1)</f>
        <v>47330</v>
      </c>
      <c r="BK102" s="60" t="n">
        <f aca="false">EOMONTH(BJ102, 1)</f>
        <v>47361</v>
      </c>
      <c r="BL102" s="60" t="n">
        <f aca="false">EOMONTH(BK102, 1)</f>
        <v>47391</v>
      </c>
      <c r="BM102" s="60" t="n">
        <f aca="false">EOMONTH(BL102, 1)</f>
        <v>47422</v>
      </c>
      <c r="BN102" s="60" t="n">
        <f aca="false">EOMONTH(BM102, 1)</f>
        <v>47452</v>
      </c>
      <c r="BO102" s="61" t="n">
        <f aca="false">EOMONTH(BN102, 1)</f>
        <v>47483</v>
      </c>
      <c r="BP102" s="59" t="n">
        <f aca="false">EOMONTH(BO102, 1)</f>
        <v>47514</v>
      </c>
      <c r="BQ102" s="60" t="n">
        <f aca="false">EOMONTH(BP102, 1)</f>
        <v>47542</v>
      </c>
      <c r="BR102" s="60" t="n">
        <f aca="false">EOMONTH(BQ102, 1)</f>
        <v>47573</v>
      </c>
      <c r="BS102" s="60" t="n">
        <f aca="false">EOMONTH(BR102, 1)</f>
        <v>47603</v>
      </c>
      <c r="BT102" s="60" t="n">
        <f aca="false">EOMONTH(BS102, 1)</f>
        <v>47634</v>
      </c>
      <c r="BU102" s="60" t="n">
        <f aca="false">EOMONTH(BT102, 1)</f>
        <v>47664</v>
      </c>
      <c r="BV102" s="60" t="n">
        <f aca="false">EOMONTH(BU102, 1)</f>
        <v>47695</v>
      </c>
      <c r="BW102" s="60" t="n">
        <f aca="false">EOMONTH(BV102, 1)</f>
        <v>47726</v>
      </c>
      <c r="BX102" s="60" t="n">
        <f aca="false">EOMONTH(BW102, 1)</f>
        <v>47756</v>
      </c>
      <c r="BY102" s="60" t="n">
        <f aca="false">EOMONTH(BX102, 1)</f>
        <v>47787</v>
      </c>
      <c r="BZ102" s="60" t="n">
        <f aca="false">EOMONTH(BY102, 1)</f>
        <v>47817</v>
      </c>
      <c r="CA102" s="60" t="n">
        <f aca="false">EOMONTH(BZ102, 1)</f>
        <v>47848</v>
      </c>
      <c r="CC102" s="62" t="n">
        <v>2026</v>
      </c>
      <c r="CD102" s="62" t="n">
        <f aca="false">CC102+1</f>
        <v>2027</v>
      </c>
      <c r="CE102" s="62" t="n">
        <f aca="false">CD102+1</f>
        <v>2028</v>
      </c>
      <c r="CF102" s="62" t="n">
        <f aca="false">CE102+1</f>
        <v>2029</v>
      </c>
      <c r="CG102" s="62" t="n">
        <f aca="false">CF102+1</f>
        <v>2030</v>
      </c>
      <c r="CI102" s="62" t="n">
        <v>2026</v>
      </c>
      <c r="CJ102" s="62" t="n">
        <f aca="false">CI102+1</f>
        <v>2027</v>
      </c>
      <c r="CK102" s="62" t="n">
        <f aca="false">CJ102+1</f>
        <v>2028</v>
      </c>
      <c r="CL102" s="62" t="n">
        <f aca="false">CK102+1</f>
        <v>2029</v>
      </c>
      <c r="CM102" s="62" t="n">
        <f aca="false">CL102+1</f>
        <v>2030</v>
      </c>
    </row>
    <row r="103" s="14" customFormat="true" ht="16.5" hidden="true" customHeight="true" outlineLevel="1" collapsed="false">
      <c r="D103" s="63"/>
      <c r="E103" s="64" t="s">
        <v>92</v>
      </c>
      <c r="H103" s="29"/>
      <c r="I103" s="115" t="s">
        <v>123</v>
      </c>
      <c r="J103" s="115" t="s">
        <v>124</v>
      </c>
      <c r="K103" s="115" t="s">
        <v>125</v>
      </c>
      <c r="L103" s="116"/>
      <c r="M103" s="116"/>
      <c r="N103" s="116"/>
      <c r="O103" s="116"/>
      <c r="P103" s="116"/>
      <c r="Q103" s="16"/>
      <c r="R103" s="16"/>
      <c r="T103" s="66"/>
      <c r="U103" s="66"/>
      <c r="V103" s="66"/>
      <c r="W103" s="66"/>
      <c r="X103" s="66"/>
      <c r="Y103" s="66"/>
      <c r="Z103" s="66"/>
      <c r="AA103" s="66"/>
      <c r="AB103" s="66"/>
      <c r="AC103" s="66"/>
      <c r="AD103" s="66"/>
      <c r="AE103" s="66"/>
      <c r="AF103" s="67"/>
      <c r="AG103" s="66"/>
      <c r="AH103" s="66"/>
      <c r="AI103" s="66"/>
      <c r="AJ103" s="66"/>
      <c r="AK103" s="66"/>
      <c r="AL103" s="66"/>
      <c r="AM103" s="66"/>
      <c r="AN103" s="66"/>
      <c r="AO103" s="66"/>
      <c r="AP103" s="66"/>
      <c r="AQ103" s="66"/>
      <c r="AR103" s="67"/>
      <c r="AS103" s="66"/>
      <c r="AT103" s="66"/>
      <c r="AU103" s="66"/>
      <c r="AV103" s="66"/>
      <c r="AW103" s="66"/>
      <c r="AX103" s="66"/>
      <c r="AY103" s="66"/>
      <c r="AZ103" s="66"/>
      <c r="BA103" s="66"/>
      <c r="BB103" s="66"/>
      <c r="BC103" s="66"/>
      <c r="BD103" s="67"/>
      <c r="BE103" s="66"/>
      <c r="BF103" s="66"/>
      <c r="BG103" s="66"/>
      <c r="BH103" s="66"/>
      <c r="BI103" s="66"/>
      <c r="BJ103" s="66"/>
      <c r="BK103" s="66"/>
      <c r="BL103" s="66"/>
      <c r="BM103" s="66"/>
      <c r="BN103" s="66"/>
      <c r="BO103" s="66"/>
      <c r="BP103" s="67"/>
      <c r="BQ103" s="66"/>
      <c r="BR103" s="66"/>
      <c r="BS103" s="66"/>
      <c r="BT103" s="66"/>
      <c r="BU103" s="66"/>
      <c r="BV103" s="66"/>
      <c r="BW103" s="66"/>
      <c r="BX103" s="66"/>
      <c r="BY103" s="66"/>
      <c r="BZ103" s="66"/>
      <c r="CA103" s="66"/>
    </row>
    <row r="104" s="14" customFormat="true" ht="16.5" hidden="true" customHeight="true" outlineLevel="1" collapsed="false">
      <c r="E104" s="68" t="s">
        <v>126</v>
      </c>
      <c r="F104" s="21"/>
      <c r="G104" s="21"/>
      <c r="H104" s="29"/>
      <c r="I104" s="115"/>
      <c r="J104" s="115"/>
      <c r="K104" s="115"/>
      <c r="L104" s="108"/>
      <c r="M104" s="108"/>
      <c r="N104" s="108"/>
      <c r="O104" s="108"/>
      <c r="P104" s="108"/>
      <c r="Q104" s="16"/>
      <c r="R104" s="16"/>
      <c r="AF104" s="69"/>
      <c r="AR104" s="69"/>
      <c r="BD104" s="69"/>
      <c r="BP104" s="69"/>
    </row>
    <row r="105" s="14" customFormat="true" ht="16.5" hidden="true" customHeight="true" outlineLevel="2" collapsed="false">
      <c r="E105" s="70"/>
      <c r="H105" s="71"/>
      <c r="I105" s="117" t="n">
        <v>0</v>
      </c>
      <c r="J105" s="117" t="n">
        <v>0</v>
      </c>
      <c r="K105" s="101" t="n">
        <f aca="false">J105-I105</f>
        <v>0</v>
      </c>
      <c r="L105" s="117"/>
      <c r="M105" s="117"/>
      <c r="N105" s="117"/>
      <c r="O105" s="117"/>
      <c r="P105" s="118"/>
      <c r="Q105" s="75"/>
      <c r="R105" s="16" t="str">
        <f aca="false">IF(K105=P105, "", "Error")</f>
        <v/>
      </c>
      <c r="T105" s="76"/>
      <c r="U105" s="76"/>
      <c r="V105" s="76"/>
      <c r="W105" s="76"/>
      <c r="X105" s="76"/>
      <c r="Y105" s="76"/>
      <c r="Z105" s="76"/>
      <c r="AA105" s="76"/>
      <c r="AB105" s="76"/>
      <c r="AC105" s="76"/>
      <c r="AD105" s="76"/>
      <c r="AE105" s="77"/>
      <c r="AF105" s="78"/>
      <c r="AG105" s="76"/>
      <c r="AH105" s="76"/>
      <c r="AI105" s="76"/>
      <c r="AJ105" s="76"/>
      <c r="AK105" s="76"/>
      <c r="AL105" s="76"/>
      <c r="AM105" s="76"/>
      <c r="AN105" s="76"/>
      <c r="AO105" s="76"/>
      <c r="AP105" s="76"/>
      <c r="AQ105" s="77"/>
      <c r="AR105" s="78"/>
      <c r="AS105" s="76"/>
      <c r="AT105" s="76"/>
      <c r="AU105" s="76"/>
      <c r="AV105" s="76"/>
      <c r="AW105" s="76"/>
      <c r="AX105" s="76"/>
      <c r="AY105" s="76"/>
      <c r="AZ105" s="76"/>
      <c r="BA105" s="76"/>
      <c r="BB105" s="76"/>
      <c r="BC105" s="77"/>
      <c r="BD105" s="78"/>
      <c r="BE105" s="76"/>
      <c r="BF105" s="76"/>
      <c r="BG105" s="76"/>
      <c r="BH105" s="76"/>
      <c r="BI105" s="76"/>
      <c r="BJ105" s="76"/>
      <c r="BK105" s="76"/>
      <c r="BL105" s="76"/>
      <c r="BM105" s="76"/>
      <c r="BN105" s="76"/>
      <c r="BO105" s="77"/>
      <c r="BP105" s="78"/>
      <c r="BQ105" s="76"/>
      <c r="BR105" s="76"/>
      <c r="BS105" s="76"/>
      <c r="BT105" s="76"/>
      <c r="BU105" s="76"/>
      <c r="BV105" s="76"/>
      <c r="BW105" s="76"/>
      <c r="BX105" s="76"/>
      <c r="BY105" s="76"/>
      <c r="BZ105" s="76"/>
      <c r="CA105" s="76"/>
      <c r="CC105" s="79" t="n">
        <f aca="false">SUMIFS($T105:$CA105, $T$1:$CA$1, CC$75)</f>
        <v>0</v>
      </c>
      <c r="CD105" s="79" t="n">
        <f aca="false">SUMIFS($T105:$CA105, $T$1:$CA$1, CD$75)</f>
        <v>0</v>
      </c>
      <c r="CE105" s="79" t="n">
        <f aca="false">SUMIFS($T105:$CA105, $T$1:$CA$1, CE$75)</f>
        <v>0</v>
      </c>
      <c r="CF105" s="79" t="n">
        <f aca="false">SUMIFS($T105:$CA105, $T$1:$CA$1, CF$75)</f>
        <v>0</v>
      </c>
      <c r="CG105" s="79" t="n">
        <f aca="false">SUMIFS($T105:$CA105, $T$1:$CA$1, CG$75)</f>
        <v>0</v>
      </c>
      <c r="CI105" s="79" t="n">
        <f aca="false">CC105=L105</f>
        <v>1</v>
      </c>
      <c r="CJ105" s="79" t="n">
        <f aca="false">CD105=M105</f>
        <v>1</v>
      </c>
      <c r="CK105" s="79" t="n">
        <f aca="false">CE105=N105</f>
        <v>1</v>
      </c>
      <c r="CL105" s="79" t="n">
        <f aca="false">CF105=O105</f>
        <v>1</v>
      </c>
      <c r="CM105" s="79" t="n">
        <f aca="false">CG105=P105</f>
        <v>1</v>
      </c>
    </row>
    <row r="106" s="14" customFormat="true" ht="16.5" hidden="true" customHeight="true" outlineLevel="2" collapsed="false">
      <c r="E106" s="70"/>
      <c r="H106" s="71"/>
      <c r="I106" s="117" t="n">
        <v>0</v>
      </c>
      <c r="J106" s="117" t="n">
        <v>0</v>
      </c>
      <c r="K106" s="101" t="n">
        <f aca="false">J106-I106</f>
        <v>0</v>
      </c>
      <c r="L106" s="117"/>
      <c r="M106" s="117"/>
      <c r="N106" s="117"/>
      <c r="O106" s="117"/>
      <c r="P106" s="118"/>
      <c r="Q106" s="75"/>
      <c r="R106" s="16" t="str">
        <f aca="false">IF(K106=P106, "", "Error")</f>
        <v/>
      </c>
      <c r="T106" s="76"/>
      <c r="U106" s="76"/>
      <c r="V106" s="76"/>
      <c r="W106" s="76"/>
      <c r="X106" s="76"/>
      <c r="Y106" s="76"/>
      <c r="Z106" s="76"/>
      <c r="AA106" s="76"/>
      <c r="AB106" s="76"/>
      <c r="AC106" s="76"/>
      <c r="AD106" s="76"/>
      <c r="AE106" s="77"/>
      <c r="AF106" s="78"/>
      <c r="AG106" s="76"/>
      <c r="AH106" s="76"/>
      <c r="AI106" s="76"/>
      <c r="AJ106" s="76"/>
      <c r="AK106" s="76"/>
      <c r="AL106" s="76"/>
      <c r="AM106" s="76"/>
      <c r="AN106" s="76"/>
      <c r="AO106" s="76"/>
      <c r="AP106" s="76"/>
      <c r="AQ106" s="77"/>
      <c r="AR106" s="78"/>
      <c r="AS106" s="76"/>
      <c r="AT106" s="76"/>
      <c r="AU106" s="76"/>
      <c r="AV106" s="76"/>
      <c r="AW106" s="76"/>
      <c r="AX106" s="76"/>
      <c r="AY106" s="76"/>
      <c r="AZ106" s="76"/>
      <c r="BA106" s="76"/>
      <c r="BB106" s="76"/>
      <c r="BC106" s="77"/>
      <c r="BD106" s="78"/>
      <c r="BE106" s="76"/>
      <c r="BF106" s="76"/>
      <c r="BG106" s="76"/>
      <c r="BH106" s="76"/>
      <c r="BI106" s="76"/>
      <c r="BJ106" s="76"/>
      <c r="BK106" s="76"/>
      <c r="BL106" s="76"/>
      <c r="BM106" s="76"/>
      <c r="BN106" s="76"/>
      <c r="BO106" s="77"/>
      <c r="BP106" s="78"/>
      <c r="BQ106" s="76"/>
      <c r="BR106" s="76"/>
      <c r="BS106" s="76"/>
      <c r="BT106" s="76"/>
      <c r="BU106" s="76"/>
      <c r="BV106" s="76"/>
      <c r="BW106" s="76"/>
      <c r="BX106" s="76"/>
      <c r="BY106" s="76"/>
      <c r="BZ106" s="76"/>
      <c r="CA106" s="76"/>
      <c r="CC106" s="79" t="n">
        <f aca="false">SUMIFS($T106:$CA106, $T$1:$CA$1, CC$75)</f>
        <v>0</v>
      </c>
      <c r="CD106" s="79" t="n">
        <f aca="false">SUMIFS($T106:$CA106, $T$1:$CA$1, CD$75)</f>
        <v>0</v>
      </c>
      <c r="CE106" s="79" t="n">
        <f aca="false">SUMIFS($T106:$CA106, $T$1:$CA$1, CE$75)</f>
        <v>0</v>
      </c>
      <c r="CF106" s="79" t="n">
        <f aca="false">SUMIFS($T106:$CA106, $T$1:$CA$1, CF$75)</f>
        <v>0</v>
      </c>
      <c r="CG106" s="79" t="n">
        <f aca="false">SUMIFS($T106:$CA106, $T$1:$CA$1, CG$75)</f>
        <v>0</v>
      </c>
      <c r="CI106" s="79" t="n">
        <f aca="false">CC106=L106</f>
        <v>1</v>
      </c>
      <c r="CJ106" s="79" t="n">
        <f aca="false">CD106=M106</f>
        <v>1</v>
      </c>
      <c r="CK106" s="79" t="n">
        <f aca="false">CE106=N106</f>
        <v>1</v>
      </c>
      <c r="CL106" s="79" t="n">
        <f aca="false">CF106=O106</f>
        <v>1</v>
      </c>
      <c r="CM106" s="79" t="n">
        <f aca="false">CG106=P106</f>
        <v>1</v>
      </c>
    </row>
    <row r="107" s="14" customFormat="true" ht="16.5" hidden="true" customHeight="true" outlineLevel="1" collapsed="true">
      <c r="E107" s="80" t="s">
        <v>127</v>
      </c>
      <c r="H107" s="29"/>
      <c r="I107" s="107" t="n">
        <f aca="false">SUM(I105:I106)</f>
        <v>0</v>
      </c>
      <c r="J107" s="107" t="n">
        <f aca="false">SUM(J105:J106)</f>
        <v>0</v>
      </c>
      <c r="K107" s="107" t="n">
        <f aca="false">SUM(K105:K106)</f>
        <v>0</v>
      </c>
      <c r="L107" s="107" t="n">
        <f aca="false">SUM(L105:L106)</f>
        <v>0</v>
      </c>
      <c r="M107" s="107" t="n">
        <f aca="false">SUM(M105:M106)</f>
        <v>0</v>
      </c>
      <c r="N107" s="107" t="n">
        <f aca="false">SUM(N105:N106)</f>
        <v>0</v>
      </c>
      <c r="O107" s="107" t="n">
        <f aca="false">SUM(O105:O106)</f>
        <v>0</v>
      </c>
      <c r="P107" s="107" t="n">
        <f aca="false">SUM(P105:P106)</f>
        <v>0</v>
      </c>
      <c r="Q107" s="16"/>
      <c r="R107" s="16"/>
      <c r="T107" s="82" t="n">
        <f aca="false">SUM(T105:T106)</f>
        <v>0</v>
      </c>
      <c r="U107" s="82" t="n">
        <f aca="false">SUM(U105:U106)</f>
        <v>0</v>
      </c>
      <c r="V107" s="82" t="n">
        <f aca="false">SUM(V105:V106)</f>
        <v>0</v>
      </c>
      <c r="W107" s="82" t="n">
        <f aca="false">SUM(W105:W106)</f>
        <v>0</v>
      </c>
      <c r="X107" s="82" t="n">
        <f aca="false">SUM(X105:X106)</f>
        <v>0</v>
      </c>
      <c r="Y107" s="82" t="n">
        <f aca="false">SUM(Y105:Y106)</f>
        <v>0</v>
      </c>
      <c r="Z107" s="82" t="n">
        <f aca="false">SUM(Z105:Z106)</f>
        <v>0</v>
      </c>
      <c r="AA107" s="82" t="n">
        <f aca="false">SUM(AA105:AA106)</f>
        <v>0</v>
      </c>
      <c r="AB107" s="82" t="n">
        <f aca="false">SUM(AB105:AB106)</f>
        <v>0</v>
      </c>
      <c r="AC107" s="82" t="n">
        <f aca="false">SUM(AC105:AC106)</f>
        <v>0</v>
      </c>
      <c r="AD107" s="82" t="n">
        <f aca="false">SUM(AD105:AD106)</f>
        <v>0</v>
      </c>
      <c r="AE107" s="82" t="n">
        <f aca="false">SUM(AE105:AE106)</f>
        <v>0</v>
      </c>
      <c r="AF107" s="83" t="n">
        <f aca="false">SUM(AF105:AF106)</f>
        <v>0</v>
      </c>
      <c r="AG107" s="82" t="n">
        <f aca="false">SUM(AG105:AG106)</f>
        <v>0</v>
      </c>
      <c r="AH107" s="82" t="n">
        <f aca="false">SUM(AH105:AH106)</f>
        <v>0</v>
      </c>
      <c r="AI107" s="82" t="n">
        <f aca="false">SUM(AI105:AI106)</f>
        <v>0</v>
      </c>
      <c r="AJ107" s="82" t="n">
        <f aca="false">SUM(AJ105:AJ106)</f>
        <v>0</v>
      </c>
      <c r="AK107" s="82" t="n">
        <f aca="false">SUM(AK105:AK106)</f>
        <v>0</v>
      </c>
      <c r="AL107" s="82" t="n">
        <f aca="false">SUM(AL105:AL106)</f>
        <v>0</v>
      </c>
      <c r="AM107" s="82" t="n">
        <f aca="false">SUM(AM105:AM106)</f>
        <v>0</v>
      </c>
      <c r="AN107" s="82" t="n">
        <f aca="false">SUM(AN105:AN106)</f>
        <v>0</v>
      </c>
      <c r="AO107" s="82" t="n">
        <f aca="false">SUM(AO105:AO106)</f>
        <v>0</v>
      </c>
      <c r="AP107" s="82" t="n">
        <f aca="false">SUM(AP105:AP106)</f>
        <v>0</v>
      </c>
      <c r="AQ107" s="82" t="n">
        <f aca="false">SUM(AQ105:AQ106)</f>
        <v>0</v>
      </c>
      <c r="AR107" s="83" t="n">
        <f aca="false">SUM(AR105:AR106)</f>
        <v>0</v>
      </c>
      <c r="AS107" s="82" t="n">
        <f aca="false">SUM(AS105:AS106)</f>
        <v>0</v>
      </c>
      <c r="AT107" s="82" t="n">
        <f aca="false">SUM(AT105:AT106)</f>
        <v>0</v>
      </c>
      <c r="AU107" s="82" t="n">
        <f aca="false">SUM(AU105:AU106)</f>
        <v>0</v>
      </c>
      <c r="AV107" s="82" t="n">
        <f aca="false">SUM(AV105:AV106)</f>
        <v>0</v>
      </c>
      <c r="AW107" s="82" t="n">
        <f aca="false">SUM(AW105:AW106)</f>
        <v>0</v>
      </c>
      <c r="AX107" s="82" t="n">
        <f aca="false">SUM(AX105:AX106)</f>
        <v>0</v>
      </c>
      <c r="AY107" s="82" t="n">
        <f aca="false">SUM(AY105:AY106)</f>
        <v>0</v>
      </c>
      <c r="AZ107" s="82" t="n">
        <f aca="false">SUM(AZ105:AZ106)</f>
        <v>0</v>
      </c>
      <c r="BA107" s="82" t="n">
        <f aca="false">SUM(BA105:BA106)</f>
        <v>0</v>
      </c>
      <c r="BB107" s="82" t="n">
        <f aca="false">SUM(BB105:BB106)</f>
        <v>0</v>
      </c>
      <c r="BC107" s="82" t="n">
        <f aca="false">SUM(BC105:BC106)</f>
        <v>0</v>
      </c>
      <c r="BD107" s="83" t="n">
        <f aca="false">SUM(BD105:BD106)</f>
        <v>0</v>
      </c>
      <c r="BE107" s="82" t="n">
        <f aca="false">SUM(BE105:BE106)</f>
        <v>0</v>
      </c>
      <c r="BF107" s="82" t="n">
        <f aca="false">SUM(BF105:BF106)</f>
        <v>0</v>
      </c>
      <c r="BG107" s="82" t="n">
        <f aca="false">SUM(BG105:BG106)</f>
        <v>0</v>
      </c>
      <c r="BH107" s="82" t="n">
        <f aca="false">SUM(BH105:BH106)</f>
        <v>0</v>
      </c>
      <c r="BI107" s="82" t="n">
        <f aca="false">SUM(BI105:BI106)</f>
        <v>0</v>
      </c>
      <c r="BJ107" s="82" t="n">
        <f aca="false">SUM(BJ105:BJ106)</f>
        <v>0</v>
      </c>
      <c r="BK107" s="82" t="n">
        <f aca="false">SUM(BK105:BK106)</f>
        <v>0</v>
      </c>
      <c r="BL107" s="82" t="n">
        <f aca="false">SUM(BL105:BL106)</f>
        <v>0</v>
      </c>
      <c r="BM107" s="82" t="n">
        <f aca="false">SUM(BM105:BM106)</f>
        <v>0</v>
      </c>
      <c r="BN107" s="82" t="n">
        <f aca="false">SUM(BN105:BN106)</f>
        <v>0</v>
      </c>
      <c r="BO107" s="82" t="n">
        <f aca="false">SUM(BO105:BO106)</f>
        <v>0</v>
      </c>
      <c r="BP107" s="83" t="n">
        <f aca="false">SUM(BP105:BP106)</f>
        <v>0</v>
      </c>
      <c r="BQ107" s="82" t="n">
        <f aca="false">SUM(BQ105:BQ106)</f>
        <v>0</v>
      </c>
      <c r="BR107" s="82" t="n">
        <f aca="false">SUM(BR105:BR106)</f>
        <v>0</v>
      </c>
      <c r="BS107" s="82" t="n">
        <f aca="false">SUM(BS105:BS106)</f>
        <v>0</v>
      </c>
      <c r="BT107" s="82" t="n">
        <f aca="false">SUM(BT105:BT106)</f>
        <v>0</v>
      </c>
      <c r="BU107" s="82" t="n">
        <f aca="false">SUM(BU105:BU106)</f>
        <v>0</v>
      </c>
      <c r="BV107" s="82" t="n">
        <f aca="false">SUM(BV105:BV106)</f>
        <v>0</v>
      </c>
      <c r="BW107" s="82" t="n">
        <f aca="false">SUM(BW105:BW106)</f>
        <v>0</v>
      </c>
      <c r="BX107" s="82" t="n">
        <f aca="false">SUM(BX105:BX106)</f>
        <v>0</v>
      </c>
      <c r="BY107" s="82" t="n">
        <f aca="false">SUM(BY105:BY106)</f>
        <v>0</v>
      </c>
      <c r="BZ107" s="82" t="n">
        <f aca="false">SUM(BZ105:BZ106)</f>
        <v>0</v>
      </c>
      <c r="CA107" s="84" t="n">
        <f aca="false">SUM(CA105:CA106)</f>
        <v>0</v>
      </c>
      <c r="CC107" s="84" t="n">
        <f aca="false">SUM(CC105:CC106)</f>
        <v>0</v>
      </c>
      <c r="CD107" s="84" t="n">
        <f aca="false">SUM(CD105:CD106)</f>
        <v>0</v>
      </c>
      <c r="CE107" s="84" t="n">
        <f aca="false">SUM(CE105:CE106)</f>
        <v>0</v>
      </c>
      <c r="CF107" s="84" t="n">
        <f aca="false">SUM(CF105:CF106)</f>
        <v>0</v>
      </c>
      <c r="CG107" s="84" t="n">
        <f aca="false">SUM(CG105:CG106)</f>
        <v>0</v>
      </c>
      <c r="CI107" s="84" t="n">
        <f aca="false">CC107=L107</f>
        <v>1</v>
      </c>
      <c r="CJ107" s="84" t="n">
        <f aca="false">CD107=M107</f>
        <v>1</v>
      </c>
      <c r="CK107" s="84" t="n">
        <f aca="false">CE107=N107</f>
        <v>1</v>
      </c>
      <c r="CL107" s="84" t="n">
        <f aca="false">CF107=O107</f>
        <v>1</v>
      </c>
      <c r="CM107" s="84" t="n">
        <f aca="false">CG107=P107</f>
        <v>1</v>
      </c>
    </row>
    <row r="108" s="14" customFormat="true" ht="16.5" hidden="true" customHeight="true" outlineLevel="1" collapsed="false">
      <c r="E108" s="85"/>
      <c r="H108" s="29"/>
      <c r="I108" s="108"/>
      <c r="J108" s="108"/>
      <c r="K108" s="108"/>
      <c r="L108" s="108"/>
      <c r="M108" s="108"/>
      <c r="N108" s="108"/>
      <c r="O108" s="108"/>
      <c r="P108" s="108"/>
      <c r="Q108" s="16"/>
      <c r="R108" s="16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9"/>
      <c r="AG108" s="88"/>
      <c r="AH108" s="88"/>
      <c r="AI108" s="88"/>
      <c r="AJ108" s="88"/>
      <c r="AK108" s="88"/>
      <c r="AL108" s="88"/>
      <c r="AM108" s="88"/>
      <c r="AN108" s="88"/>
      <c r="AO108" s="88"/>
      <c r="AP108" s="88"/>
      <c r="AQ108" s="88"/>
      <c r="AR108" s="89"/>
      <c r="AS108" s="88"/>
      <c r="AT108" s="88"/>
      <c r="AU108" s="88"/>
      <c r="AV108" s="88"/>
      <c r="AW108" s="88"/>
      <c r="AX108" s="88"/>
      <c r="AY108" s="88"/>
      <c r="AZ108" s="88"/>
      <c r="BA108" s="88"/>
      <c r="BB108" s="88"/>
      <c r="BC108" s="88"/>
      <c r="BD108" s="89"/>
      <c r="BE108" s="88"/>
      <c r="BF108" s="88"/>
      <c r="BG108" s="88"/>
      <c r="BH108" s="88"/>
      <c r="BI108" s="88"/>
      <c r="BJ108" s="88"/>
      <c r="BK108" s="88"/>
      <c r="BL108" s="88"/>
      <c r="BM108" s="88"/>
      <c r="BN108" s="88"/>
      <c r="BO108" s="88"/>
      <c r="BP108" s="89"/>
      <c r="BQ108" s="88"/>
      <c r="BR108" s="88"/>
      <c r="BS108" s="88"/>
      <c r="BT108" s="88"/>
      <c r="BU108" s="88"/>
      <c r="BV108" s="88"/>
      <c r="BW108" s="88"/>
      <c r="BX108" s="88"/>
      <c r="BY108" s="88"/>
      <c r="BZ108" s="88"/>
      <c r="CA108" s="90"/>
      <c r="CC108" s="90"/>
      <c r="CD108" s="90"/>
      <c r="CE108" s="90"/>
      <c r="CF108" s="90"/>
      <c r="CG108" s="90"/>
      <c r="CI108" s="90"/>
      <c r="CJ108" s="90"/>
      <c r="CK108" s="90"/>
      <c r="CL108" s="90"/>
      <c r="CM108" s="90"/>
    </row>
    <row r="109" s="14" customFormat="true" ht="16.5" hidden="true" customHeight="true" outlineLevel="1" collapsed="false">
      <c r="E109" s="21" t="s">
        <v>128</v>
      </c>
      <c r="H109" s="29"/>
      <c r="I109" s="108"/>
      <c r="J109" s="108"/>
      <c r="K109" s="108"/>
      <c r="L109" s="108"/>
      <c r="M109" s="108"/>
      <c r="N109" s="108"/>
      <c r="O109" s="108"/>
      <c r="P109" s="108"/>
      <c r="Q109" s="16"/>
      <c r="R109" s="16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9"/>
      <c r="AG109" s="88"/>
      <c r="AH109" s="88"/>
      <c r="AI109" s="88"/>
      <c r="AJ109" s="88"/>
      <c r="AK109" s="88"/>
      <c r="AL109" s="88"/>
      <c r="AM109" s="88"/>
      <c r="AN109" s="88"/>
      <c r="AO109" s="88"/>
      <c r="AP109" s="88"/>
      <c r="AQ109" s="88"/>
      <c r="AR109" s="89"/>
      <c r="AS109" s="88"/>
      <c r="AT109" s="88"/>
      <c r="AU109" s="88"/>
      <c r="AV109" s="88"/>
      <c r="AW109" s="88"/>
      <c r="AX109" s="88"/>
      <c r="AY109" s="88"/>
      <c r="AZ109" s="88"/>
      <c r="BA109" s="88"/>
      <c r="BB109" s="88"/>
      <c r="BC109" s="88"/>
      <c r="BD109" s="89"/>
      <c r="BE109" s="88"/>
      <c r="BF109" s="88"/>
      <c r="BG109" s="88"/>
      <c r="BH109" s="88"/>
      <c r="BI109" s="88"/>
      <c r="BJ109" s="88"/>
      <c r="BK109" s="88"/>
      <c r="BL109" s="88"/>
      <c r="BM109" s="88"/>
      <c r="BN109" s="88"/>
      <c r="BO109" s="88"/>
      <c r="BP109" s="89"/>
      <c r="BQ109" s="88"/>
      <c r="BR109" s="88"/>
      <c r="BS109" s="88"/>
      <c r="BT109" s="88"/>
      <c r="BU109" s="88"/>
      <c r="BV109" s="88"/>
      <c r="BW109" s="88"/>
      <c r="BX109" s="88"/>
      <c r="BY109" s="88"/>
      <c r="BZ109" s="88"/>
      <c r="CA109" s="90"/>
      <c r="CC109" s="90"/>
      <c r="CD109" s="90"/>
      <c r="CE109" s="90"/>
      <c r="CF109" s="90"/>
      <c r="CG109" s="90"/>
      <c r="CI109" s="90"/>
      <c r="CJ109" s="90"/>
      <c r="CK109" s="90"/>
      <c r="CL109" s="90"/>
      <c r="CM109" s="90"/>
    </row>
    <row r="110" s="14" customFormat="true" ht="16.5" hidden="true" customHeight="true" outlineLevel="2" collapsed="false">
      <c r="E110" s="91"/>
      <c r="H110" s="29"/>
      <c r="I110" s="100" t="n">
        <v>0</v>
      </c>
      <c r="J110" s="100" t="n">
        <v>0</v>
      </c>
      <c r="K110" s="101" t="n">
        <f aca="false">J110-I110</f>
        <v>0</v>
      </c>
      <c r="L110" s="100"/>
      <c r="M110" s="100"/>
      <c r="N110" s="100"/>
      <c r="O110" s="100"/>
      <c r="P110" s="100"/>
      <c r="Q110" s="93"/>
      <c r="R110" s="16" t="str">
        <f aca="false">IF(K110=P110, "", "Error")</f>
        <v/>
      </c>
      <c r="T110" s="91"/>
      <c r="U110" s="91"/>
      <c r="V110" s="91"/>
      <c r="W110" s="91"/>
      <c r="X110" s="91"/>
      <c r="Y110" s="91"/>
      <c r="Z110" s="91"/>
      <c r="AA110" s="91"/>
      <c r="AB110" s="91"/>
      <c r="AC110" s="91"/>
      <c r="AD110" s="91"/>
      <c r="AE110" s="94"/>
      <c r="AF110" s="95"/>
      <c r="AG110" s="91"/>
      <c r="AH110" s="91"/>
      <c r="AI110" s="91"/>
      <c r="AJ110" s="91"/>
      <c r="AK110" s="91"/>
      <c r="AL110" s="91"/>
      <c r="AM110" s="91"/>
      <c r="AN110" s="91"/>
      <c r="AO110" s="91"/>
      <c r="AP110" s="91"/>
      <c r="AQ110" s="94"/>
      <c r="AR110" s="95"/>
      <c r="AS110" s="91"/>
      <c r="AT110" s="91"/>
      <c r="AU110" s="91"/>
      <c r="AV110" s="91"/>
      <c r="AW110" s="91"/>
      <c r="AX110" s="91"/>
      <c r="AY110" s="91"/>
      <c r="AZ110" s="91"/>
      <c r="BA110" s="91"/>
      <c r="BB110" s="91"/>
      <c r="BC110" s="94"/>
      <c r="BD110" s="95"/>
      <c r="BE110" s="91"/>
      <c r="BF110" s="91"/>
      <c r="BG110" s="91"/>
      <c r="BH110" s="91"/>
      <c r="BI110" s="91"/>
      <c r="BJ110" s="91"/>
      <c r="BK110" s="91"/>
      <c r="BL110" s="91"/>
      <c r="BM110" s="91"/>
      <c r="BN110" s="91"/>
      <c r="BO110" s="94"/>
      <c r="BP110" s="95"/>
      <c r="BQ110" s="91"/>
      <c r="BR110" s="91"/>
      <c r="BS110" s="91"/>
      <c r="BT110" s="91"/>
      <c r="BU110" s="91"/>
      <c r="BV110" s="91"/>
      <c r="BW110" s="91"/>
      <c r="BX110" s="91"/>
      <c r="BY110" s="91"/>
      <c r="BZ110" s="91"/>
      <c r="CA110" s="119"/>
      <c r="CC110" s="79" t="n">
        <f aca="false">SUMIFS($T110:$CA110, $T$1:$CA$1, CC$75)</f>
        <v>0</v>
      </c>
      <c r="CD110" s="79" t="n">
        <f aca="false">SUMIFS($T110:$CA110, $T$1:$CA$1, CD$75)</f>
        <v>0</v>
      </c>
      <c r="CE110" s="79" t="n">
        <f aca="false">SUMIFS($T110:$CA110, $T$1:$CA$1, CE$75)</f>
        <v>0</v>
      </c>
      <c r="CF110" s="79" t="n">
        <f aca="false">SUMIFS($T110:$CA110, $T$1:$CA$1, CF$75)</f>
        <v>0</v>
      </c>
      <c r="CG110" s="79" t="n">
        <f aca="false">SUMIFS($T110:$CA110, $T$1:$CA$1, CG$75)</f>
        <v>0</v>
      </c>
      <c r="CI110" s="79" t="n">
        <f aca="false">CC110=L110</f>
        <v>1</v>
      </c>
      <c r="CJ110" s="79" t="n">
        <f aca="false">CD110=M110</f>
        <v>1</v>
      </c>
      <c r="CK110" s="79" t="n">
        <f aca="false">CE110=N110</f>
        <v>1</v>
      </c>
      <c r="CL110" s="79" t="n">
        <f aca="false">CF110=O110</f>
        <v>1</v>
      </c>
      <c r="CM110" s="79" t="n">
        <f aca="false">CG110=P110</f>
        <v>1</v>
      </c>
    </row>
    <row r="111" s="14" customFormat="true" ht="16.5" hidden="true" customHeight="true" outlineLevel="2" collapsed="false">
      <c r="E111" s="91"/>
      <c r="H111" s="29"/>
      <c r="I111" s="100" t="n">
        <v>0</v>
      </c>
      <c r="J111" s="100" t="n">
        <v>0</v>
      </c>
      <c r="K111" s="101" t="n">
        <f aca="false">J111-I111</f>
        <v>0</v>
      </c>
      <c r="L111" s="100"/>
      <c r="M111" s="100"/>
      <c r="N111" s="100"/>
      <c r="O111" s="100"/>
      <c r="P111" s="100"/>
      <c r="Q111" s="93"/>
      <c r="R111" s="16" t="str">
        <f aca="false">IF(K111=P111, "", "Error")</f>
        <v/>
      </c>
      <c r="T111" s="91"/>
      <c r="U111" s="91"/>
      <c r="V111" s="91"/>
      <c r="W111" s="91"/>
      <c r="X111" s="91"/>
      <c r="Y111" s="91"/>
      <c r="Z111" s="91"/>
      <c r="AA111" s="91"/>
      <c r="AB111" s="91"/>
      <c r="AC111" s="91"/>
      <c r="AD111" s="91"/>
      <c r="AE111" s="94"/>
      <c r="AF111" s="95"/>
      <c r="AG111" s="91"/>
      <c r="AH111" s="91"/>
      <c r="AI111" s="91"/>
      <c r="AJ111" s="91"/>
      <c r="AK111" s="91"/>
      <c r="AL111" s="91"/>
      <c r="AM111" s="91"/>
      <c r="AN111" s="91"/>
      <c r="AO111" s="91"/>
      <c r="AP111" s="91"/>
      <c r="AQ111" s="94"/>
      <c r="AR111" s="95"/>
      <c r="AS111" s="91"/>
      <c r="AT111" s="91"/>
      <c r="AU111" s="91"/>
      <c r="AV111" s="91"/>
      <c r="AW111" s="91"/>
      <c r="AX111" s="91"/>
      <c r="AY111" s="91"/>
      <c r="AZ111" s="91"/>
      <c r="BA111" s="91"/>
      <c r="BB111" s="91"/>
      <c r="BC111" s="94"/>
      <c r="BD111" s="95"/>
      <c r="BE111" s="91"/>
      <c r="BF111" s="91"/>
      <c r="BG111" s="91"/>
      <c r="BH111" s="91"/>
      <c r="BI111" s="91"/>
      <c r="BJ111" s="91"/>
      <c r="BK111" s="91"/>
      <c r="BL111" s="91"/>
      <c r="BM111" s="91"/>
      <c r="BN111" s="91"/>
      <c r="BO111" s="94"/>
      <c r="BP111" s="95"/>
      <c r="BQ111" s="91"/>
      <c r="BR111" s="91"/>
      <c r="BS111" s="91"/>
      <c r="BT111" s="91"/>
      <c r="BU111" s="91"/>
      <c r="BV111" s="91"/>
      <c r="BW111" s="91"/>
      <c r="BX111" s="91"/>
      <c r="BY111" s="91"/>
      <c r="BZ111" s="91"/>
      <c r="CA111" s="119"/>
      <c r="CC111" s="79" t="n">
        <f aca="false">SUMIFS($T111:$CA111, $T$1:$CA$1, CC$75)</f>
        <v>0</v>
      </c>
      <c r="CD111" s="79" t="n">
        <f aca="false">SUMIFS($T111:$CA111, $T$1:$CA$1, CD$75)</f>
        <v>0</v>
      </c>
      <c r="CE111" s="79" t="n">
        <f aca="false">SUMIFS($T111:$CA111, $T$1:$CA$1, CE$75)</f>
        <v>0</v>
      </c>
      <c r="CF111" s="79" t="n">
        <f aca="false">SUMIFS($T111:$CA111, $T$1:$CA$1, CF$75)</f>
        <v>0</v>
      </c>
      <c r="CG111" s="79" t="n">
        <f aca="false">SUMIFS($T111:$CA111, $T$1:$CA$1, CG$75)</f>
        <v>0</v>
      </c>
      <c r="CI111" s="79" t="n">
        <f aca="false">CC111=L111</f>
        <v>1</v>
      </c>
      <c r="CJ111" s="79" t="n">
        <f aca="false">CD111=M111</f>
        <v>1</v>
      </c>
      <c r="CK111" s="79" t="n">
        <f aca="false">CE111=N111</f>
        <v>1</v>
      </c>
      <c r="CL111" s="79" t="n">
        <f aca="false">CF111=O111</f>
        <v>1</v>
      </c>
      <c r="CM111" s="79" t="n">
        <f aca="false">CG111=P111</f>
        <v>1</v>
      </c>
    </row>
    <row r="112" s="14" customFormat="true" ht="16.5" hidden="true" customHeight="true" outlineLevel="2" collapsed="false">
      <c r="E112" s="91"/>
      <c r="H112" s="29"/>
      <c r="I112" s="100" t="n">
        <v>0</v>
      </c>
      <c r="J112" s="100" t="n">
        <v>0</v>
      </c>
      <c r="K112" s="101" t="n">
        <f aca="false">J112-I112</f>
        <v>0</v>
      </c>
      <c r="L112" s="100"/>
      <c r="M112" s="100"/>
      <c r="N112" s="100"/>
      <c r="O112" s="100"/>
      <c r="P112" s="100"/>
      <c r="Q112" s="93"/>
      <c r="R112" s="16" t="str">
        <f aca="false">IF(K112=P112, "", "Error")</f>
        <v/>
      </c>
      <c r="T112" s="91"/>
      <c r="U112" s="91"/>
      <c r="V112" s="91"/>
      <c r="W112" s="91"/>
      <c r="X112" s="91"/>
      <c r="Y112" s="91"/>
      <c r="Z112" s="91"/>
      <c r="AA112" s="91"/>
      <c r="AB112" s="91"/>
      <c r="AC112" s="91"/>
      <c r="AD112" s="91"/>
      <c r="AE112" s="94"/>
      <c r="AF112" s="95"/>
      <c r="AG112" s="91"/>
      <c r="AH112" s="91"/>
      <c r="AI112" s="91"/>
      <c r="AJ112" s="91"/>
      <c r="AK112" s="91"/>
      <c r="AL112" s="91"/>
      <c r="AM112" s="91"/>
      <c r="AN112" s="91"/>
      <c r="AO112" s="91"/>
      <c r="AP112" s="91"/>
      <c r="AQ112" s="94"/>
      <c r="AR112" s="95"/>
      <c r="AS112" s="91"/>
      <c r="AT112" s="91"/>
      <c r="AU112" s="91"/>
      <c r="AV112" s="91"/>
      <c r="AW112" s="91"/>
      <c r="AX112" s="91"/>
      <c r="AY112" s="91"/>
      <c r="AZ112" s="91"/>
      <c r="BA112" s="91"/>
      <c r="BB112" s="91"/>
      <c r="BC112" s="94"/>
      <c r="BD112" s="95"/>
      <c r="BE112" s="91"/>
      <c r="BF112" s="91"/>
      <c r="BG112" s="91"/>
      <c r="BH112" s="91"/>
      <c r="BI112" s="91"/>
      <c r="BJ112" s="91"/>
      <c r="BK112" s="91"/>
      <c r="BL112" s="91"/>
      <c r="BM112" s="91"/>
      <c r="BN112" s="91"/>
      <c r="BO112" s="94"/>
      <c r="BP112" s="95"/>
      <c r="BQ112" s="91"/>
      <c r="BR112" s="91"/>
      <c r="BS112" s="91"/>
      <c r="BT112" s="91"/>
      <c r="BU112" s="91"/>
      <c r="BV112" s="91"/>
      <c r="BW112" s="91"/>
      <c r="BX112" s="91"/>
      <c r="BY112" s="91"/>
      <c r="BZ112" s="91"/>
      <c r="CA112" s="119"/>
      <c r="CC112" s="79" t="n">
        <f aca="false">SUMIFS($T112:$CA112, $T$1:$CA$1, CC$75)</f>
        <v>0</v>
      </c>
      <c r="CD112" s="79" t="n">
        <f aca="false">SUMIFS($T112:$CA112, $T$1:$CA$1, CD$75)</f>
        <v>0</v>
      </c>
      <c r="CE112" s="79" t="n">
        <f aca="false">SUMIFS($T112:$CA112, $T$1:$CA$1, CE$75)</f>
        <v>0</v>
      </c>
      <c r="CF112" s="79" t="n">
        <f aca="false">SUMIFS($T112:$CA112, $T$1:$CA$1, CF$75)</f>
        <v>0</v>
      </c>
      <c r="CG112" s="79" t="n">
        <f aca="false">SUMIFS($T112:$CA112, $T$1:$CA$1, CG$75)</f>
        <v>0</v>
      </c>
      <c r="CI112" s="79" t="n">
        <f aca="false">CC112=L112</f>
        <v>1</v>
      </c>
      <c r="CJ112" s="79" t="n">
        <f aca="false">CD112=M112</f>
        <v>1</v>
      </c>
      <c r="CK112" s="79" t="n">
        <f aca="false">CE112=N112</f>
        <v>1</v>
      </c>
      <c r="CL112" s="79" t="n">
        <f aca="false">CF112=O112</f>
        <v>1</v>
      </c>
      <c r="CM112" s="79" t="n">
        <f aca="false">CG112=P112</f>
        <v>1</v>
      </c>
    </row>
    <row r="113" s="14" customFormat="true" ht="16.5" hidden="true" customHeight="true" outlineLevel="2" collapsed="false">
      <c r="E113" s="91"/>
      <c r="H113" s="29"/>
      <c r="I113" s="100" t="n">
        <v>0</v>
      </c>
      <c r="J113" s="100" t="n">
        <v>0</v>
      </c>
      <c r="K113" s="101" t="n">
        <f aca="false">J113-I113</f>
        <v>0</v>
      </c>
      <c r="L113" s="100"/>
      <c r="M113" s="100"/>
      <c r="N113" s="100"/>
      <c r="O113" s="100"/>
      <c r="P113" s="100"/>
      <c r="Q113" s="93"/>
      <c r="R113" s="16" t="str">
        <f aca="false">IF(K113=P113, "", "Error")</f>
        <v/>
      </c>
      <c r="T113" s="91"/>
      <c r="U113" s="91"/>
      <c r="V113" s="91"/>
      <c r="W113" s="91"/>
      <c r="X113" s="91"/>
      <c r="Y113" s="91"/>
      <c r="Z113" s="91"/>
      <c r="AA113" s="91"/>
      <c r="AB113" s="91"/>
      <c r="AC113" s="91"/>
      <c r="AD113" s="91"/>
      <c r="AE113" s="94"/>
      <c r="AF113" s="95"/>
      <c r="AG113" s="91"/>
      <c r="AH113" s="91"/>
      <c r="AI113" s="91"/>
      <c r="AJ113" s="91"/>
      <c r="AK113" s="91"/>
      <c r="AL113" s="91"/>
      <c r="AM113" s="91"/>
      <c r="AN113" s="91"/>
      <c r="AO113" s="91"/>
      <c r="AP113" s="91"/>
      <c r="AQ113" s="94"/>
      <c r="AR113" s="95"/>
      <c r="AS113" s="91"/>
      <c r="AT113" s="91"/>
      <c r="AU113" s="91"/>
      <c r="AV113" s="91"/>
      <c r="AW113" s="91"/>
      <c r="AX113" s="91"/>
      <c r="AY113" s="91"/>
      <c r="AZ113" s="91"/>
      <c r="BA113" s="91"/>
      <c r="BB113" s="91"/>
      <c r="BC113" s="94"/>
      <c r="BD113" s="95"/>
      <c r="BE113" s="91"/>
      <c r="BF113" s="91"/>
      <c r="BG113" s="91"/>
      <c r="BH113" s="91"/>
      <c r="BI113" s="91"/>
      <c r="BJ113" s="91"/>
      <c r="BK113" s="91"/>
      <c r="BL113" s="91"/>
      <c r="BM113" s="91"/>
      <c r="BN113" s="91"/>
      <c r="BO113" s="94"/>
      <c r="BP113" s="95"/>
      <c r="BQ113" s="91"/>
      <c r="BR113" s="91"/>
      <c r="BS113" s="91"/>
      <c r="BT113" s="91"/>
      <c r="BU113" s="91"/>
      <c r="BV113" s="91"/>
      <c r="BW113" s="91"/>
      <c r="BX113" s="91"/>
      <c r="BY113" s="91"/>
      <c r="BZ113" s="91"/>
      <c r="CA113" s="119"/>
      <c r="CC113" s="79" t="n">
        <f aca="false">SUMIFS($T113:$CA113, $T$1:$CA$1, CC$75)</f>
        <v>0</v>
      </c>
      <c r="CD113" s="79" t="n">
        <f aca="false">SUMIFS($T113:$CA113, $T$1:$CA$1, CD$75)</f>
        <v>0</v>
      </c>
      <c r="CE113" s="79" t="n">
        <f aca="false">SUMIFS($T113:$CA113, $T$1:$CA$1, CE$75)</f>
        <v>0</v>
      </c>
      <c r="CF113" s="79" t="n">
        <f aca="false">SUMIFS($T113:$CA113, $T$1:$CA$1, CF$75)</f>
        <v>0</v>
      </c>
      <c r="CG113" s="79" t="n">
        <f aca="false">SUMIFS($T113:$CA113, $T$1:$CA$1, CG$75)</f>
        <v>0</v>
      </c>
      <c r="CI113" s="79" t="n">
        <f aca="false">CC113=L113</f>
        <v>1</v>
      </c>
      <c r="CJ113" s="79" t="n">
        <f aca="false">CD113=M113</f>
        <v>1</v>
      </c>
      <c r="CK113" s="79" t="n">
        <f aca="false">CE113=N113</f>
        <v>1</v>
      </c>
      <c r="CL113" s="79" t="n">
        <f aca="false">CF113=O113</f>
        <v>1</v>
      </c>
      <c r="CM113" s="79" t="n">
        <f aca="false">CG113=P113</f>
        <v>1</v>
      </c>
    </row>
    <row r="114" s="14" customFormat="true" ht="16.5" hidden="true" customHeight="true" outlineLevel="2" collapsed="false">
      <c r="E114" s="91"/>
      <c r="H114" s="29"/>
      <c r="I114" s="100"/>
      <c r="J114" s="100"/>
      <c r="K114" s="101"/>
      <c r="L114" s="100"/>
      <c r="M114" s="100"/>
      <c r="N114" s="100"/>
      <c r="O114" s="100"/>
      <c r="P114" s="100"/>
      <c r="Q114" s="93"/>
      <c r="R114" s="16"/>
      <c r="T114" s="91"/>
      <c r="U114" s="91"/>
      <c r="V114" s="91"/>
      <c r="W114" s="91"/>
      <c r="X114" s="91"/>
      <c r="Y114" s="91"/>
      <c r="Z114" s="91"/>
      <c r="AA114" s="91"/>
      <c r="AB114" s="91"/>
      <c r="AC114" s="91"/>
      <c r="AD114" s="91"/>
      <c r="AE114" s="94"/>
      <c r="AF114" s="95"/>
      <c r="AG114" s="91"/>
      <c r="AH114" s="91"/>
      <c r="AI114" s="91"/>
      <c r="AJ114" s="91"/>
      <c r="AK114" s="91"/>
      <c r="AL114" s="91"/>
      <c r="AM114" s="91"/>
      <c r="AN114" s="91"/>
      <c r="AO114" s="91"/>
      <c r="AP114" s="91"/>
      <c r="AQ114" s="94"/>
      <c r="AR114" s="95"/>
      <c r="AS114" s="91"/>
      <c r="AT114" s="91"/>
      <c r="AU114" s="91"/>
      <c r="AV114" s="91"/>
      <c r="AW114" s="91"/>
      <c r="AX114" s="91"/>
      <c r="AY114" s="91"/>
      <c r="AZ114" s="91"/>
      <c r="BA114" s="91"/>
      <c r="BB114" s="91"/>
      <c r="BC114" s="94"/>
      <c r="BD114" s="95"/>
      <c r="BE114" s="91"/>
      <c r="BF114" s="91"/>
      <c r="BG114" s="91"/>
      <c r="BH114" s="91"/>
      <c r="BI114" s="91"/>
      <c r="BJ114" s="91"/>
      <c r="BK114" s="91"/>
      <c r="BL114" s="91"/>
      <c r="BM114" s="91"/>
      <c r="BN114" s="91"/>
      <c r="BO114" s="94"/>
      <c r="BP114" s="95"/>
      <c r="BQ114" s="91"/>
      <c r="BR114" s="91"/>
      <c r="BS114" s="91"/>
      <c r="BT114" s="91"/>
      <c r="BU114" s="91"/>
      <c r="BV114" s="91"/>
      <c r="BW114" s="91"/>
      <c r="BX114" s="91"/>
      <c r="BY114" s="91"/>
      <c r="BZ114" s="91"/>
      <c r="CA114" s="119"/>
      <c r="CC114" s="79"/>
      <c r="CD114" s="79"/>
      <c r="CE114" s="79"/>
      <c r="CF114" s="79"/>
      <c r="CG114" s="79"/>
      <c r="CI114" s="79"/>
      <c r="CJ114" s="79"/>
      <c r="CK114" s="79"/>
      <c r="CL114" s="79"/>
      <c r="CM114" s="79"/>
    </row>
    <row r="115" s="14" customFormat="true" ht="16.5" hidden="true" customHeight="true" outlineLevel="1" collapsed="true">
      <c r="E115" s="96" t="s">
        <v>129</v>
      </c>
      <c r="H115" s="29"/>
      <c r="I115" s="107" t="n">
        <f aca="false">SUM(I110:I114)</f>
        <v>0</v>
      </c>
      <c r="J115" s="107" t="n">
        <f aca="false">SUM(J110:J114)</f>
        <v>0</v>
      </c>
      <c r="K115" s="107" t="n">
        <f aca="false">SUM(K110:K114)</f>
        <v>0</v>
      </c>
      <c r="L115" s="107" t="n">
        <f aca="false">SUM(L110:L114)</f>
        <v>0</v>
      </c>
      <c r="M115" s="107" t="n">
        <f aca="false">SUM(M110:M114)</f>
        <v>0</v>
      </c>
      <c r="N115" s="107" t="n">
        <f aca="false">SUM(N110:N114)</f>
        <v>0</v>
      </c>
      <c r="O115" s="107" t="n">
        <f aca="false">SUM(O110:O114)</f>
        <v>0</v>
      </c>
      <c r="P115" s="107" t="n">
        <f aca="false">SUM(P110:P114)</f>
        <v>0</v>
      </c>
      <c r="Q115" s="16"/>
      <c r="R115" s="16"/>
      <c r="T115" s="82" t="n">
        <f aca="false">SUM(T110:T114)</f>
        <v>0</v>
      </c>
      <c r="U115" s="82" t="n">
        <f aca="false">SUM(U110:U114)</f>
        <v>0</v>
      </c>
      <c r="V115" s="82" t="n">
        <f aca="false">SUM(V110:V114)</f>
        <v>0</v>
      </c>
      <c r="W115" s="82" t="n">
        <f aca="false">SUM(W110:W114)</f>
        <v>0</v>
      </c>
      <c r="X115" s="82" t="n">
        <f aca="false">SUM(X110:X114)</f>
        <v>0</v>
      </c>
      <c r="Y115" s="82" t="n">
        <f aca="false">SUM(Y110:Y114)</f>
        <v>0</v>
      </c>
      <c r="Z115" s="82" t="n">
        <f aca="false">SUM(Z110:Z114)</f>
        <v>0</v>
      </c>
      <c r="AA115" s="82" t="n">
        <f aca="false">SUM(AA110:AA114)</f>
        <v>0</v>
      </c>
      <c r="AB115" s="82" t="n">
        <f aca="false">SUM(AB110:AB114)</f>
        <v>0</v>
      </c>
      <c r="AC115" s="82" t="n">
        <f aca="false">SUM(AC110:AC114)</f>
        <v>0</v>
      </c>
      <c r="AD115" s="82" t="n">
        <f aca="false">SUM(AD110:AD114)</f>
        <v>0</v>
      </c>
      <c r="AE115" s="82" t="n">
        <f aca="false">SUM(AE110:AE114)</f>
        <v>0</v>
      </c>
      <c r="AF115" s="83" t="n">
        <f aca="false">SUM(AF110:AF114)</f>
        <v>0</v>
      </c>
      <c r="AG115" s="82" t="n">
        <f aca="false">SUM(AG110:AG114)</f>
        <v>0</v>
      </c>
      <c r="AH115" s="82" t="n">
        <f aca="false">SUM(AH110:AH114)</f>
        <v>0</v>
      </c>
      <c r="AI115" s="82" t="n">
        <f aca="false">SUM(AI110:AI114)</f>
        <v>0</v>
      </c>
      <c r="AJ115" s="82" t="n">
        <f aca="false">SUM(AJ110:AJ114)</f>
        <v>0</v>
      </c>
      <c r="AK115" s="82" t="n">
        <f aca="false">SUM(AK110:AK114)</f>
        <v>0</v>
      </c>
      <c r="AL115" s="82" t="n">
        <f aca="false">SUM(AL110:AL114)</f>
        <v>0</v>
      </c>
      <c r="AM115" s="82" t="n">
        <f aca="false">SUM(AM110:AM114)</f>
        <v>0</v>
      </c>
      <c r="AN115" s="82" t="n">
        <f aca="false">SUM(AN110:AN114)</f>
        <v>0</v>
      </c>
      <c r="AO115" s="82" t="n">
        <f aca="false">SUM(AO110:AO114)</f>
        <v>0</v>
      </c>
      <c r="AP115" s="82" t="n">
        <f aca="false">SUM(AP110:AP114)</f>
        <v>0</v>
      </c>
      <c r="AQ115" s="82" t="n">
        <f aca="false">SUM(AQ110:AQ114)</f>
        <v>0</v>
      </c>
      <c r="AR115" s="83" t="n">
        <f aca="false">SUM(AR110:AR114)</f>
        <v>0</v>
      </c>
      <c r="AS115" s="82" t="n">
        <f aca="false">SUM(AS110:AS114)</f>
        <v>0</v>
      </c>
      <c r="AT115" s="82" t="n">
        <f aca="false">SUM(AT110:AT114)</f>
        <v>0</v>
      </c>
      <c r="AU115" s="82" t="n">
        <f aca="false">SUM(AU110:AU114)</f>
        <v>0</v>
      </c>
      <c r="AV115" s="82" t="n">
        <f aca="false">SUM(AV110:AV114)</f>
        <v>0</v>
      </c>
      <c r="AW115" s="82" t="n">
        <f aca="false">SUM(AW110:AW114)</f>
        <v>0</v>
      </c>
      <c r="AX115" s="82" t="n">
        <f aca="false">SUM(AX110:AX114)</f>
        <v>0</v>
      </c>
      <c r="AY115" s="82" t="n">
        <f aca="false">SUM(AY110:AY114)</f>
        <v>0</v>
      </c>
      <c r="AZ115" s="82" t="n">
        <f aca="false">SUM(AZ110:AZ114)</f>
        <v>0</v>
      </c>
      <c r="BA115" s="82" t="n">
        <f aca="false">SUM(BA110:BA114)</f>
        <v>0</v>
      </c>
      <c r="BB115" s="82" t="n">
        <f aca="false">SUM(BB110:BB114)</f>
        <v>0</v>
      </c>
      <c r="BC115" s="82" t="n">
        <f aca="false">SUM(BC110:BC114)</f>
        <v>0</v>
      </c>
      <c r="BD115" s="83" t="n">
        <f aca="false">SUM(BD110:BD114)</f>
        <v>0</v>
      </c>
      <c r="BE115" s="82" t="n">
        <f aca="false">SUM(BE110:BE114)</f>
        <v>0</v>
      </c>
      <c r="BF115" s="82" t="n">
        <f aca="false">SUM(BF110:BF114)</f>
        <v>0</v>
      </c>
      <c r="BG115" s="82" t="n">
        <f aca="false">SUM(BG110:BG114)</f>
        <v>0</v>
      </c>
      <c r="BH115" s="82" t="n">
        <f aca="false">SUM(BH110:BH114)</f>
        <v>0</v>
      </c>
      <c r="BI115" s="82" t="n">
        <f aca="false">SUM(BI110:BI114)</f>
        <v>0</v>
      </c>
      <c r="BJ115" s="82" t="n">
        <f aca="false">SUM(BJ110:BJ114)</f>
        <v>0</v>
      </c>
      <c r="BK115" s="82" t="n">
        <f aca="false">SUM(BK110:BK114)</f>
        <v>0</v>
      </c>
      <c r="BL115" s="82" t="n">
        <f aca="false">SUM(BL110:BL114)</f>
        <v>0</v>
      </c>
      <c r="BM115" s="82" t="n">
        <f aca="false">SUM(BM110:BM114)</f>
        <v>0</v>
      </c>
      <c r="BN115" s="82" t="n">
        <f aca="false">SUM(BN110:BN114)</f>
        <v>0</v>
      </c>
      <c r="BO115" s="82" t="n">
        <f aca="false">SUM(BO110:BO114)</f>
        <v>0</v>
      </c>
      <c r="BP115" s="83" t="n">
        <f aca="false">SUM(BP110:BP114)</f>
        <v>0</v>
      </c>
      <c r="BQ115" s="82" t="n">
        <f aca="false">SUM(BQ110:BQ114)</f>
        <v>0</v>
      </c>
      <c r="BR115" s="82" t="n">
        <f aca="false">SUM(BR110:BR114)</f>
        <v>0</v>
      </c>
      <c r="BS115" s="82" t="n">
        <f aca="false">SUM(BS110:BS114)</f>
        <v>0</v>
      </c>
      <c r="BT115" s="82" t="n">
        <f aca="false">SUM(BT110:BT114)</f>
        <v>0</v>
      </c>
      <c r="BU115" s="82" t="n">
        <f aca="false">SUM(BU110:BU114)</f>
        <v>0</v>
      </c>
      <c r="BV115" s="82" t="n">
        <f aca="false">SUM(BV110:BV114)</f>
        <v>0</v>
      </c>
      <c r="BW115" s="82" t="n">
        <f aca="false">SUM(BW110:BW114)</f>
        <v>0</v>
      </c>
      <c r="BX115" s="82" t="n">
        <f aca="false">SUM(BX110:BX114)</f>
        <v>0</v>
      </c>
      <c r="BY115" s="82" t="n">
        <f aca="false">SUM(BY110:BY114)</f>
        <v>0</v>
      </c>
      <c r="BZ115" s="82" t="n">
        <f aca="false">SUM(BZ110:BZ114)</f>
        <v>0</v>
      </c>
      <c r="CA115" s="84" t="n">
        <f aca="false">SUM(CA110:CA114)</f>
        <v>0</v>
      </c>
      <c r="CC115" s="84" t="n">
        <f aca="false">SUM(CC110:CC114)</f>
        <v>0</v>
      </c>
      <c r="CD115" s="84" t="n">
        <f aca="false">SUM(CD110:CD114)</f>
        <v>0</v>
      </c>
      <c r="CE115" s="84" t="n">
        <f aca="false">SUM(CE110:CE114)</f>
        <v>0</v>
      </c>
      <c r="CF115" s="84" t="n">
        <f aca="false">SUM(CF110:CF114)</f>
        <v>0</v>
      </c>
      <c r="CG115" s="84" t="n">
        <f aca="false">SUM(CG110:CG114)</f>
        <v>0</v>
      </c>
      <c r="CI115" s="84" t="n">
        <f aca="false">CC115=L115</f>
        <v>1</v>
      </c>
      <c r="CJ115" s="84" t="n">
        <f aca="false">CD115=M115</f>
        <v>1</v>
      </c>
      <c r="CK115" s="84" t="n">
        <f aca="false">CE115=N115</f>
        <v>1</v>
      </c>
      <c r="CL115" s="84" t="n">
        <f aca="false">CF115=O115</f>
        <v>1</v>
      </c>
      <c r="CM115" s="84" t="n">
        <f aca="false">CG115=P115</f>
        <v>1</v>
      </c>
    </row>
    <row r="116" s="14" customFormat="true" ht="16.5" hidden="true" customHeight="true" outlineLevel="1" collapsed="false">
      <c r="H116" s="29"/>
      <c r="I116" s="108"/>
      <c r="J116" s="108"/>
      <c r="K116" s="108"/>
      <c r="L116" s="108"/>
      <c r="M116" s="108"/>
      <c r="N116" s="108"/>
      <c r="O116" s="108"/>
      <c r="P116" s="108"/>
      <c r="Q116" s="16"/>
      <c r="R116" s="16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9"/>
      <c r="AG116" s="88"/>
      <c r="AH116" s="88"/>
      <c r="AI116" s="88"/>
      <c r="AJ116" s="88"/>
      <c r="AK116" s="88"/>
      <c r="AL116" s="88"/>
      <c r="AM116" s="88"/>
      <c r="AN116" s="88"/>
      <c r="AO116" s="88"/>
      <c r="AP116" s="88"/>
      <c r="AQ116" s="88"/>
      <c r="AR116" s="89"/>
      <c r="AS116" s="88"/>
      <c r="AT116" s="88"/>
      <c r="AU116" s="88"/>
      <c r="AV116" s="88"/>
      <c r="AW116" s="88"/>
      <c r="AX116" s="88"/>
      <c r="AY116" s="88"/>
      <c r="AZ116" s="88"/>
      <c r="BA116" s="88"/>
      <c r="BB116" s="88"/>
      <c r="BC116" s="88"/>
      <c r="BD116" s="89"/>
      <c r="BE116" s="88"/>
      <c r="BF116" s="88"/>
      <c r="BG116" s="88"/>
      <c r="BH116" s="88"/>
      <c r="BI116" s="88"/>
      <c r="BJ116" s="88"/>
      <c r="BK116" s="88"/>
      <c r="BL116" s="88"/>
      <c r="BM116" s="88"/>
      <c r="BN116" s="88"/>
      <c r="BO116" s="88"/>
      <c r="BP116" s="89"/>
      <c r="BQ116" s="88"/>
      <c r="BR116" s="88"/>
      <c r="BS116" s="88"/>
      <c r="BT116" s="88"/>
      <c r="BU116" s="88"/>
      <c r="BV116" s="88"/>
      <c r="BW116" s="88"/>
      <c r="BX116" s="88"/>
      <c r="BY116" s="88"/>
      <c r="BZ116" s="88"/>
      <c r="CA116" s="90"/>
      <c r="CC116" s="90"/>
      <c r="CD116" s="90"/>
      <c r="CE116" s="90"/>
      <c r="CF116" s="90"/>
      <c r="CG116" s="90"/>
      <c r="CI116" s="90"/>
      <c r="CJ116" s="90"/>
      <c r="CK116" s="90"/>
      <c r="CL116" s="90"/>
      <c r="CM116" s="90"/>
    </row>
    <row r="117" s="14" customFormat="true" ht="16.5" hidden="false" customHeight="true" outlineLevel="0" collapsed="false">
      <c r="E117" s="21" t="s">
        <v>130</v>
      </c>
      <c r="H117" s="29"/>
      <c r="I117" s="108"/>
      <c r="J117" s="108"/>
      <c r="K117" s="108"/>
      <c r="L117" s="108"/>
      <c r="M117" s="108"/>
      <c r="N117" s="108"/>
      <c r="O117" s="108"/>
      <c r="P117" s="108"/>
      <c r="Q117" s="16"/>
      <c r="R117" s="16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9"/>
      <c r="AG117" s="88"/>
      <c r="AH117" s="88"/>
      <c r="AI117" s="88"/>
      <c r="AJ117" s="88"/>
      <c r="AK117" s="88"/>
      <c r="AL117" s="88"/>
      <c r="AM117" s="88"/>
      <c r="AN117" s="88"/>
      <c r="AO117" s="88"/>
      <c r="AP117" s="88"/>
      <c r="AQ117" s="88"/>
      <c r="AR117" s="89"/>
      <c r="AS117" s="88"/>
      <c r="AT117" s="88"/>
      <c r="AU117" s="88"/>
      <c r="AV117" s="88"/>
      <c r="AW117" s="88"/>
      <c r="AX117" s="88"/>
      <c r="AY117" s="88"/>
      <c r="AZ117" s="88"/>
      <c r="BA117" s="88"/>
      <c r="BB117" s="88"/>
      <c r="BC117" s="88"/>
      <c r="BD117" s="89"/>
      <c r="BE117" s="88"/>
      <c r="BF117" s="88"/>
      <c r="BG117" s="88"/>
      <c r="BH117" s="88"/>
      <c r="BI117" s="88"/>
      <c r="BJ117" s="88"/>
      <c r="BK117" s="88"/>
      <c r="BL117" s="88"/>
      <c r="BM117" s="88"/>
      <c r="BN117" s="88"/>
      <c r="BO117" s="88"/>
      <c r="BP117" s="89"/>
      <c r="BQ117" s="88"/>
      <c r="BR117" s="88"/>
      <c r="BS117" s="88"/>
      <c r="BT117" s="88"/>
      <c r="BU117" s="88"/>
      <c r="BV117" s="88"/>
      <c r="BW117" s="88"/>
      <c r="BX117" s="88"/>
      <c r="BY117" s="88"/>
      <c r="BZ117" s="88"/>
      <c r="CA117" s="90"/>
      <c r="CC117" s="90"/>
      <c r="CD117" s="90"/>
      <c r="CE117" s="90"/>
      <c r="CF117" s="90"/>
      <c r="CG117" s="90"/>
      <c r="CI117" s="90"/>
      <c r="CJ117" s="90"/>
      <c r="CK117" s="90"/>
      <c r="CL117" s="90"/>
      <c r="CM117" s="90"/>
    </row>
    <row r="118" s="14" customFormat="true" ht="16.5" hidden="false" customHeight="true" outlineLevel="0" collapsed="false">
      <c r="E118" s="91" t="s">
        <v>136</v>
      </c>
      <c r="H118" s="29" t="s">
        <v>137</v>
      </c>
      <c r="I118" s="97" t="n">
        <v>0</v>
      </c>
      <c r="J118" s="97" t="n">
        <v>3.6</v>
      </c>
      <c r="K118" s="98" t="n">
        <f aca="false">J118-I118</f>
        <v>3.6</v>
      </c>
      <c r="L118" s="97"/>
      <c r="M118" s="97"/>
      <c r="N118" s="97" t="n">
        <v>3.6</v>
      </c>
      <c r="O118" s="97" t="n">
        <v>3.6</v>
      </c>
      <c r="P118" s="97" t="n">
        <v>3.6</v>
      </c>
      <c r="Q118" s="93"/>
      <c r="R118" s="16" t="str">
        <f aca="false">IF(K118=P118, "", "Error")</f>
        <v/>
      </c>
      <c r="T118" s="91"/>
      <c r="U118" s="91"/>
      <c r="V118" s="91"/>
      <c r="W118" s="91"/>
      <c r="X118" s="91"/>
      <c r="Y118" s="91"/>
      <c r="Z118" s="91"/>
      <c r="AA118" s="91"/>
      <c r="AB118" s="91"/>
      <c r="AC118" s="91"/>
      <c r="AD118" s="91"/>
      <c r="AE118" s="94"/>
      <c r="AF118" s="95"/>
      <c r="AG118" s="91"/>
      <c r="AH118" s="91"/>
      <c r="AI118" s="91"/>
      <c r="AJ118" s="91"/>
      <c r="AK118" s="91"/>
      <c r="AL118" s="91"/>
      <c r="AM118" s="91"/>
      <c r="AN118" s="91"/>
      <c r="AO118" s="91"/>
      <c r="AP118" s="91"/>
      <c r="AQ118" s="94"/>
      <c r="AR118" s="95" t="n">
        <f aca="false">3.6/12</f>
        <v>0.3</v>
      </c>
      <c r="AS118" s="95" t="n">
        <f aca="false">3.6/12</f>
        <v>0.3</v>
      </c>
      <c r="AT118" s="95" t="n">
        <f aca="false">3.6/12</f>
        <v>0.3</v>
      </c>
      <c r="AU118" s="95" t="n">
        <f aca="false">3.6/12</f>
        <v>0.3</v>
      </c>
      <c r="AV118" s="95" t="n">
        <f aca="false">3.6/12</f>
        <v>0.3</v>
      </c>
      <c r="AW118" s="95" t="n">
        <f aca="false">3.6/12</f>
        <v>0.3</v>
      </c>
      <c r="AX118" s="95" t="n">
        <f aca="false">3.6/12</f>
        <v>0.3</v>
      </c>
      <c r="AY118" s="95" t="n">
        <f aca="false">3.6/12</f>
        <v>0.3</v>
      </c>
      <c r="AZ118" s="95" t="n">
        <f aca="false">3.6/12</f>
        <v>0.3</v>
      </c>
      <c r="BA118" s="95" t="n">
        <f aca="false">3.6/12</f>
        <v>0.3</v>
      </c>
      <c r="BB118" s="95" t="n">
        <f aca="false">3.6/12</f>
        <v>0.3</v>
      </c>
      <c r="BC118" s="95" t="n">
        <f aca="false">3.6/12</f>
        <v>0.3</v>
      </c>
      <c r="BD118" s="95" t="n">
        <f aca="false">3.6/12</f>
        <v>0.3</v>
      </c>
      <c r="BE118" s="95" t="n">
        <f aca="false">3.6/12</f>
        <v>0.3</v>
      </c>
      <c r="BF118" s="95" t="n">
        <f aca="false">3.6/12</f>
        <v>0.3</v>
      </c>
      <c r="BG118" s="95" t="n">
        <f aca="false">3.6/12</f>
        <v>0.3</v>
      </c>
      <c r="BH118" s="95" t="n">
        <f aca="false">3.6/12</f>
        <v>0.3</v>
      </c>
      <c r="BI118" s="95" t="n">
        <f aca="false">3.6/12</f>
        <v>0.3</v>
      </c>
      <c r="BJ118" s="95" t="n">
        <f aca="false">3.6/12</f>
        <v>0.3</v>
      </c>
      <c r="BK118" s="95" t="n">
        <f aca="false">3.6/12</f>
        <v>0.3</v>
      </c>
      <c r="BL118" s="95" t="n">
        <f aca="false">3.6/12</f>
        <v>0.3</v>
      </c>
      <c r="BM118" s="95" t="n">
        <f aca="false">3.6/12</f>
        <v>0.3</v>
      </c>
      <c r="BN118" s="95" t="n">
        <f aca="false">3.6/12</f>
        <v>0.3</v>
      </c>
      <c r="BO118" s="95" t="n">
        <f aca="false">3.6/12</f>
        <v>0.3</v>
      </c>
      <c r="BP118" s="95" t="n">
        <f aca="false">3.6/12</f>
        <v>0.3</v>
      </c>
      <c r="BQ118" s="95" t="n">
        <f aca="false">3.6/12</f>
        <v>0.3</v>
      </c>
      <c r="BR118" s="95" t="n">
        <f aca="false">3.6/12</f>
        <v>0.3</v>
      </c>
      <c r="BS118" s="95" t="n">
        <f aca="false">3.6/12</f>
        <v>0.3</v>
      </c>
      <c r="BT118" s="95" t="n">
        <f aca="false">3.6/12</f>
        <v>0.3</v>
      </c>
      <c r="BU118" s="95" t="n">
        <f aca="false">3.6/12</f>
        <v>0.3</v>
      </c>
      <c r="BV118" s="95" t="n">
        <f aca="false">3.6/12</f>
        <v>0.3</v>
      </c>
      <c r="BW118" s="95" t="n">
        <f aca="false">3.6/12</f>
        <v>0.3</v>
      </c>
      <c r="BX118" s="95" t="n">
        <f aca="false">3.6/12</f>
        <v>0.3</v>
      </c>
      <c r="BY118" s="95" t="n">
        <f aca="false">3.6/12</f>
        <v>0.3</v>
      </c>
      <c r="BZ118" s="95" t="n">
        <f aca="false">3.6/12</f>
        <v>0.3</v>
      </c>
      <c r="CA118" s="95" t="n">
        <f aca="false">3.6/12</f>
        <v>0.3</v>
      </c>
      <c r="CC118" s="79" t="n">
        <f aca="false">SUMIFS($T118:$CA118, $T$1:$CA$1, CC$75)</f>
        <v>0</v>
      </c>
      <c r="CD118" s="79" t="n">
        <f aca="false">SUMIFS($T118:$CA118, $T$1:$CA$1, CD$75)</f>
        <v>0</v>
      </c>
      <c r="CE118" s="79" t="n">
        <f aca="false">SUMIFS($T118:$CA118, $T$1:$CA$1, CE$75)</f>
        <v>3.6</v>
      </c>
      <c r="CF118" s="79" t="n">
        <f aca="false">SUMIFS($T118:$CA118, $T$1:$CA$1, CF$75)</f>
        <v>3.6</v>
      </c>
      <c r="CG118" s="79" t="n">
        <f aca="false">SUMIFS($T118:$CA118, $T$1:$CA$1, CG$75)</f>
        <v>3.6</v>
      </c>
      <c r="CI118" s="79" t="n">
        <f aca="false">CC118=L118</f>
        <v>1</v>
      </c>
      <c r="CJ118" s="79" t="n">
        <f aca="false">CD118=M118</f>
        <v>1</v>
      </c>
      <c r="CK118" s="79" t="n">
        <f aca="false">CE118=N118</f>
        <v>1</v>
      </c>
      <c r="CL118" s="79" t="n">
        <f aca="false">CF118=O118</f>
        <v>1</v>
      </c>
      <c r="CM118" s="79" t="n">
        <f aca="false">CG118=P118</f>
        <v>1</v>
      </c>
    </row>
    <row r="119" s="14" customFormat="true" ht="16.5" hidden="false" customHeight="true" outlineLevel="0" collapsed="false">
      <c r="E119" s="91" t="s">
        <v>138</v>
      </c>
      <c r="H119" s="29" t="s">
        <v>139</v>
      </c>
      <c r="I119" s="97" t="n">
        <v>0</v>
      </c>
      <c r="J119" s="97" t="n">
        <v>1.2</v>
      </c>
      <c r="K119" s="98" t="n">
        <f aca="false">J119-I119</f>
        <v>1.2</v>
      </c>
      <c r="L119" s="97"/>
      <c r="M119" s="97" t="n">
        <v>1.2</v>
      </c>
      <c r="N119" s="97" t="n">
        <v>1.2</v>
      </c>
      <c r="O119" s="97" t="n">
        <v>1.2</v>
      </c>
      <c r="P119" s="97" t="n">
        <v>1.2</v>
      </c>
      <c r="Q119" s="93"/>
      <c r="R119" s="16" t="str">
        <f aca="false">IF(K119=P119, "", "Error")</f>
        <v/>
      </c>
      <c r="T119" s="91"/>
      <c r="U119" s="91"/>
      <c r="V119" s="91"/>
      <c r="W119" s="91"/>
      <c r="X119" s="91"/>
      <c r="Y119" s="91"/>
      <c r="Z119" s="91"/>
      <c r="AA119" s="91"/>
      <c r="AB119" s="91"/>
      <c r="AC119" s="91"/>
      <c r="AD119" s="91"/>
      <c r="AE119" s="94"/>
      <c r="AF119" s="94" t="n">
        <f aca="false">1.2/12</f>
        <v>0.1</v>
      </c>
      <c r="AG119" s="94" t="n">
        <f aca="false">1.2/12</f>
        <v>0.1</v>
      </c>
      <c r="AH119" s="94" t="n">
        <f aca="false">1.2/12</f>
        <v>0.1</v>
      </c>
      <c r="AI119" s="94" t="n">
        <f aca="false">1.2/12</f>
        <v>0.1</v>
      </c>
      <c r="AJ119" s="94" t="n">
        <f aca="false">1.2/12</f>
        <v>0.1</v>
      </c>
      <c r="AK119" s="94" t="n">
        <f aca="false">1.2/12</f>
        <v>0.1</v>
      </c>
      <c r="AL119" s="94" t="n">
        <f aca="false">1.2/12</f>
        <v>0.1</v>
      </c>
      <c r="AM119" s="94" t="n">
        <f aca="false">1.2/12</f>
        <v>0.1</v>
      </c>
      <c r="AN119" s="94" t="n">
        <f aca="false">1.2/12</f>
        <v>0.1</v>
      </c>
      <c r="AO119" s="94" t="n">
        <f aca="false">1.2/12</f>
        <v>0.1</v>
      </c>
      <c r="AP119" s="94" t="n">
        <f aca="false">1.2/12</f>
        <v>0.1</v>
      </c>
      <c r="AQ119" s="94" t="n">
        <f aca="false">1.2/12</f>
        <v>0.1</v>
      </c>
      <c r="AR119" s="94" t="n">
        <f aca="false">1.2/12</f>
        <v>0.1</v>
      </c>
      <c r="AS119" s="94" t="n">
        <f aca="false">1.2/12</f>
        <v>0.1</v>
      </c>
      <c r="AT119" s="94" t="n">
        <f aca="false">1.2/12</f>
        <v>0.1</v>
      </c>
      <c r="AU119" s="94" t="n">
        <f aca="false">1.2/12</f>
        <v>0.1</v>
      </c>
      <c r="AV119" s="94" t="n">
        <f aca="false">1.2/12</f>
        <v>0.1</v>
      </c>
      <c r="AW119" s="94" t="n">
        <f aca="false">1.2/12</f>
        <v>0.1</v>
      </c>
      <c r="AX119" s="94" t="n">
        <f aca="false">1.2/12</f>
        <v>0.1</v>
      </c>
      <c r="AY119" s="94" t="n">
        <f aca="false">1.2/12</f>
        <v>0.1</v>
      </c>
      <c r="AZ119" s="94" t="n">
        <f aca="false">1.2/12</f>
        <v>0.1</v>
      </c>
      <c r="BA119" s="94" t="n">
        <f aca="false">1.2/12</f>
        <v>0.1</v>
      </c>
      <c r="BB119" s="94" t="n">
        <f aca="false">1.2/12</f>
        <v>0.1</v>
      </c>
      <c r="BC119" s="94" t="n">
        <f aca="false">1.2/12</f>
        <v>0.1</v>
      </c>
      <c r="BD119" s="94" t="n">
        <f aca="false">1.2/12</f>
        <v>0.1</v>
      </c>
      <c r="BE119" s="94" t="n">
        <f aca="false">1.2/12</f>
        <v>0.1</v>
      </c>
      <c r="BF119" s="94" t="n">
        <f aca="false">1.2/12</f>
        <v>0.1</v>
      </c>
      <c r="BG119" s="94" t="n">
        <f aca="false">1.2/12</f>
        <v>0.1</v>
      </c>
      <c r="BH119" s="94" t="n">
        <f aca="false">1.2/12</f>
        <v>0.1</v>
      </c>
      <c r="BI119" s="94" t="n">
        <f aca="false">1.2/12</f>
        <v>0.1</v>
      </c>
      <c r="BJ119" s="94" t="n">
        <f aca="false">1.2/12</f>
        <v>0.1</v>
      </c>
      <c r="BK119" s="94" t="n">
        <f aca="false">1.2/12</f>
        <v>0.1</v>
      </c>
      <c r="BL119" s="94" t="n">
        <f aca="false">1.2/12</f>
        <v>0.1</v>
      </c>
      <c r="BM119" s="94" t="n">
        <f aca="false">1.2/12</f>
        <v>0.1</v>
      </c>
      <c r="BN119" s="94" t="n">
        <f aca="false">1.2/12</f>
        <v>0.1</v>
      </c>
      <c r="BO119" s="94" t="n">
        <f aca="false">1.2/12</f>
        <v>0.1</v>
      </c>
      <c r="BP119" s="94" t="n">
        <f aca="false">1.2/12</f>
        <v>0.1</v>
      </c>
      <c r="BQ119" s="94" t="n">
        <f aca="false">1.2/12</f>
        <v>0.1</v>
      </c>
      <c r="BR119" s="94" t="n">
        <f aca="false">1.2/12</f>
        <v>0.1</v>
      </c>
      <c r="BS119" s="94" t="n">
        <f aca="false">1.2/12</f>
        <v>0.1</v>
      </c>
      <c r="BT119" s="94" t="n">
        <f aca="false">1.2/12</f>
        <v>0.1</v>
      </c>
      <c r="BU119" s="94" t="n">
        <f aca="false">1.2/12</f>
        <v>0.1</v>
      </c>
      <c r="BV119" s="94" t="n">
        <f aca="false">1.2/12</f>
        <v>0.1</v>
      </c>
      <c r="BW119" s="94" t="n">
        <f aca="false">1.2/12</f>
        <v>0.1</v>
      </c>
      <c r="BX119" s="94" t="n">
        <f aca="false">1.2/12</f>
        <v>0.1</v>
      </c>
      <c r="BY119" s="94" t="n">
        <f aca="false">1.2/12</f>
        <v>0.1</v>
      </c>
      <c r="BZ119" s="94" t="n">
        <f aca="false">1.2/12</f>
        <v>0.1</v>
      </c>
      <c r="CA119" s="94" t="n">
        <f aca="false">1.2/12</f>
        <v>0.1</v>
      </c>
      <c r="CC119" s="79" t="n">
        <f aca="false">SUMIFS($T119:$CA119, $T$1:$CA$1, CC$75)</f>
        <v>0</v>
      </c>
      <c r="CD119" s="79" t="n">
        <f aca="false">SUMIFS($T119:$CA119, $T$1:$CA$1, CD$75)</f>
        <v>1.2</v>
      </c>
      <c r="CE119" s="79" t="n">
        <f aca="false">SUMIFS($T119:$CA119, $T$1:$CA$1, CE$75)</f>
        <v>1.2</v>
      </c>
      <c r="CF119" s="79" t="n">
        <f aca="false">SUMIFS($T119:$CA119, $T$1:$CA$1, CF$75)</f>
        <v>1.2</v>
      </c>
      <c r="CG119" s="79" t="n">
        <f aca="false">SUMIFS($T119:$CA119, $T$1:$CA$1, CG$75)</f>
        <v>1.2</v>
      </c>
      <c r="CI119" s="79" t="n">
        <f aca="false">CC119=L119</f>
        <v>1</v>
      </c>
      <c r="CJ119" s="79" t="n">
        <f aca="false">CD119=M119</f>
        <v>1</v>
      </c>
      <c r="CK119" s="79" t="n">
        <f aca="false">CE119=N119</f>
        <v>1</v>
      </c>
      <c r="CL119" s="79" t="n">
        <f aca="false">CF119=O119</f>
        <v>1</v>
      </c>
      <c r="CM119" s="79" t="n">
        <f aca="false">CG119=P119</f>
        <v>1</v>
      </c>
    </row>
    <row r="120" s="14" customFormat="true" ht="16.5" hidden="true" customHeight="true" outlineLevel="1" collapsed="false">
      <c r="E120" s="91"/>
      <c r="H120" s="29"/>
      <c r="I120" s="97"/>
      <c r="J120" s="97"/>
      <c r="K120" s="98"/>
      <c r="L120" s="97"/>
      <c r="M120" s="97"/>
      <c r="N120" s="97"/>
      <c r="O120" s="97"/>
      <c r="P120" s="97"/>
      <c r="Q120" s="93"/>
      <c r="R120" s="16"/>
      <c r="T120" s="91"/>
      <c r="U120" s="91"/>
      <c r="V120" s="91"/>
      <c r="W120" s="91"/>
      <c r="X120" s="91"/>
      <c r="Y120" s="91"/>
      <c r="Z120" s="91"/>
      <c r="AA120" s="91"/>
      <c r="AB120" s="91"/>
      <c r="AC120" s="91"/>
      <c r="AD120" s="91"/>
      <c r="AE120" s="94"/>
      <c r="AF120" s="94"/>
      <c r="AG120" s="94"/>
      <c r="AH120" s="94"/>
      <c r="AI120" s="94"/>
      <c r="AJ120" s="94"/>
      <c r="AK120" s="94"/>
      <c r="AL120" s="94"/>
      <c r="AM120" s="94"/>
      <c r="AN120" s="94"/>
      <c r="AO120" s="94"/>
      <c r="AP120" s="94"/>
      <c r="AQ120" s="94"/>
      <c r="AR120" s="94"/>
      <c r="AS120" s="94"/>
      <c r="AT120" s="94"/>
      <c r="AU120" s="94"/>
      <c r="AV120" s="94"/>
      <c r="AW120" s="94"/>
      <c r="AX120" s="94"/>
      <c r="AY120" s="94"/>
      <c r="AZ120" s="94"/>
      <c r="BA120" s="94"/>
      <c r="BB120" s="94"/>
      <c r="BC120" s="94"/>
      <c r="BD120" s="94"/>
      <c r="BE120" s="94"/>
      <c r="BF120" s="94"/>
      <c r="BG120" s="94"/>
      <c r="BH120" s="94"/>
      <c r="BI120" s="94"/>
      <c r="BJ120" s="94"/>
      <c r="BK120" s="94"/>
      <c r="BL120" s="94"/>
      <c r="BM120" s="94"/>
      <c r="BN120" s="94"/>
      <c r="BO120" s="94"/>
      <c r="BP120" s="94"/>
      <c r="BQ120" s="94"/>
      <c r="BR120" s="94"/>
      <c r="BS120" s="94"/>
      <c r="BT120" s="94"/>
      <c r="BU120" s="94"/>
      <c r="BV120" s="94"/>
      <c r="BW120" s="94"/>
      <c r="BX120" s="94"/>
      <c r="BY120" s="94"/>
      <c r="BZ120" s="94"/>
      <c r="CA120" s="94"/>
      <c r="CC120" s="79" t="n">
        <f aca="false">SUMIFS($T120:$CA120, $T$1:$CA$1, CC$75)</f>
        <v>0</v>
      </c>
      <c r="CD120" s="79" t="n">
        <f aca="false">SUMIFS($T120:$CA120, $T$1:$CA$1, CD$75)</f>
        <v>0</v>
      </c>
      <c r="CE120" s="79" t="n">
        <f aca="false">SUMIFS($T120:$CA120, $T$1:$CA$1, CE$75)</f>
        <v>0</v>
      </c>
      <c r="CF120" s="79" t="n">
        <f aca="false">SUMIFS($T120:$CA120, $T$1:$CA$1, CF$75)</f>
        <v>0</v>
      </c>
      <c r="CG120" s="79" t="n">
        <f aca="false">SUMIFS($T120:$CA120, $T$1:$CA$1, CG$75)</f>
        <v>0</v>
      </c>
      <c r="CI120" s="79" t="n">
        <f aca="false">CC120=L120</f>
        <v>1</v>
      </c>
      <c r="CJ120" s="79" t="n">
        <f aca="false">CD120=M120</f>
        <v>1</v>
      </c>
      <c r="CK120" s="79" t="n">
        <f aca="false">CE120=N120</f>
        <v>1</v>
      </c>
      <c r="CL120" s="79" t="n">
        <f aca="false">CF120=O120</f>
        <v>1</v>
      </c>
      <c r="CM120" s="79" t="n">
        <f aca="false">CG120=P120</f>
        <v>1</v>
      </c>
    </row>
    <row r="121" s="14" customFormat="true" ht="16.5" hidden="true" customHeight="true" outlineLevel="1" collapsed="false">
      <c r="E121" s="91"/>
      <c r="H121" s="29"/>
      <c r="I121" s="97"/>
      <c r="J121" s="97" t="n">
        <v>0</v>
      </c>
      <c r="K121" s="98" t="n">
        <f aca="false">J121-I121</f>
        <v>0</v>
      </c>
      <c r="L121" s="97"/>
      <c r="M121" s="97"/>
      <c r="N121" s="97"/>
      <c r="O121" s="97"/>
      <c r="P121" s="97"/>
      <c r="Q121" s="93"/>
      <c r="R121" s="16" t="str">
        <f aca="false">IF(K121=P121, "", "Error")</f>
        <v/>
      </c>
      <c r="T121" s="91"/>
      <c r="U121" s="91"/>
      <c r="V121" s="91"/>
      <c r="W121" s="91"/>
      <c r="X121" s="91"/>
      <c r="Y121" s="91"/>
      <c r="Z121" s="91"/>
      <c r="AA121" s="91"/>
      <c r="AB121" s="91"/>
      <c r="AC121" s="91"/>
      <c r="AD121" s="91"/>
      <c r="AE121" s="94"/>
      <c r="AF121" s="95"/>
      <c r="AG121" s="91"/>
      <c r="AH121" s="91"/>
      <c r="AI121" s="91"/>
      <c r="AJ121" s="91"/>
      <c r="AK121" s="91"/>
      <c r="AL121" s="91"/>
      <c r="AM121" s="91"/>
      <c r="AN121" s="91"/>
      <c r="AO121" s="91"/>
      <c r="AP121" s="91"/>
      <c r="AQ121" s="94"/>
      <c r="AR121" s="95"/>
      <c r="AS121" s="91"/>
      <c r="AT121" s="91"/>
      <c r="AU121" s="91"/>
      <c r="AV121" s="91"/>
      <c r="AW121" s="91"/>
      <c r="AX121" s="91"/>
      <c r="AY121" s="91"/>
      <c r="AZ121" s="91"/>
      <c r="BA121" s="91"/>
      <c r="BB121" s="91"/>
      <c r="BC121" s="94"/>
      <c r="BD121" s="95"/>
      <c r="BE121" s="91"/>
      <c r="BF121" s="91"/>
      <c r="BG121" s="91"/>
      <c r="BH121" s="91"/>
      <c r="BI121" s="91"/>
      <c r="BJ121" s="91"/>
      <c r="BK121" s="91"/>
      <c r="BL121" s="91"/>
      <c r="BM121" s="91"/>
      <c r="BN121" s="91"/>
      <c r="BO121" s="94"/>
      <c r="BP121" s="95"/>
      <c r="BQ121" s="91"/>
      <c r="BR121" s="91"/>
      <c r="BS121" s="91"/>
      <c r="BT121" s="91"/>
      <c r="BU121" s="91"/>
      <c r="BV121" s="91"/>
      <c r="BW121" s="91"/>
      <c r="BX121" s="91"/>
      <c r="BY121" s="91"/>
      <c r="BZ121" s="91"/>
      <c r="CA121" s="119"/>
      <c r="CC121" s="79" t="n">
        <f aca="false">SUMIFS($T121:$CA121, $T$1:$CA$1, CC$75)</f>
        <v>0</v>
      </c>
      <c r="CD121" s="79" t="n">
        <f aca="false">SUMIFS($T121:$CA121, $T$1:$CA$1, CD$75)</f>
        <v>0</v>
      </c>
      <c r="CE121" s="79" t="n">
        <f aca="false">SUMIFS($T121:$CA121, $T$1:$CA$1, CE$75)</f>
        <v>0</v>
      </c>
      <c r="CF121" s="79" t="n">
        <f aca="false">SUMIFS($T121:$CA121, $T$1:$CA$1, CF$75)</f>
        <v>0</v>
      </c>
      <c r="CG121" s="79" t="n">
        <f aca="false">SUMIFS($T121:$CA121, $T$1:$CA$1, CG$75)</f>
        <v>0</v>
      </c>
      <c r="CI121" s="79" t="n">
        <f aca="false">CC121=L121</f>
        <v>1</v>
      </c>
      <c r="CJ121" s="79" t="n">
        <f aca="false">CD121=M121</f>
        <v>1</v>
      </c>
      <c r="CK121" s="79" t="n">
        <f aca="false">CE121=N121</f>
        <v>1</v>
      </c>
      <c r="CL121" s="79" t="n">
        <f aca="false">CF121=O121</f>
        <v>1</v>
      </c>
      <c r="CM121" s="79" t="n">
        <f aca="false">CG121=P121</f>
        <v>1</v>
      </c>
    </row>
    <row r="122" s="14" customFormat="true" ht="16.5" hidden="true" customHeight="true" outlineLevel="1" collapsed="false">
      <c r="E122" s="91"/>
      <c r="H122" s="29"/>
      <c r="I122" s="97" t="n">
        <v>0</v>
      </c>
      <c r="J122" s="97" t="n">
        <v>0</v>
      </c>
      <c r="K122" s="98" t="n">
        <f aca="false">J122-I122</f>
        <v>0</v>
      </c>
      <c r="L122" s="97"/>
      <c r="M122" s="97"/>
      <c r="N122" s="97"/>
      <c r="O122" s="97"/>
      <c r="P122" s="97"/>
      <c r="Q122" s="93"/>
      <c r="R122" s="16" t="str">
        <f aca="false">IF(K122=P122, "", "Error")</f>
        <v/>
      </c>
      <c r="T122" s="91"/>
      <c r="U122" s="91"/>
      <c r="V122" s="91"/>
      <c r="W122" s="91"/>
      <c r="X122" s="91"/>
      <c r="Y122" s="91"/>
      <c r="Z122" s="91"/>
      <c r="AA122" s="91"/>
      <c r="AB122" s="91"/>
      <c r="AC122" s="91"/>
      <c r="AD122" s="91"/>
      <c r="AE122" s="94"/>
      <c r="AF122" s="95"/>
      <c r="AG122" s="91"/>
      <c r="AH122" s="91"/>
      <c r="AI122" s="91"/>
      <c r="AJ122" s="91"/>
      <c r="AK122" s="91"/>
      <c r="AL122" s="91"/>
      <c r="AM122" s="91"/>
      <c r="AN122" s="91"/>
      <c r="AO122" s="91"/>
      <c r="AP122" s="91"/>
      <c r="AQ122" s="94"/>
      <c r="AR122" s="95"/>
      <c r="AS122" s="91"/>
      <c r="AT122" s="91"/>
      <c r="AU122" s="91"/>
      <c r="AV122" s="91"/>
      <c r="AW122" s="91"/>
      <c r="AX122" s="91"/>
      <c r="AY122" s="91"/>
      <c r="AZ122" s="91"/>
      <c r="BA122" s="91"/>
      <c r="BB122" s="91"/>
      <c r="BC122" s="94"/>
      <c r="BD122" s="95"/>
      <c r="BE122" s="91"/>
      <c r="BF122" s="91"/>
      <c r="BG122" s="91"/>
      <c r="BH122" s="91"/>
      <c r="BI122" s="91"/>
      <c r="BJ122" s="91"/>
      <c r="BK122" s="91"/>
      <c r="BL122" s="91"/>
      <c r="BM122" s="91"/>
      <c r="BN122" s="91"/>
      <c r="BO122" s="94"/>
      <c r="BP122" s="95"/>
      <c r="BQ122" s="91"/>
      <c r="BR122" s="91"/>
      <c r="BS122" s="91"/>
      <c r="BT122" s="91"/>
      <c r="BU122" s="91"/>
      <c r="BV122" s="91"/>
      <c r="BW122" s="91"/>
      <c r="BX122" s="91"/>
      <c r="BY122" s="91"/>
      <c r="BZ122" s="91"/>
      <c r="CA122" s="119"/>
      <c r="CC122" s="79" t="n">
        <f aca="false">SUMIFS($T122:$CA122, $T$1:$CA$1, CC$75)</f>
        <v>0</v>
      </c>
      <c r="CD122" s="79" t="n">
        <f aca="false">SUMIFS($T122:$CA122, $T$1:$CA$1, CD$75)</f>
        <v>0</v>
      </c>
      <c r="CE122" s="79" t="n">
        <f aca="false">SUMIFS($T122:$CA122, $T$1:$CA$1, CE$75)</f>
        <v>0</v>
      </c>
      <c r="CF122" s="79" t="n">
        <f aca="false">SUMIFS($T122:$CA122, $T$1:$CA$1, CF$75)</f>
        <v>0</v>
      </c>
      <c r="CG122" s="79" t="n">
        <f aca="false">SUMIFS($T122:$CA122, $T$1:$CA$1, CG$75)</f>
        <v>0</v>
      </c>
      <c r="CI122" s="79" t="n">
        <f aca="false">CC122=L122</f>
        <v>1</v>
      </c>
      <c r="CJ122" s="79" t="n">
        <f aca="false">CD122=M122</f>
        <v>1</v>
      </c>
      <c r="CK122" s="79" t="n">
        <f aca="false">CE122=N122</f>
        <v>1</v>
      </c>
      <c r="CL122" s="79" t="n">
        <f aca="false">CF122=O122</f>
        <v>1</v>
      </c>
      <c r="CM122" s="79" t="n">
        <f aca="false">CG122=P122</f>
        <v>1</v>
      </c>
    </row>
    <row r="123" s="14" customFormat="true" ht="16.5" hidden="false" customHeight="true" outlineLevel="0" collapsed="false">
      <c r="E123" s="96" t="s">
        <v>133</v>
      </c>
      <c r="H123" s="29"/>
      <c r="I123" s="102" t="n">
        <f aca="false">SUM(I118:I122)</f>
        <v>0</v>
      </c>
      <c r="J123" s="102" t="n">
        <f aca="false">SUM(J118:J122)</f>
        <v>4.8</v>
      </c>
      <c r="K123" s="102" t="n">
        <f aca="false">SUM(K118:K122)</f>
        <v>4.8</v>
      </c>
      <c r="L123" s="102" t="n">
        <f aca="false">SUM(L118:L122)</f>
        <v>0</v>
      </c>
      <c r="M123" s="102" t="n">
        <f aca="false">SUM(M118:M122)</f>
        <v>1.2</v>
      </c>
      <c r="N123" s="102" t="n">
        <f aca="false">SUM(N118:N122)</f>
        <v>4.8</v>
      </c>
      <c r="O123" s="102" t="n">
        <f aca="false">SUM(O118:O122)</f>
        <v>4.8</v>
      </c>
      <c r="P123" s="102" t="n">
        <f aca="false">SUM(P118:P122)</f>
        <v>4.8</v>
      </c>
      <c r="Q123" s="16"/>
      <c r="R123" s="16"/>
      <c r="T123" s="82" t="n">
        <f aca="false">SUM(T118:T122)</f>
        <v>0</v>
      </c>
      <c r="U123" s="82" t="n">
        <f aca="false">SUM(U118:U122)</f>
        <v>0</v>
      </c>
      <c r="V123" s="82" t="n">
        <f aca="false">SUM(V118:V122)</f>
        <v>0</v>
      </c>
      <c r="W123" s="82" t="n">
        <f aca="false">SUM(W118:W122)</f>
        <v>0</v>
      </c>
      <c r="X123" s="82" t="n">
        <f aca="false">SUM(X118:X122)</f>
        <v>0</v>
      </c>
      <c r="Y123" s="82" t="n">
        <f aca="false">SUM(Y118:Y122)</f>
        <v>0</v>
      </c>
      <c r="Z123" s="82" t="n">
        <f aca="false">SUM(Z118:Z122)</f>
        <v>0</v>
      </c>
      <c r="AA123" s="82" t="n">
        <f aca="false">SUM(AA118:AA122)</f>
        <v>0</v>
      </c>
      <c r="AB123" s="82" t="n">
        <f aca="false">SUM(AB118:AB122)</f>
        <v>0</v>
      </c>
      <c r="AC123" s="82" t="n">
        <f aca="false">SUM(AC118:AC122)</f>
        <v>0</v>
      </c>
      <c r="AD123" s="82" t="n">
        <f aca="false">SUM(AD118:AD122)</f>
        <v>0</v>
      </c>
      <c r="AE123" s="82" t="n">
        <f aca="false">SUM(AE118:AE122)</f>
        <v>0</v>
      </c>
      <c r="AF123" s="83" t="n">
        <f aca="false">SUM(AF118:AF122)</f>
        <v>0.1</v>
      </c>
      <c r="AG123" s="82" t="n">
        <f aca="false">SUM(AG118:AG122)</f>
        <v>0.1</v>
      </c>
      <c r="AH123" s="82" t="n">
        <f aca="false">SUM(AH118:AH122)</f>
        <v>0.1</v>
      </c>
      <c r="AI123" s="82" t="n">
        <f aca="false">SUM(AI118:AI122)</f>
        <v>0.1</v>
      </c>
      <c r="AJ123" s="82" t="n">
        <f aca="false">SUM(AJ118:AJ122)</f>
        <v>0.1</v>
      </c>
      <c r="AK123" s="82" t="n">
        <f aca="false">SUM(AK118:AK122)</f>
        <v>0.1</v>
      </c>
      <c r="AL123" s="82" t="n">
        <f aca="false">SUM(AL118:AL122)</f>
        <v>0.1</v>
      </c>
      <c r="AM123" s="82" t="n">
        <f aca="false">SUM(AM118:AM122)</f>
        <v>0.1</v>
      </c>
      <c r="AN123" s="82" t="n">
        <f aca="false">SUM(AN118:AN122)</f>
        <v>0.1</v>
      </c>
      <c r="AO123" s="82" t="n">
        <f aca="false">SUM(AO118:AO122)</f>
        <v>0.1</v>
      </c>
      <c r="AP123" s="82" t="n">
        <f aca="false">SUM(AP118:AP122)</f>
        <v>0.1</v>
      </c>
      <c r="AQ123" s="82" t="n">
        <f aca="false">SUM(AQ118:AQ122)</f>
        <v>0.1</v>
      </c>
      <c r="AR123" s="83" t="n">
        <f aca="false">SUM(AR118:AR122)</f>
        <v>0.4</v>
      </c>
      <c r="AS123" s="82" t="n">
        <f aca="false">SUM(AS118:AS122)</f>
        <v>0.4</v>
      </c>
      <c r="AT123" s="82" t="n">
        <f aca="false">SUM(AT118:AT122)</f>
        <v>0.4</v>
      </c>
      <c r="AU123" s="82" t="n">
        <f aca="false">SUM(AU118:AU122)</f>
        <v>0.4</v>
      </c>
      <c r="AV123" s="82" t="n">
        <f aca="false">SUM(AV118:AV122)</f>
        <v>0.4</v>
      </c>
      <c r="AW123" s="82" t="n">
        <f aca="false">SUM(AW118:AW122)</f>
        <v>0.4</v>
      </c>
      <c r="AX123" s="82" t="n">
        <f aca="false">SUM(AX118:AX122)</f>
        <v>0.4</v>
      </c>
      <c r="AY123" s="82" t="n">
        <f aca="false">SUM(AY118:AY122)</f>
        <v>0.4</v>
      </c>
      <c r="AZ123" s="82" t="n">
        <f aca="false">SUM(AZ118:AZ122)</f>
        <v>0.4</v>
      </c>
      <c r="BA123" s="82" t="n">
        <f aca="false">SUM(BA118:BA122)</f>
        <v>0.4</v>
      </c>
      <c r="BB123" s="82" t="n">
        <f aca="false">SUM(BB118:BB122)</f>
        <v>0.4</v>
      </c>
      <c r="BC123" s="82" t="n">
        <f aca="false">SUM(BC118:BC122)</f>
        <v>0.4</v>
      </c>
      <c r="BD123" s="83" t="n">
        <f aca="false">SUM(BD118:BD122)</f>
        <v>0.4</v>
      </c>
      <c r="BE123" s="82" t="n">
        <f aca="false">SUM(BE118:BE122)</f>
        <v>0.4</v>
      </c>
      <c r="BF123" s="82" t="n">
        <f aca="false">SUM(BF118:BF122)</f>
        <v>0.4</v>
      </c>
      <c r="BG123" s="82" t="n">
        <f aca="false">SUM(BG118:BG122)</f>
        <v>0.4</v>
      </c>
      <c r="BH123" s="82" t="n">
        <f aca="false">SUM(BH118:BH122)</f>
        <v>0.4</v>
      </c>
      <c r="BI123" s="82" t="n">
        <f aca="false">SUM(BI118:BI122)</f>
        <v>0.4</v>
      </c>
      <c r="BJ123" s="82" t="n">
        <f aca="false">SUM(BJ118:BJ122)</f>
        <v>0.4</v>
      </c>
      <c r="BK123" s="82" t="n">
        <f aca="false">SUM(BK118:BK122)</f>
        <v>0.4</v>
      </c>
      <c r="BL123" s="82" t="n">
        <f aca="false">SUM(BL118:BL122)</f>
        <v>0.4</v>
      </c>
      <c r="BM123" s="82" t="n">
        <f aca="false">SUM(BM118:BM122)</f>
        <v>0.4</v>
      </c>
      <c r="BN123" s="82" t="n">
        <f aca="false">SUM(BN118:BN122)</f>
        <v>0.4</v>
      </c>
      <c r="BO123" s="82" t="n">
        <f aca="false">SUM(BO118:BO122)</f>
        <v>0.4</v>
      </c>
      <c r="BP123" s="83" t="n">
        <f aca="false">SUM(BP118:BP122)</f>
        <v>0.4</v>
      </c>
      <c r="BQ123" s="82" t="n">
        <f aca="false">SUM(BQ118:BQ122)</f>
        <v>0.4</v>
      </c>
      <c r="BR123" s="82" t="n">
        <f aca="false">SUM(BR118:BR122)</f>
        <v>0.4</v>
      </c>
      <c r="BS123" s="82" t="n">
        <f aca="false">SUM(BS118:BS122)</f>
        <v>0.4</v>
      </c>
      <c r="BT123" s="82" t="n">
        <f aca="false">SUM(BT118:BT122)</f>
        <v>0.4</v>
      </c>
      <c r="BU123" s="82" t="n">
        <f aca="false">SUM(BU118:BU122)</f>
        <v>0.4</v>
      </c>
      <c r="BV123" s="82" t="n">
        <f aca="false">SUM(BV118:BV122)</f>
        <v>0.4</v>
      </c>
      <c r="BW123" s="82" t="n">
        <f aca="false">SUM(BW118:BW122)</f>
        <v>0.4</v>
      </c>
      <c r="BX123" s="82" t="n">
        <f aca="false">SUM(BX118:BX122)</f>
        <v>0.4</v>
      </c>
      <c r="BY123" s="82" t="n">
        <f aca="false">SUM(BY118:BY122)</f>
        <v>0.4</v>
      </c>
      <c r="BZ123" s="82" t="n">
        <f aca="false">SUM(BZ118:BZ122)</f>
        <v>0.4</v>
      </c>
      <c r="CA123" s="84" t="n">
        <f aca="false">SUM(CA118:CA122)</f>
        <v>0.4</v>
      </c>
      <c r="CC123" s="84" t="n">
        <f aca="false">SUM(CC118:CC122)</f>
        <v>0</v>
      </c>
      <c r="CD123" s="84" t="n">
        <f aca="false">SUM(CD118:CD122)</f>
        <v>1.2</v>
      </c>
      <c r="CE123" s="84" t="n">
        <f aca="false">SUM(CE118:CE122)</f>
        <v>4.8</v>
      </c>
      <c r="CF123" s="84" t="n">
        <f aca="false">SUM(CF118:CF122)</f>
        <v>4.8</v>
      </c>
      <c r="CG123" s="84" t="n">
        <f aca="false">SUM(CG118:CG122)</f>
        <v>4.8</v>
      </c>
      <c r="CI123" s="84" t="n">
        <f aca="false">CC123=L123</f>
        <v>1</v>
      </c>
      <c r="CJ123" s="84" t="n">
        <f aca="false">CD123=M123</f>
        <v>1</v>
      </c>
      <c r="CK123" s="84" t="n">
        <f aca="false">CE123=N123</f>
        <v>1</v>
      </c>
      <c r="CL123" s="84" t="n">
        <f aca="false">CF123=O123</f>
        <v>1</v>
      </c>
      <c r="CM123" s="84" t="n">
        <f aca="false">CG123=P123</f>
        <v>1</v>
      </c>
    </row>
    <row r="124" s="14" customFormat="true" ht="16.5" hidden="true" customHeight="true" outlineLevel="1" collapsed="false">
      <c r="E124" s="96"/>
      <c r="H124" s="29"/>
      <c r="I124" s="102"/>
      <c r="J124" s="102"/>
      <c r="K124" s="102"/>
      <c r="L124" s="102"/>
      <c r="M124" s="102"/>
      <c r="N124" s="102"/>
      <c r="O124" s="102"/>
      <c r="P124" s="102"/>
      <c r="Q124" s="16"/>
      <c r="R124" s="16"/>
      <c r="T124" s="82"/>
      <c r="U124" s="82"/>
      <c r="V124" s="82"/>
      <c r="W124" s="82"/>
      <c r="X124" s="82"/>
      <c r="Y124" s="82"/>
      <c r="Z124" s="82"/>
      <c r="AA124" s="82"/>
      <c r="AB124" s="82"/>
      <c r="AC124" s="82"/>
      <c r="AD124" s="82"/>
      <c r="AE124" s="82"/>
      <c r="AF124" s="83"/>
      <c r="AG124" s="82"/>
      <c r="AH124" s="82"/>
      <c r="AI124" s="82"/>
      <c r="AJ124" s="82"/>
      <c r="AK124" s="82"/>
      <c r="AL124" s="82"/>
      <c r="AM124" s="82"/>
      <c r="AN124" s="82"/>
      <c r="AO124" s="82"/>
      <c r="AP124" s="82"/>
      <c r="AQ124" s="82"/>
      <c r="AR124" s="83"/>
      <c r="AS124" s="82"/>
      <c r="AT124" s="82"/>
      <c r="AU124" s="82"/>
      <c r="AV124" s="82"/>
      <c r="AW124" s="82"/>
      <c r="AX124" s="82"/>
      <c r="AY124" s="82"/>
      <c r="AZ124" s="82"/>
      <c r="BA124" s="82"/>
      <c r="BB124" s="82"/>
      <c r="BC124" s="82"/>
      <c r="BD124" s="83"/>
      <c r="BE124" s="82"/>
      <c r="BF124" s="82"/>
      <c r="BG124" s="82"/>
      <c r="BH124" s="82"/>
      <c r="BI124" s="82"/>
      <c r="BJ124" s="82"/>
      <c r="BK124" s="82"/>
      <c r="BL124" s="82"/>
      <c r="BM124" s="82"/>
      <c r="BN124" s="82"/>
      <c r="BO124" s="82"/>
      <c r="BP124" s="83"/>
      <c r="BQ124" s="82"/>
      <c r="BR124" s="82"/>
      <c r="BS124" s="82"/>
      <c r="BT124" s="82"/>
      <c r="BU124" s="82"/>
      <c r="BV124" s="82"/>
      <c r="BW124" s="82"/>
      <c r="BX124" s="82"/>
      <c r="BY124" s="82"/>
      <c r="BZ124" s="82"/>
      <c r="CA124" s="84"/>
      <c r="CC124" s="84"/>
      <c r="CD124" s="84"/>
      <c r="CE124" s="84"/>
      <c r="CF124" s="84"/>
      <c r="CG124" s="84"/>
      <c r="CI124" s="84"/>
      <c r="CJ124" s="84"/>
      <c r="CK124" s="84"/>
      <c r="CL124" s="84"/>
      <c r="CM124" s="84"/>
    </row>
    <row r="125" s="14" customFormat="true" ht="16.5" hidden="true" customHeight="true" outlineLevel="1" collapsed="false">
      <c r="E125" s="85"/>
      <c r="I125" s="98"/>
      <c r="J125" s="98"/>
      <c r="K125" s="98"/>
      <c r="L125" s="98"/>
      <c r="M125" s="98"/>
      <c r="N125" s="98"/>
      <c r="O125" s="98"/>
      <c r="P125" s="98"/>
      <c r="Q125" s="16"/>
      <c r="R125" s="16"/>
      <c r="T125" s="88"/>
      <c r="U125" s="88"/>
      <c r="V125" s="88"/>
      <c r="W125" s="88"/>
      <c r="X125" s="88"/>
      <c r="Y125" s="88"/>
      <c r="Z125" s="88"/>
      <c r="AA125" s="88"/>
      <c r="AB125" s="88"/>
      <c r="AC125" s="88"/>
      <c r="AD125" s="88"/>
      <c r="AE125" s="88"/>
      <c r="AF125" s="89"/>
      <c r="AG125" s="88"/>
      <c r="AH125" s="88"/>
      <c r="AI125" s="88"/>
      <c r="AJ125" s="88"/>
      <c r="AK125" s="88"/>
      <c r="AL125" s="88"/>
      <c r="AM125" s="88"/>
      <c r="AN125" s="88"/>
      <c r="AO125" s="88"/>
      <c r="AP125" s="88"/>
      <c r="AQ125" s="88"/>
      <c r="AR125" s="89"/>
      <c r="AS125" s="88"/>
      <c r="AT125" s="88"/>
      <c r="AU125" s="88"/>
      <c r="AV125" s="88"/>
      <c r="AW125" s="88"/>
      <c r="AX125" s="88"/>
      <c r="AY125" s="88"/>
      <c r="AZ125" s="88"/>
      <c r="BA125" s="88"/>
      <c r="BB125" s="88"/>
      <c r="BC125" s="88"/>
      <c r="BD125" s="89"/>
      <c r="BE125" s="88"/>
      <c r="BF125" s="88"/>
      <c r="BG125" s="88"/>
      <c r="BH125" s="88"/>
      <c r="BI125" s="88"/>
      <c r="BJ125" s="88"/>
      <c r="BK125" s="88"/>
      <c r="BL125" s="88"/>
      <c r="BM125" s="88"/>
      <c r="BN125" s="88"/>
      <c r="BO125" s="88"/>
      <c r="BP125" s="89"/>
      <c r="BQ125" s="88"/>
      <c r="BR125" s="88"/>
      <c r="BS125" s="88"/>
      <c r="BT125" s="88"/>
      <c r="BU125" s="88"/>
      <c r="BV125" s="88"/>
      <c r="BW125" s="88"/>
      <c r="BX125" s="88"/>
      <c r="BY125" s="88"/>
      <c r="BZ125" s="88"/>
      <c r="CA125" s="90"/>
      <c r="CC125" s="90"/>
      <c r="CD125" s="90"/>
      <c r="CE125" s="90"/>
      <c r="CF125" s="90"/>
      <c r="CG125" s="90"/>
      <c r="CI125" s="90"/>
      <c r="CJ125" s="90"/>
      <c r="CK125" s="90"/>
      <c r="CL125" s="90"/>
      <c r="CM125" s="90"/>
    </row>
    <row r="126" s="14" customFormat="true" ht="16.5" hidden="false" customHeight="true" outlineLevel="0" collapsed="false">
      <c r="E126" s="109" t="s">
        <v>140</v>
      </c>
      <c r="F126" s="109"/>
      <c r="G126" s="109"/>
      <c r="H126" s="109"/>
      <c r="I126" s="111" t="n">
        <f aca="false">SUM(-I107, I115, I123)</f>
        <v>0</v>
      </c>
      <c r="J126" s="111" t="n">
        <f aca="false">SUM(-J107, J115, J123)</f>
        <v>4.8</v>
      </c>
      <c r="K126" s="111" t="n">
        <f aca="false">SUM(-K107, K115, K123)</f>
        <v>4.8</v>
      </c>
      <c r="L126" s="111" t="n">
        <f aca="false">SUM(-L107, L115, L123)</f>
        <v>0</v>
      </c>
      <c r="M126" s="111" t="n">
        <f aca="false">SUM(-M107, M115, M123)</f>
        <v>1.2</v>
      </c>
      <c r="N126" s="111" t="n">
        <f aca="false">SUM(-N107, N115, N123)</f>
        <v>4.8</v>
      </c>
      <c r="O126" s="111" t="n">
        <f aca="false">SUM(-O107, O115, O123)</f>
        <v>4.8</v>
      </c>
      <c r="P126" s="111" t="n">
        <f aca="false">SUM(-P107, P115, P123)</f>
        <v>4.8</v>
      </c>
      <c r="Q126" s="16"/>
      <c r="R126" s="16"/>
      <c r="T126" s="120" t="n">
        <f aca="false">SUM(-T107, T115, T123)</f>
        <v>0</v>
      </c>
      <c r="U126" s="120" t="n">
        <f aca="false">SUM(-U107, U115, U123)</f>
        <v>0</v>
      </c>
      <c r="V126" s="120" t="n">
        <f aca="false">SUM(-V107, V115, V123)</f>
        <v>0</v>
      </c>
      <c r="W126" s="120" t="n">
        <f aca="false">SUM(-W107, W115, W123)</f>
        <v>0</v>
      </c>
      <c r="X126" s="120" t="n">
        <f aca="false">SUM(-X107, X115, X123)</f>
        <v>0</v>
      </c>
      <c r="Y126" s="120" t="n">
        <f aca="false">SUM(-Y107, Y115, Y123)</f>
        <v>0</v>
      </c>
      <c r="Z126" s="120" t="n">
        <f aca="false">SUM(-Z107, Z115, Z123)</f>
        <v>0</v>
      </c>
      <c r="AA126" s="120" t="n">
        <f aca="false">SUM(-AA107, AA115, AA123)</f>
        <v>0</v>
      </c>
      <c r="AB126" s="120" t="n">
        <f aca="false">SUM(-AB107, AB115, AB123)</f>
        <v>0</v>
      </c>
      <c r="AC126" s="120" t="n">
        <f aca="false">SUM(-AC107, AC115, AC123)</f>
        <v>0</v>
      </c>
      <c r="AD126" s="120" t="n">
        <f aca="false">SUM(-AD107, AD115, AD123)</f>
        <v>0</v>
      </c>
      <c r="AE126" s="120" t="n">
        <f aca="false">SUM(-AE107, AE115, AE123)</f>
        <v>0</v>
      </c>
      <c r="AF126" s="120" t="n">
        <f aca="false">SUM(-AF107, AF115, AF123)</f>
        <v>0.1</v>
      </c>
      <c r="AG126" s="120" t="n">
        <f aca="false">SUM(-AG107, AG115, AG123)</f>
        <v>0.1</v>
      </c>
      <c r="AH126" s="120" t="n">
        <f aca="false">SUM(-AH107, AH115, AH123)</f>
        <v>0.1</v>
      </c>
      <c r="AI126" s="120" t="n">
        <f aca="false">SUM(-AI107, AI115, AI123)</f>
        <v>0.1</v>
      </c>
      <c r="AJ126" s="120" t="n">
        <f aca="false">SUM(-AJ107, AJ115, AJ123)</f>
        <v>0.1</v>
      </c>
      <c r="AK126" s="120" t="n">
        <f aca="false">SUM(-AK107, AK115, AK123)</f>
        <v>0.1</v>
      </c>
      <c r="AL126" s="120" t="n">
        <f aca="false">SUM(-AL107, AL115, AL123)</f>
        <v>0.1</v>
      </c>
      <c r="AM126" s="120" t="n">
        <f aca="false">SUM(-AM107, AM115, AM123)</f>
        <v>0.1</v>
      </c>
      <c r="AN126" s="120" t="n">
        <f aca="false">SUM(-AN107, AN115, AN123)</f>
        <v>0.1</v>
      </c>
      <c r="AO126" s="120" t="n">
        <f aca="false">SUM(-AO107, AO115, AO123)</f>
        <v>0.1</v>
      </c>
      <c r="AP126" s="120" t="n">
        <f aca="false">SUM(-AP107, AP115, AP123)</f>
        <v>0.1</v>
      </c>
      <c r="AQ126" s="120" t="n">
        <f aca="false">SUM(-AQ107, AQ115, AQ123)</f>
        <v>0.1</v>
      </c>
      <c r="AR126" s="120" t="n">
        <f aca="false">SUM(-AR107, AR115, AR123)</f>
        <v>0.4</v>
      </c>
      <c r="AS126" s="120" t="n">
        <f aca="false">SUM(-AS107, AS115, AS123)</f>
        <v>0.4</v>
      </c>
      <c r="AT126" s="120" t="n">
        <f aca="false">SUM(-AT107, AT115, AT123)</f>
        <v>0.4</v>
      </c>
      <c r="AU126" s="120" t="n">
        <f aca="false">SUM(-AU107, AU115, AU123)</f>
        <v>0.4</v>
      </c>
      <c r="AV126" s="120" t="n">
        <f aca="false">SUM(-AV107, AV115, AV123)</f>
        <v>0.4</v>
      </c>
      <c r="AW126" s="120" t="n">
        <f aca="false">SUM(-AW107, AW115, AW123)</f>
        <v>0.4</v>
      </c>
      <c r="AX126" s="120" t="n">
        <f aca="false">SUM(-AX107, AX115, AX123)</f>
        <v>0.4</v>
      </c>
      <c r="AY126" s="120" t="n">
        <f aca="false">SUM(-AY107, AY115, AY123)</f>
        <v>0.4</v>
      </c>
      <c r="AZ126" s="120" t="n">
        <f aca="false">SUM(-AZ107, AZ115, AZ123)</f>
        <v>0.4</v>
      </c>
      <c r="BA126" s="120" t="n">
        <f aca="false">SUM(-BA107, BA115, BA123)</f>
        <v>0.4</v>
      </c>
      <c r="BB126" s="120" t="n">
        <f aca="false">SUM(-BB107, BB115, BB123)</f>
        <v>0.4</v>
      </c>
      <c r="BC126" s="120" t="n">
        <f aca="false">SUM(-BC107, BC115, BC123)</f>
        <v>0.4</v>
      </c>
      <c r="BD126" s="120" t="n">
        <f aca="false">SUM(-BD107, BD115, BD123)</f>
        <v>0.4</v>
      </c>
      <c r="BE126" s="120" t="n">
        <f aca="false">SUM(-BE107, BE115, BE123)</f>
        <v>0.4</v>
      </c>
      <c r="BF126" s="120" t="n">
        <f aca="false">SUM(-BF107, BF115, BF123)</f>
        <v>0.4</v>
      </c>
      <c r="BG126" s="120" t="n">
        <f aca="false">SUM(-BG107, BG115, BG123)</f>
        <v>0.4</v>
      </c>
      <c r="BH126" s="120" t="n">
        <f aca="false">SUM(-BH107, BH115, BH123)</f>
        <v>0.4</v>
      </c>
      <c r="BI126" s="120" t="n">
        <f aca="false">SUM(-BI107, BI115, BI123)</f>
        <v>0.4</v>
      </c>
      <c r="BJ126" s="120" t="n">
        <f aca="false">SUM(-BJ107, BJ115, BJ123)</f>
        <v>0.4</v>
      </c>
      <c r="BK126" s="120" t="n">
        <f aca="false">SUM(-BK107, BK115, BK123)</f>
        <v>0.4</v>
      </c>
      <c r="BL126" s="120" t="n">
        <f aca="false">SUM(-BL107, BL115, BL123)</f>
        <v>0.4</v>
      </c>
      <c r="BM126" s="120" t="n">
        <f aca="false">SUM(-BM107, BM115, BM123)</f>
        <v>0.4</v>
      </c>
      <c r="BN126" s="120" t="n">
        <f aca="false">SUM(-BN107, BN115, BN123)</f>
        <v>0.4</v>
      </c>
      <c r="BO126" s="120" t="n">
        <f aca="false">SUM(-BO107, BO115, BO123)</f>
        <v>0.4</v>
      </c>
      <c r="BP126" s="120" t="n">
        <f aca="false">SUM(-BP107, BP115, BP123)</f>
        <v>0.4</v>
      </c>
      <c r="BQ126" s="120" t="n">
        <f aca="false">SUM(-BQ107, BQ115, BQ123)</f>
        <v>0.4</v>
      </c>
      <c r="BR126" s="120" t="n">
        <f aca="false">SUM(-BR107, BR115, BR123)</f>
        <v>0.4</v>
      </c>
      <c r="BS126" s="120" t="n">
        <f aca="false">SUM(-BS107, BS115, BS123)</f>
        <v>0.4</v>
      </c>
      <c r="BT126" s="120" t="n">
        <f aca="false">SUM(-BT107, BT115, BT123)</f>
        <v>0.4</v>
      </c>
      <c r="BU126" s="120" t="n">
        <f aca="false">SUM(-BU107, BU115, BU123)</f>
        <v>0.4</v>
      </c>
      <c r="BV126" s="120" t="n">
        <f aca="false">SUM(-BV107, BV115, BV123)</f>
        <v>0.4</v>
      </c>
      <c r="BW126" s="120" t="n">
        <f aca="false">SUM(-BW107, BW115, BW123)</f>
        <v>0.4</v>
      </c>
      <c r="BX126" s="120" t="n">
        <f aca="false">SUM(-BX107, BX115, BX123)</f>
        <v>0.4</v>
      </c>
      <c r="BY126" s="120" t="n">
        <f aca="false">SUM(-BY107, BY115, BY123)</f>
        <v>0.4</v>
      </c>
      <c r="BZ126" s="120" t="n">
        <f aca="false">SUM(-BZ107, BZ115, BZ123)</f>
        <v>0.4</v>
      </c>
      <c r="CA126" s="120" t="n">
        <f aca="false">SUM(-CA107, CA115, CA123)</f>
        <v>0.4</v>
      </c>
      <c r="CC126" s="120" t="n">
        <f aca="false">SUM(-CC107, CC115, CC123)</f>
        <v>0</v>
      </c>
      <c r="CD126" s="120" t="n">
        <f aca="false">SUM(-CD107, CD115, CD123)</f>
        <v>1.2</v>
      </c>
      <c r="CE126" s="120" t="n">
        <f aca="false">SUM(-CE107, CE115, CE123)</f>
        <v>4.8</v>
      </c>
      <c r="CF126" s="120" t="n">
        <f aca="false">SUM(-CF107, CF115, CF123)</f>
        <v>4.8</v>
      </c>
      <c r="CG126" s="120" t="n">
        <f aca="false">SUM(-CG107, CG115, CG123)</f>
        <v>4.8</v>
      </c>
      <c r="CI126" s="113" t="n">
        <f aca="false">CC126=L126</f>
        <v>1</v>
      </c>
      <c r="CJ126" s="113" t="n">
        <f aca="false">CD126=M126</f>
        <v>1</v>
      </c>
      <c r="CK126" s="113" t="n">
        <f aca="false">CE126=N126</f>
        <v>1</v>
      </c>
      <c r="CL126" s="113" t="n">
        <f aca="false">CF126=O126</f>
        <v>1</v>
      </c>
      <c r="CM126" s="113" t="n">
        <f aca="false">CG126=P126</f>
        <v>1</v>
      </c>
    </row>
    <row r="127" s="14" customFormat="true" ht="16.5" hidden="false" customHeight="true" outlineLevel="0" collapsed="false">
      <c r="E127" s="21"/>
      <c r="I127" s="98"/>
      <c r="J127" s="98"/>
      <c r="K127" s="98"/>
      <c r="L127" s="98"/>
      <c r="M127" s="98"/>
      <c r="N127" s="98"/>
      <c r="O127" s="98"/>
      <c r="P127" s="98"/>
      <c r="Q127" s="16"/>
      <c r="R127" s="16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  <c r="AO127" s="88"/>
      <c r="AP127" s="88"/>
      <c r="AQ127" s="88"/>
      <c r="AR127" s="88"/>
      <c r="AS127" s="88"/>
      <c r="AT127" s="88"/>
      <c r="AU127" s="88"/>
      <c r="AV127" s="88"/>
      <c r="AW127" s="88"/>
      <c r="AX127" s="88"/>
      <c r="AY127" s="88"/>
      <c r="AZ127" s="88"/>
      <c r="BA127" s="88"/>
      <c r="BB127" s="88"/>
      <c r="BC127" s="88"/>
      <c r="BD127" s="88"/>
      <c r="BE127" s="88"/>
      <c r="BF127" s="88"/>
      <c r="BG127" s="88"/>
      <c r="BH127" s="88"/>
      <c r="BI127" s="88"/>
      <c r="BJ127" s="88"/>
      <c r="BK127" s="88"/>
      <c r="BL127" s="88"/>
      <c r="BM127" s="88"/>
      <c r="BN127" s="88"/>
      <c r="BO127" s="88"/>
      <c r="BP127" s="88"/>
      <c r="BQ127" s="88"/>
      <c r="BR127" s="88"/>
      <c r="BS127" s="88"/>
      <c r="BT127" s="88"/>
      <c r="BU127" s="88"/>
      <c r="BV127" s="88"/>
      <c r="BW127" s="88"/>
      <c r="BX127" s="88"/>
      <c r="BY127" s="88"/>
      <c r="BZ127" s="88"/>
      <c r="CA127" s="121"/>
    </row>
    <row r="128" s="14" customFormat="true" ht="16.5" hidden="false" customHeight="true" outlineLevel="0" collapsed="false">
      <c r="E128" s="122" t="s">
        <v>141</v>
      </c>
      <c r="F128" s="123"/>
      <c r="G128" s="123"/>
      <c r="H128" s="123"/>
      <c r="I128" s="124" t="n">
        <f aca="false">SUM(I100, -I126)</f>
        <v>25</v>
      </c>
      <c r="J128" s="124" t="n">
        <f aca="false">SUM(J100, -J126)</f>
        <v>8.2</v>
      </c>
      <c r="K128" s="124" t="n">
        <f aca="false">SUM(K100, -K126)</f>
        <v>7.2</v>
      </c>
      <c r="L128" s="124" t="n">
        <f aca="false">SUM(L100, -L126)</f>
        <v>0</v>
      </c>
      <c r="M128" s="124" t="n">
        <f aca="false">SUM(M100, -M126)</f>
        <v>-1.2</v>
      </c>
      <c r="N128" s="124" t="n">
        <f aca="false">SUM(N100, -N126)</f>
        <v>7.2</v>
      </c>
      <c r="O128" s="124" t="n">
        <f aca="false">SUM(O100, -O126)</f>
        <v>7.2</v>
      </c>
      <c r="P128" s="124" t="n">
        <f aca="false">SUM(P100, -P126)</f>
        <v>7.2</v>
      </c>
      <c r="Q128" s="16"/>
      <c r="R128" s="16" t="str">
        <f aca="false">IF(K128=P128, "", "Error")</f>
        <v/>
      </c>
      <c r="T128" s="125" t="n">
        <f aca="false">SUM(T100, -T126)</f>
        <v>0</v>
      </c>
      <c r="U128" s="125" t="n">
        <f aca="false">SUM(U100, -U126)</f>
        <v>0</v>
      </c>
      <c r="V128" s="125" t="n">
        <f aca="false">SUM(V100, -V126)</f>
        <v>0</v>
      </c>
      <c r="W128" s="125" t="n">
        <f aca="false">SUM(W100, -W126)</f>
        <v>0</v>
      </c>
      <c r="X128" s="125" t="n">
        <f aca="false">SUM(X100, -X126)</f>
        <v>0</v>
      </c>
      <c r="Y128" s="125" t="n">
        <f aca="false">SUM(Y100, -Y126)</f>
        <v>0</v>
      </c>
      <c r="Z128" s="125" t="n">
        <f aca="false">SUM(Z100, -Z126)</f>
        <v>0</v>
      </c>
      <c r="AA128" s="125" t="n">
        <f aca="false">SUM(AA100, -AA126)</f>
        <v>0</v>
      </c>
      <c r="AB128" s="125" t="n">
        <f aca="false">SUM(AB100, -AB126)</f>
        <v>0</v>
      </c>
      <c r="AC128" s="125" t="n">
        <f aca="false">SUM(AC100, -AC126)</f>
        <v>0</v>
      </c>
      <c r="AD128" s="125" t="n">
        <f aca="false">SUM(AD100, -AD126)</f>
        <v>0</v>
      </c>
      <c r="AE128" s="125" t="n">
        <f aca="false">SUM(AE100, -AE126)</f>
        <v>0</v>
      </c>
      <c r="AF128" s="125" t="n">
        <f aca="false">SUM(AF100, -AF126)</f>
        <v>-0.1</v>
      </c>
      <c r="AG128" s="125" t="n">
        <f aca="false">SUM(AG100, -AG126)</f>
        <v>-0.1</v>
      </c>
      <c r="AH128" s="125" t="n">
        <f aca="false">SUM(AH100, -AH126)</f>
        <v>-0.1</v>
      </c>
      <c r="AI128" s="125" t="n">
        <f aca="false">SUM(AI100, -AI126)</f>
        <v>-0.1</v>
      </c>
      <c r="AJ128" s="125" t="n">
        <f aca="false">SUM(AJ100, -AJ126)</f>
        <v>-0.1</v>
      </c>
      <c r="AK128" s="125" t="n">
        <f aca="false">SUM(AK100, -AK126)</f>
        <v>-0.1</v>
      </c>
      <c r="AL128" s="125" t="n">
        <f aca="false">SUM(AL100, -AL126)</f>
        <v>-0.1</v>
      </c>
      <c r="AM128" s="125" t="n">
        <f aca="false">SUM(AM100, -AM126)</f>
        <v>-0.1</v>
      </c>
      <c r="AN128" s="125" t="n">
        <f aca="false">SUM(AN100, -AN126)</f>
        <v>-0.1</v>
      </c>
      <c r="AO128" s="125" t="n">
        <f aca="false">SUM(AO100, -AO126)</f>
        <v>-0.1</v>
      </c>
      <c r="AP128" s="125" t="n">
        <f aca="false">SUM(AP100, -AP126)</f>
        <v>-0.1</v>
      </c>
      <c r="AQ128" s="125" t="n">
        <f aca="false">SUM(AQ100, -AQ126)</f>
        <v>-0.1</v>
      </c>
      <c r="AR128" s="125" t="n">
        <f aca="false">SUM(AR100, -AR126)</f>
        <v>0.6</v>
      </c>
      <c r="AS128" s="125" t="n">
        <f aca="false">SUM(AS100, -AS126)</f>
        <v>0.6</v>
      </c>
      <c r="AT128" s="125" t="n">
        <f aca="false">SUM(AT100, -AT126)</f>
        <v>0.6</v>
      </c>
      <c r="AU128" s="125" t="n">
        <f aca="false">SUM(AU100, -AU126)</f>
        <v>0.6</v>
      </c>
      <c r="AV128" s="125" t="n">
        <f aca="false">SUM(AV100, -AV126)</f>
        <v>0.6</v>
      </c>
      <c r="AW128" s="125" t="n">
        <f aca="false">SUM(AW100, -AW126)</f>
        <v>0.6</v>
      </c>
      <c r="AX128" s="125" t="n">
        <f aca="false">SUM(AX100, -AX126)</f>
        <v>0.6</v>
      </c>
      <c r="AY128" s="125" t="n">
        <f aca="false">SUM(AY100, -AY126)</f>
        <v>0.6</v>
      </c>
      <c r="AZ128" s="125" t="n">
        <f aca="false">SUM(AZ100, -AZ126)</f>
        <v>0.6</v>
      </c>
      <c r="BA128" s="125" t="n">
        <f aca="false">SUM(BA100, -BA126)</f>
        <v>0.6</v>
      </c>
      <c r="BB128" s="125" t="n">
        <f aca="false">SUM(BB100, -BB126)</f>
        <v>0.6</v>
      </c>
      <c r="BC128" s="125" t="n">
        <f aca="false">SUM(BC100, -BC126)</f>
        <v>0.6</v>
      </c>
      <c r="BD128" s="125" t="n">
        <f aca="false">SUM(BD100, -BD126)</f>
        <v>0.6</v>
      </c>
      <c r="BE128" s="125" t="n">
        <f aca="false">SUM(BE100, -BE126)</f>
        <v>0.6</v>
      </c>
      <c r="BF128" s="125" t="n">
        <f aca="false">SUM(BF100, -BF126)</f>
        <v>0.6</v>
      </c>
      <c r="BG128" s="125" t="n">
        <f aca="false">SUM(BG100, -BG126)</f>
        <v>0.6</v>
      </c>
      <c r="BH128" s="125" t="n">
        <f aca="false">SUM(BH100, -BH126)</f>
        <v>0.6</v>
      </c>
      <c r="BI128" s="125" t="n">
        <f aca="false">SUM(BI100, -BI126)</f>
        <v>0.6</v>
      </c>
      <c r="BJ128" s="125" t="n">
        <f aca="false">SUM(BJ100, -BJ126)</f>
        <v>0.6</v>
      </c>
      <c r="BK128" s="125" t="n">
        <f aca="false">SUM(BK100, -BK126)</f>
        <v>0.6</v>
      </c>
      <c r="BL128" s="125" t="n">
        <f aca="false">SUM(BL100, -BL126)</f>
        <v>0.6</v>
      </c>
      <c r="BM128" s="125" t="n">
        <f aca="false">SUM(BM100, -BM126)</f>
        <v>0.6</v>
      </c>
      <c r="BN128" s="125" t="n">
        <f aca="false">SUM(BN100, -BN126)</f>
        <v>0.6</v>
      </c>
      <c r="BO128" s="125" t="n">
        <f aca="false">SUM(BO100, -BO126)</f>
        <v>0.6</v>
      </c>
      <c r="BP128" s="125" t="n">
        <f aca="false">SUM(BP100, -BP126)</f>
        <v>0.6</v>
      </c>
      <c r="BQ128" s="125" t="n">
        <f aca="false">SUM(BQ100, -BQ126)</f>
        <v>0.6</v>
      </c>
      <c r="BR128" s="125" t="n">
        <f aca="false">SUM(BR100, -BR126)</f>
        <v>0.6</v>
      </c>
      <c r="BS128" s="125" t="n">
        <f aca="false">SUM(BS100, -BS126)</f>
        <v>0.6</v>
      </c>
      <c r="BT128" s="125" t="n">
        <f aca="false">SUM(BT100, -BT126)</f>
        <v>0.6</v>
      </c>
      <c r="BU128" s="125" t="n">
        <f aca="false">SUM(BU100, -BU126)</f>
        <v>0.6</v>
      </c>
      <c r="BV128" s="125" t="n">
        <f aca="false">SUM(BV100, -BV126)</f>
        <v>0.6</v>
      </c>
      <c r="BW128" s="125" t="n">
        <f aca="false">SUM(BW100, -BW126)</f>
        <v>0.6</v>
      </c>
      <c r="BX128" s="125" t="n">
        <f aca="false">SUM(BX100, -BX126)</f>
        <v>0.6</v>
      </c>
      <c r="BY128" s="125" t="n">
        <f aca="false">SUM(BY100, -BY126)</f>
        <v>0.6</v>
      </c>
      <c r="BZ128" s="125" t="n">
        <f aca="false">SUM(BZ100, -BZ126)</f>
        <v>0.6</v>
      </c>
      <c r="CA128" s="126" t="n">
        <f aca="false">SUM(CA100, -CA126)</f>
        <v>0.6</v>
      </c>
      <c r="CC128" s="126" t="n">
        <f aca="false">SUM(CC100, -CC126)</f>
        <v>0</v>
      </c>
      <c r="CD128" s="126" t="n">
        <f aca="false">SUM(CD100, -CD126)</f>
        <v>-1.2</v>
      </c>
      <c r="CE128" s="126" t="n">
        <f aca="false">SUM(CE100, -CE126)</f>
        <v>7.2</v>
      </c>
      <c r="CF128" s="126" t="n">
        <f aca="false">SUM(CF100, -CF126)</f>
        <v>7.2</v>
      </c>
      <c r="CG128" s="126" t="n">
        <f aca="false">SUM(CG100, -CG126)</f>
        <v>7.2</v>
      </c>
      <c r="CI128" s="126" t="n">
        <f aca="false">CC128=L128</f>
        <v>1</v>
      </c>
      <c r="CJ128" s="126" t="n">
        <f aca="false">CD128=M128</f>
        <v>1</v>
      </c>
      <c r="CK128" s="126" t="n">
        <f aca="false">CE128=N128</f>
        <v>1</v>
      </c>
      <c r="CL128" s="126" t="n">
        <f aca="false">CF128=O128</f>
        <v>1</v>
      </c>
      <c r="CM128" s="126" t="n">
        <f aca="false">CG128=P128</f>
        <v>1</v>
      </c>
    </row>
    <row r="129" s="14" customFormat="true" ht="17.25" hidden="false" customHeight="true" outlineLevel="0" collapsed="false">
      <c r="K129" s="127"/>
      <c r="Q129" s="16"/>
      <c r="R129" s="16"/>
    </row>
    <row r="130" s="14" customFormat="true" ht="17.25" hidden="false" customHeight="true" outlineLevel="0" collapsed="false">
      <c r="E130" s="128"/>
      <c r="Q130" s="16"/>
      <c r="R130" s="16"/>
    </row>
    <row r="131" s="14" customFormat="true" ht="16.5" hidden="false" customHeight="true" outlineLevel="0" collapsed="false">
      <c r="C131" s="19" t="s">
        <v>142</v>
      </c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20"/>
      <c r="R131" s="20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  <c r="AM131" s="19"/>
      <c r="AN131" s="19"/>
      <c r="AO131" s="19"/>
      <c r="AP131" s="19"/>
      <c r="AQ131" s="19"/>
      <c r="AR131" s="19"/>
      <c r="AS131" s="19"/>
      <c r="AT131" s="19"/>
      <c r="AU131" s="19"/>
      <c r="AV131" s="19"/>
      <c r="AW131" s="19"/>
      <c r="AX131" s="19"/>
      <c r="AY131" s="19"/>
      <c r="AZ131" s="19"/>
      <c r="BA131" s="19"/>
      <c r="BB131" s="19"/>
      <c r="BC131" s="19"/>
      <c r="BD131" s="19"/>
      <c r="BE131" s="19"/>
      <c r="BF131" s="19"/>
      <c r="BG131" s="19"/>
      <c r="BH131" s="19"/>
      <c r="BI131" s="19"/>
      <c r="BJ131" s="19"/>
      <c r="BK131" s="19"/>
      <c r="BL131" s="19"/>
      <c r="BM131" s="19"/>
      <c r="BN131" s="19"/>
      <c r="BO131" s="19"/>
      <c r="BP131" s="19"/>
      <c r="BQ131" s="19"/>
      <c r="BR131" s="19"/>
      <c r="BS131" s="19"/>
      <c r="BT131" s="19"/>
      <c r="BU131" s="19"/>
      <c r="BV131" s="19"/>
      <c r="BW131" s="19"/>
      <c r="BX131" s="19"/>
      <c r="BY131" s="19"/>
      <c r="BZ131" s="19"/>
      <c r="CA131" s="19"/>
      <c r="CC131" s="19" t="s">
        <v>117</v>
      </c>
      <c r="CD131" s="19"/>
      <c r="CE131" s="19"/>
      <c r="CF131" s="19"/>
      <c r="CG131" s="19"/>
      <c r="CI131" s="19" t="s">
        <v>118</v>
      </c>
      <c r="CJ131" s="19"/>
      <c r="CK131" s="19"/>
      <c r="CL131" s="19"/>
      <c r="CM131" s="19"/>
    </row>
    <row r="132" s="14" customFormat="true" ht="16.5" hidden="false" customHeight="true" outlineLevel="0" collapsed="false">
      <c r="Q132" s="16"/>
      <c r="R132" s="16"/>
    </row>
    <row r="133" s="14" customFormat="true" ht="16.5" hidden="false" customHeight="true" outlineLevel="0" collapsed="false">
      <c r="Q133" s="16"/>
      <c r="R133" s="16"/>
      <c r="T133" s="62" t="n">
        <v>2026</v>
      </c>
      <c r="U133" s="129"/>
      <c r="V133" s="129"/>
      <c r="W133" s="129"/>
      <c r="X133" s="129"/>
      <c r="Y133" s="129"/>
      <c r="Z133" s="129"/>
      <c r="AA133" s="129"/>
      <c r="AB133" s="129"/>
      <c r="AC133" s="129"/>
      <c r="AD133" s="129"/>
      <c r="AE133" s="129"/>
      <c r="AF133" s="62" t="n">
        <v>2027</v>
      </c>
      <c r="AG133" s="129"/>
      <c r="AH133" s="129"/>
      <c r="AI133" s="129"/>
      <c r="AJ133" s="129"/>
      <c r="AK133" s="129"/>
      <c r="AL133" s="129"/>
      <c r="AM133" s="129"/>
      <c r="AN133" s="129"/>
      <c r="AO133" s="129"/>
      <c r="AP133" s="129"/>
      <c r="AQ133" s="129"/>
      <c r="AR133" s="62" t="n">
        <v>2028</v>
      </c>
      <c r="AS133" s="129"/>
      <c r="AT133" s="129"/>
      <c r="AU133" s="129"/>
      <c r="AV133" s="129"/>
      <c r="AW133" s="129"/>
      <c r="AX133" s="129"/>
      <c r="AY133" s="129"/>
      <c r="AZ133" s="129"/>
      <c r="BA133" s="129"/>
      <c r="BB133" s="129"/>
      <c r="BC133" s="129"/>
      <c r="BD133" s="62" t="n">
        <v>2029</v>
      </c>
      <c r="BE133" s="129"/>
      <c r="BF133" s="129"/>
      <c r="BG133" s="129"/>
      <c r="BH133" s="129"/>
      <c r="BI133" s="129"/>
      <c r="BJ133" s="129"/>
      <c r="BK133" s="129"/>
      <c r="BL133" s="129"/>
      <c r="BM133" s="129"/>
      <c r="BN133" s="129"/>
      <c r="BO133" s="129"/>
      <c r="BP133" s="62" t="n">
        <v>2030</v>
      </c>
      <c r="BQ133" s="130"/>
      <c r="BR133" s="130"/>
      <c r="BS133" s="130"/>
      <c r="BT133" s="130"/>
      <c r="BU133" s="130"/>
      <c r="BV133" s="130"/>
      <c r="BW133" s="130"/>
      <c r="BX133" s="130"/>
      <c r="BY133" s="130"/>
      <c r="BZ133" s="130"/>
      <c r="CA133" s="130"/>
    </row>
    <row r="134" s="14" customFormat="true" ht="16.5" hidden="false" customHeight="true" outlineLevel="0" collapsed="false">
      <c r="D134" s="30" t="s">
        <v>143</v>
      </c>
      <c r="E134" s="31"/>
      <c r="F134" s="31"/>
      <c r="G134" s="31"/>
      <c r="H134" s="31"/>
      <c r="I134" s="31"/>
      <c r="J134" s="31"/>
      <c r="K134" s="31" t="s">
        <v>120</v>
      </c>
      <c r="L134" s="31" t="n">
        <v>2026</v>
      </c>
      <c r="M134" s="31" t="n">
        <f aca="false">L134+1</f>
        <v>2027</v>
      </c>
      <c r="N134" s="31" t="n">
        <f aca="false">M134+1</f>
        <v>2028</v>
      </c>
      <c r="O134" s="31" t="n">
        <f aca="false">N134+1</f>
        <v>2029</v>
      </c>
      <c r="P134" s="31" t="n">
        <f aca="false">O134+1</f>
        <v>2030</v>
      </c>
      <c r="Q134" s="31" t="s">
        <v>122</v>
      </c>
      <c r="R134" s="16"/>
      <c r="T134" s="59" t="n">
        <v>46023</v>
      </c>
      <c r="U134" s="60" t="n">
        <f aca="false">EOMONTH(T134, 1)</f>
        <v>46081</v>
      </c>
      <c r="V134" s="60" t="n">
        <f aca="false">EOMONTH(U134, 1)</f>
        <v>46112</v>
      </c>
      <c r="W134" s="60" t="n">
        <f aca="false">EOMONTH(V134, 1)</f>
        <v>46142</v>
      </c>
      <c r="X134" s="60" t="n">
        <f aca="false">EOMONTH(W134, 1)</f>
        <v>46173</v>
      </c>
      <c r="Y134" s="60" t="n">
        <f aca="false">EOMONTH(X134, 1)</f>
        <v>46203</v>
      </c>
      <c r="Z134" s="60" t="n">
        <f aca="false">EOMONTH(Y134, 1)</f>
        <v>46234</v>
      </c>
      <c r="AA134" s="60" t="n">
        <f aca="false">EOMONTH(Z134, 1)</f>
        <v>46265</v>
      </c>
      <c r="AB134" s="60" t="n">
        <f aca="false">EOMONTH(AA134, 1)</f>
        <v>46295</v>
      </c>
      <c r="AC134" s="60" t="n">
        <f aca="false">EOMONTH(AB134, 1)</f>
        <v>46326</v>
      </c>
      <c r="AD134" s="60" t="n">
        <f aca="false">EOMONTH(AC134, 1)</f>
        <v>46356</v>
      </c>
      <c r="AE134" s="61" t="n">
        <f aca="false">EOMONTH(AD134, 1)</f>
        <v>46387</v>
      </c>
      <c r="AF134" s="59" t="n">
        <f aca="false">EOMONTH(AE134, 1)</f>
        <v>46418</v>
      </c>
      <c r="AG134" s="60" t="n">
        <f aca="false">EOMONTH(AF134, 1)</f>
        <v>46446</v>
      </c>
      <c r="AH134" s="60" t="n">
        <f aca="false">EOMONTH(AG134, 1)</f>
        <v>46477</v>
      </c>
      <c r="AI134" s="60" t="n">
        <f aca="false">EOMONTH(AH134, 1)</f>
        <v>46507</v>
      </c>
      <c r="AJ134" s="60" t="n">
        <f aca="false">EOMONTH(AI134, 1)</f>
        <v>46538</v>
      </c>
      <c r="AK134" s="60" t="n">
        <f aca="false">EOMONTH(AJ134, 1)</f>
        <v>46568</v>
      </c>
      <c r="AL134" s="60" t="n">
        <f aca="false">EOMONTH(AK134, 1)</f>
        <v>46599</v>
      </c>
      <c r="AM134" s="60" t="n">
        <f aca="false">EOMONTH(AL134, 1)</f>
        <v>46630</v>
      </c>
      <c r="AN134" s="60" t="n">
        <f aca="false">EOMONTH(AM134, 1)</f>
        <v>46660</v>
      </c>
      <c r="AO134" s="60" t="n">
        <f aca="false">EOMONTH(AN134, 1)</f>
        <v>46691</v>
      </c>
      <c r="AP134" s="60" t="n">
        <f aca="false">EOMONTH(AO134, 1)</f>
        <v>46721</v>
      </c>
      <c r="AQ134" s="61" t="n">
        <f aca="false">EOMONTH(AP134, 1)</f>
        <v>46752</v>
      </c>
      <c r="AR134" s="59" t="n">
        <f aca="false">EOMONTH(AQ134, 1)</f>
        <v>46783</v>
      </c>
      <c r="AS134" s="60" t="n">
        <f aca="false">EOMONTH(AR134, 1)</f>
        <v>46812</v>
      </c>
      <c r="AT134" s="60" t="n">
        <f aca="false">EOMONTH(AS134, 1)</f>
        <v>46843</v>
      </c>
      <c r="AU134" s="60" t="n">
        <f aca="false">EOMONTH(AT134, 1)</f>
        <v>46873</v>
      </c>
      <c r="AV134" s="60" t="n">
        <f aca="false">EOMONTH(AU134, 1)</f>
        <v>46904</v>
      </c>
      <c r="AW134" s="60" t="n">
        <f aca="false">EOMONTH(AV134, 1)</f>
        <v>46934</v>
      </c>
      <c r="AX134" s="60" t="n">
        <f aca="false">EOMONTH(AW134, 1)</f>
        <v>46965</v>
      </c>
      <c r="AY134" s="60" t="n">
        <f aca="false">EOMONTH(AX134, 1)</f>
        <v>46996</v>
      </c>
      <c r="AZ134" s="60" t="n">
        <f aca="false">EOMONTH(AY134, 1)</f>
        <v>47026</v>
      </c>
      <c r="BA134" s="60" t="n">
        <f aca="false">EOMONTH(AZ134, 1)</f>
        <v>47057</v>
      </c>
      <c r="BB134" s="60" t="n">
        <f aca="false">EOMONTH(BA134, 1)</f>
        <v>47087</v>
      </c>
      <c r="BC134" s="61" t="n">
        <f aca="false">EOMONTH(BB134, 1)</f>
        <v>47118</v>
      </c>
      <c r="BD134" s="59" t="n">
        <f aca="false">EOMONTH(BC134, 1)</f>
        <v>47149</v>
      </c>
      <c r="BE134" s="60" t="n">
        <f aca="false">EOMONTH(BD134, 1)</f>
        <v>47177</v>
      </c>
      <c r="BF134" s="60" t="n">
        <f aca="false">EOMONTH(BE134, 1)</f>
        <v>47208</v>
      </c>
      <c r="BG134" s="60" t="n">
        <f aca="false">EOMONTH(BF134, 1)</f>
        <v>47238</v>
      </c>
      <c r="BH134" s="60" t="n">
        <f aca="false">EOMONTH(BG134, 1)</f>
        <v>47269</v>
      </c>
      <c r="BI134" s="60" t="n">
        <f aca="false">EOMONTH(BH134, 1)</f>
        <v>47299</v>
      </c>
      <c r="BJ134" s="60" t="n">
        <f aca="false">EOMONTH(BI134, 1)</f>
        <v>47330</v>
      </c>
      <c r="BK134" s="60" t="n">
        <f aca="false">EOMONTH(BJ134, 1)</f>
        <v>47361</v>
      </c>
      <c r="BL134" s="60" t="n">
        <f aca="false">EOMONTH(BK134, 1)</f>
        <v>47391</v>
      </c>
      <c r="BM134" s="60" t="n">
        <f aca="false">EOMONTH(BL134, 1)</f>
        <v>47422</v>
      </c>
      <c r="BN134" s="60" t="n">
        <f aca="false">EOMONTH(BM134, 1)</f>
        <v>47452</v>
      </c>
      <c r="BO134" s="61" t="n">
        <f aca="false">EOMONTH(BN134, 1)</f>
        <v>47483</v>
      </c>
      <c r="BP134" s="59" t="n">
        <f aca="false">EOMONTH(BO134, 1)</f>
        <v>47514</v>
      </c>
      <c r="BQ134" s="60" t="n">
        <f aca="false">EOMONTH(BP134, 1)</f>
        <v>47542</v>
      </c>
      <c r="BR134" s="60" t="n">
        <f aca="false">EOMONTH(BQ134, 1)</f>
        <v>47573</v>
      </c>
      <c r="BS134" s="60" t="n">
        <f aca="false">EOMONTH(BR134, 1)</f>
        <v>47603</v>
      </c>
      <c r="BT134" s="60" t="n">
        <f aca="false">EOMONTH(BS134, 1)</f>
        <v>47634</v>
      </c>
      <c r="BU134" s="60" t="n">
        <f aca="false">EOMONTH(BT134, 1)</f>
        <v>47664</v>
      </c>
      <c r="BV134" s="60" t="n">
        <f aca="false">EOMONTH(BU134, 1)</f>
        <v>47695</v>
      </c>
      <c r="BW134" s="60" t="n">
        <f aca="false">EOMONTH(BV134, 1)</f>
        <v>47726</v>
      </c>
      <c r="BX134" s="60" t="n">
        <f aca="false">EOMONTH(BW134, 1)</f>
        <v>47756</v>
      </c>
      <c r="BY134" s="60" t="n">
        <f aca="false">EOMONTH(BX134, 1)</f>
        <v>47787</v>
      </c>
      <c r="BZ134" s="60" t="n">
        <f aca="false">EOMONTH(BY134, 1)</f>
        <v>47817</v>
      </c>
      <c r="CA134" s="60" t="n">
        <f aca="false">EOMONTH(BZ134, 1)</f>
        <v>47848</v>
      </c>
      <c r="CC134" s="62" t="n">
        <v>2026</v>
      </c>
      <c r="CD134" s="62" t="n">
        <f aca="false">CC134+1</f>
        <v>2027</v>
      </c>
      <c r="CE134" s="62" t="n">
        <f aca="false">CD134+1</f>
        <v>2028</v>
      </c>
      <c r="CF134" s="62" t="n">
        <f aca="false">CE134+1</f>
        <v>2029</v>
      </c>
      <c r="CG134" s="62" t="n">
        <f aca="false">CF134+1</f>
        <v>2030</v>
      </c>
      <c r="CI134" s="62" t="n">
        <v>2026</v>
      </c>
      <c r="CJ134" s="62" t="n">
        <f aca="false">CI134+1</f>
        <v>2027</v>
      </c>
      <c r="CK134" s="62" t="n">
        <f aca="false">CJ134+1</f>
        <v>2028</v>
      </c>
      <c r="CL134" s="62" t="n">
        <f aca="false">CK134+1</f>
        <v>2029</v>
      </c>
      <c r="CM134" s="62" t="n">
        <f aca="false">CL134+1</f>
        <v>2030</v>
      </c>
    </row>
    <row r="135" s="14" customFormat="true" ht="16.5" hidden="false" customHeight="true" outlineLevel="0" collapsed="false">
      <c r="E135" s="21"/>
      <c r="F135" s="21"/>
      <c r="G135" s="21"/>
      <c r="Q135" s="16"/>
      <c r="R135" s="16"/>
    </row>
    <row r="136" s="14" customFormat="true" ht="16.5" hidden="false" customHeight="true" outlineLevel="0" collapsed="false">
      <c r="E136" s="21" t="s">
        <v>144</v>
      </c>
      <c r="Q136" s="16"/>
      <c r="R136" s="16"/>
    </row>
    <row r="137" s="14" customFormat="true" ht="16.5" hidden="false" customHeight="true" outlineLevel="0" collapsed="false">
      <c r="E137" s="91"/>
      <c r="L137" s="91"/>
      <c r="M137" s="91"/>
      <c r="N137" s="91"/>
      <c r="O137" s="91"/>
      <c r="P137" s="91"/>
      <c r="Q137" s="93"/>
      <c r="R137" s="16"/>
      <c r="T137" s="91"/>
      <c r="U137" s="91"/>
      <c r="V137" s="91"/>
      <c r="W137" s="91"/>
      <c r="X137" s="91"/>
      <c r="Y137" s="91"/>
      <c r="Z137" s="91"/>
      <c r="AA137" s="91"/>
      <c r="AB137" s="91"/>
      <c r="AC137" s="91"/>
      <c r="AD137" s="91"/>
      <c r="AE137" s="91"/>
      <c r="AF137" s="91"/>
      <c r="AG137" s="91"/>
      <c r="AH137" s="91"/>
      <c r="AI137" s="91"/>
      <c r="AJ137" s="91"/>
      <c r="AK137" s="91"/>
      <c r="AL137" s="91"/>
      <c r="AM137" s="91"/>
      <c r="AN137" s="91"/>
      <c r="AO137" s="91"/>
      <c r="AP137" s="91"/>
      <c r="AQ137" s="91"/>
      <c r="AR137" s="91"/>
      <c r="AS137" s="91"/>
      <c r="AT137" s="91"/>
      <c r="AU137" s="91"/>
      <c r="AV137" s="91"/>
      <c r="AW137" s="91"/>
      <c r="AX137" s="91"/>
      <c r="AY137" s="91"/>
      <c r="AZ137" s="91"/>
      <c r="BA137" s="91"/>
      <c r="BB137" s="91"/>
      <c r="BC137" s="91"/>
      <c r="BD137" s="91"/>
      <c r="BE137" s="91"/>
      <c r="BF137" s="91"/>
      <c r="BG137" s="91"/>
      <c r="BH137" s="91"/>
      <c r="BI137" s="91"/>
      <c r="BJ137" s="91"/>
      <c r="BK137" s="91"/>
      <c r="BL137" s="91"/>
      <c r="BM137" s="91"/>
      <c r="BN137" s="91"/>
      <c r="BO137" s="91"/>
      <c r="BP137" s="91"/>
      <c r="BQ137" s="91"/>
      <c r="BR137" s="91"/>
      <c r="BS137" s="91"/>
      <c r="BT137" s="91"/>
      <c r="BU137" s="91"/>
      <c r="BV137" s="91"/>
      <c r="BW137" s="91"/>
      <c r="BX137" s="91"/>
      <c r="BY137" s="91"/>
      <c r="BZ137" s="91"/>
      <c r="CA137" s="91"/>
      <c r="CC137" s="79" t="n">
        <f aca="false">SUMIFS($T137:$CA137, $T$1:$CA$1, CC$75)</f>
        <v>0</v>
      </c>
      <c r="CD137" s="79" t="n">
        <f aca="false">SUMIFS($T137:$CA137, $T$1:$CA$1, CD$75)</f>
        <v>0</v>
      </c>
      <c r="CE137" s="79" t="n">
        <f aca="false">SUMIFS($T137:$CA137, $T$1:$CA$1, CE$75)</f>
        <v>0</v>
      </c>
      <c r="CF137" s="79" t="n">
        <f aca="false">SUMIFS($T137:$CA137, $T$1:$CA$1, CF$75)</f>
        <v>0</v>
      </c>
      <c r="CG137" s="79" t="n">
        <f aca="false">SUMIFS($T137:$CA137, $T$1:$CA$1, CG$75)</f>
        <v>0</v>
      </c>
      <c r="CI137" s="79" t="n">
        <f aca="false">CC137=L137</f>
        <v>1</v>
      </c>
      <c r="CJ137" s="79" t="n">
        <f aca="false">CD137=M137</f>
        <v>1</v>
      </c>
      <c r="CK137" s="79" t="n">
        <f aca="false">CE137=N137</f>
        <v>1</v>
      </c>
      <c r="CL137" s="79" t="n">
        <f aca="false">CF137=O137</f>
        <v>1</v>
      </c>
      <c r="CM137" s="79" t="n">
        <f aca="false">CG137=P137</f>
        <v>1</v>
      </c>
    </row>
    <row r="138" s="14" customFormat="true" ht="16.5" hidden="false" customHeight="true" outlineLevel="0" collapsed="false">
      <c r="E138" s="91"/>
      <c r="L138" s="91"/>
      <c r="M138" s="91"/>
      <c r="N138" s="91"/>
      <c r="O138" s="91"/>
      <c r="P138" s="91"/>
      <c r="Q138" s="93"/>
      <c r="R138" s="16"/>
      <c r="T138" s="91"/>
      <c r="U138" s="91"/>
      <c r="V138" s="91"/>
      <c r="W138" s="91"/>
      <c r="X138" s="91"/>
      <c r="Y138" s="91"/>
      <c r="Z138" s="91"/>
      <c r="AA138" s="91"/>
      <c r="AB138" s="91"/>
      <c r="AC138" s="91"/>
      <c r="AD138" s="91"/>
      <c r="AE138" s="91"/>
      <c r="AF138" s="91"/>
      <c r="AG138" s="91"/>
      <c r="AH138" s="91"/>
      <c r="AI138" s="91"/>
      <c r="AJ138" s="91"/>
      <c r="AK138" s="91"/>
      <c r="AL138" s="91"/>
      <c r="AM138" s="91"/>
      <c r="AN138" s="91"/>
      <c r="AO138" s="91"/>
      <c r="AP138" s="91"/>
      <c r="AQ138" s="91"/>
      <c r="AR138" s="91"/>
      <c r="AS138" s="91"/>
      <c r="AT138" s="91"/>
      <c r="AU138" s="91"/>
      <c r="AV138" s="91"/>
      <c r="AW138" s="91"/>
      <c r="AX138" s="91"/>
      <c r="AY138" s="91"/>
      <c r="AZ138" s="91"/>
      <c r="BA138" s="91"/>
      <c r="BB138" s="91"/>
      <c r="BC138" s="91"/>
      <c r="BD138" s="91"/>
      <c r="BE138" s="91"/>
      <c r="BF138" s="91"/>
      <c r="BG138" s="91"/>
      <c r="BH138" s="91"/>
      <c r="BI138" s="91"/>
      <c r="BJ138" s="91"/>
      <c r="BK138" s="91"/>
      <c r="BL138" s="91"/>
      <c r="BM138" s="91"/>
      <c r="BN138" s="91"/>
      <c r="BO138" s="91"/>
      <c r="BP138" s="91"/>
      <c r="BQ138" s="91"/>
      <c r="BR138" s="91"/>
      <c r="BS138" s="91"/>
      <c r="BT138" s="91"/>
      <c r="BU138" s="91"/>
      <c r="BV138" s="91"/>
      <c r="BW138" s="91"/>
      <c r="BX138" s="91"/>
      <c r="BY138" s="91"/>
      <c r="BZ138" s="91"/>
      <c r="CA138" s="91"/>
      <c r="CC138" s="79" t="n">
        <f aca="false">SUMIFS($T138:$CA138, $T$1:$CA$1, CC$75)</f>
        <v>0</v>
      </c>
      <c r="CD138" s="79" t="n">
        <f aca="false">SUMIFS($T138:$CA138, $T$1:$CA$1, CD$75)</f>
        <v>0</v>
      </c>
      <c r="CE138" s="79" t="n">
        <f aca="false">SUMIFS($T138:$CA138, $T$1:$CA$1, CE$75)</f>
        <v>0</v>
      </c>
      <c r="CF138" s="79" t="n">
        <f aca="false">SUMIFS($T138:$CA138, $T$1:$CA$1, CF$75)</f>
        <v>0</v>
      </c>
      <c r="CG138" s="79" t="n">
        <f aca="false">SUMIFS($T138:$CA138, $T$1:$CA$1, CG$75)</f>
        <v>0</v>
      </c>
      <c r="CI138" s="79" t="n">
        <f aca="false">CC138=L138</f>
        <v>1</v>
      </c>
      <c r="CJ138" s="79" t="n">
        <f aca="false">CD138=M138</f>
        <v>1</v>
      </c>
      <c r="CK138" s="79" t="n">
        <f aca="false">CE138=N138</f>
        <v>1</v>
      </c>
      <c r="CL138" s="79" t="n">
        <f aca="false">CF138=O138</f>
        <v>1</v>
      </c>
      <c r="CM138" s="79" t="n">
        <f aca="false">CG138=P138</f>
        <v>1</v>
      </c>
    </row>
    <row r="139" s="14" customFormat="true" ht="16.5" hidden="false" customHeight="true" outlineLevel="0" collapsed="false">
      <c r="E139" s="96" t="s">
        <v>145</v>
      </c>
      <c r="L139" s="82" t="n">
        <f aca="false">SUM(L137:L138)</f>
        <v>0</v>
      </c>
      <c r="M139" s="82" t="n">
        <f aca="false">SUM(M137:M138)</f>
        <v>0</v>
      </c>
      <c r="N139" s="82" t="n">
        <f aca="false">SUM(N137:N138)</f>
        <v>0</v>
      </c>
      <c r="O139" s="82" t="n">
        <f aca="false">SUM(O137:O138)</f>
        <v>0</v>
      </c>
      <c r="P139" s="82" t="n">
        <f aca="false">SUM(P137:P138)</f>
        <v>0</v>
      </c>
      <c r="Q139" s="16"/>
      <c r="R139" s="16"/>
      <c r="T139" s="82" t="n">
        <f aca="false">SUM(T137:T138)</f>
        <v>0</v>
      </c>
      <c r="U139" s="82" t="n">
        <f aca="false">SUM(U137:U138)</f>
        <v>0</v>
      </c>
      <c r="V139" s="82" t="n">
        <f aca="false">SUM(V137:V138)</f>
        <v>0</v>
      </c>
      <c r="W139" s="82" t="n">
        <f aca="false">SUM(W137:W138)</f>
        <v>0</v>
      </c>
      <c r="X139" s="82" t="n">
        <f aca="false">SUM(X137:X138)</f>
        <v>0</v>
      </c>
      <c r="Y139" s="82" t="n">
        <f aca="false">SUM(Y137:Y138)</f>
        <v>0</v>
      </c>
      <c r="Z139" s="82" t="n">
        <f aca="false">SUM(Z137:Z138)</f>
        <v>0</v>
      </c>
      <c r="AA139" s="82" t="n">
        <f aca="false">SUM(AA137:AA138)</f>
        <v>0</v>
      </c>
      <c r="AB139" s="82" t="n">
        <f aca="false">SUM(AB137:AB138)</f>
        <v>0</v>
      </c>
      <c r="AC139" s="82" t="n">
        <f aca="false">SUM(AC137:AC138)</f>
        <v>0</v>
      </c>
      <c r="AD139" s="82" t="n">
        <f aca="false">SUM(AD137:AD138)</f>
        <v>0</v>
      </c>
      <c r="AE139" s="82" t="n">
        <f aca="false">SUM(AE137:AE138)</f>
        <v>0</v>
      </c>
      <c r="AF139" s="82" t="n">
        <f aca="false">SUM(AF137:AF138)</f>
        <v>0</v>
      </c>
      <c r="AG139" s="82" t="n">
        <f aca="false">SUM(AG137:AG138)</f>
        <v>0</v>
      </c>
      <c r="AH139" s="82" t="n">
        <f aca="false">SUM(AH137:AH138)</f>
        <v>0</v>
      </c>
      <c r="AI139" s="82" t="n">
        <f aca="false">SUM(AI137:AI138)</f>
        <v>0</v>
      </c>
      <c r="AJ139" s="82" t="n">
        <f aca="false">SUM(AJ137:AJ138)</f>
        <v>0</v>
      </c>
      <c r="AK139" s="82" t="n">
        <f aca="false">SUM(AK137:AK138)</f>
        <v>0</v>
      </c>
      <c r="AL139" s="82" t="n">
        <f aca="false">SUM(AL137:AL138)</f>
        <v>0</v>
      </c>
      <c r="AM139" s="82" t="n">
        <f aca="false">SUM(AM137:AM138)</f>
        <v>0</v>
      </c>
      <c r="AN139" s="82" t="n">
        <f aca="false">SUM(AN137:AN138)</f>
        <v>0</v>
      </c>
      <c r="AO139" s="82" t="n">
        <f aca="false">SUM(AO137:AO138)</f>
        <v>0</v>
      </c>
      <c r="AP139" s="82" t="n">
        <f aca="false">SUM(AP137:AP138)</f>
        <v>0</v>
      </c>
      <c r="AQ139" s="82" t="n">
        <f aca="false">SUM(AQ137:AQ138)</f>
        <v>0</v>
      </c>
      <c r="AR139" s="82" t="n">
        <f aca="false">SUM(AR137:AR138)</f>
        <v>0</v>
      </c>
      <c r="AS139" s="82" t="n">
        <f aca="false">SUM(AS137:AS138)</f>
        <v>0</v>
      </c>
      <c r="AT139" s="82" t="n">
        <f aca="false">SUM(AT137:AT138)</f>
        <v>0</v>
      </c>
      <c r="AU139" s="82" t="n">
        <f aca="false">SUM(AU137:AU138)</f>
        <v>0</v>
      </c>
      <c r="AV139" s="82" t="n">
        <f aca="false">SUM(AV137:AV138)</f>
        <v>0</v>
      </c>
      <c r="AW139" s="82" t="n">
        <f aca="false">SUM(AW137:AW138)</f>
        <v>0</v>
      </c>
      <c r="AX139" s="82" t="n">
        <f aca="false">SUM(AX137:AX138)</f>
        <v>0</v>
      </c>
      <c r="AY139" s="82" t="n">
        <f aca="false">SUM(AY137:AY138)</f>
        <v>0</v>
      </c>
      <c r="AZ139" s="82" t="n">
        <f aca="false">SUM(AZ137:AZ138)</f>
        <v>0</v>
      </c>
      <c r="BA139" s="82" t="n">
        <f aca="false">SUM(BA137:BA138)</f>
        <v>0</v>
      </c>
      <c r="BB139" s="82" t="n">
        <f aca="false">SUM(BB137:BB138)</f>
        <v>0</v>
      </c>
      <c r="BC139" s="82" t="n">
        <f aca="false">SUM(BC137:BC138)</f>
        <v>0</v>
      </c>
      <c r="BD139" s="82" t="n">
        <f aca="false">SUM(BD137:BD138)</f>
        <v>0</v>
      </c>
      <c r="BE139" s="82" t="n">
        <f aca="false">SUM(BE137:BE138)</f>
        <v>0</v>
      </c>
      <c r="BF139" s="82" t="n">
        <f aca="false">SUM(BF137:BF138)</f>
        <v>0</v>
      </c>
      <c r="BG139" s="82" t="n">
        <f aca="false">SUM(BG137:BG138)</f>
        <v>0</v>
      </c>
      <c r="BH139" s="82" t="n">
        <f aca="false">SUM(BH137:BH138)</f>
        <v>0</v>
      </c>
      <c r="BI139" s="82" t="n">
        <f aca="false">SUM(BI137:BI138)</f>
        <v>0</v>
      </c>
      <c r="BJ139" s="82" t="n">
        <f aca="false">SUM(BJ137:BJ138)</f>
        <v>0</v>
      </c>
      <c r="BK139" s="82" t="n">
        <f aca="false">SUM(BK137:BK138)</f>
        <v>0</v>
      </c>
      <c r="BL139" s="82" t="n">
        <f aca="false">SUM(BL137:BL138)</f>
        <v>0</v>
      </c>
      <c r="BM139" s="82" t="n">
        <f aca="false">SUM(BM137:BM138)</f>
        <v>0</v>
      </c>
      <c r="BN139" s="82" t="n">
        <f aca="false">SUM(BN137:BN138)</f>
        <v>0</v>
      </c>
      <c r="BO139" s="82" t="n">
        <f aca="false">SUM(BO137:BO138)</f>
        <v>0</v>
      </c>
      <c r="BP139" s="82" t="n">
        <f aca="false">SUM(BP137:BP138)</f>
        <v>0</v>
      </c>
      <c r="BQ139" s="82" t="n">
        <f aca="false">SUM(BQ137:BQ138)</f>
        <v>0</v>
      </c>
      <c r="BR139" s="82" t="n">
        <f aca="false">SUM(BR137:BR138)</f>
        <v>0</v>
      </c>
      <c r="BS139" s="82" t="n">
        <f aca="false">SUM(BS137:BS138)</f>
        <v>0</v>
      </c>
      <c r="BT139" s="82" t="n">
        <f aca="false">SUM(BT137:BT138)</f>
        <v>0</v>
      </c>
      <c r="BU139" s="82" t="n">
        <f aca="false">SUM(BU137:BU138)</f>
        <v>0</v>
      </c>
      <c r="BV139" s="82" t="n">
        <f aca="false">SUM(BV137:BV138)</f>
        <v>0</v>
      </c>
      <c r="BW139" s="82" t="n">
        <f aca="false">SUM(BW137:BW138)</f>
        <v>0</v>
      </c>
      <c r="BX139" s="82" t="n">
        <f aca="false">SUM(BX137:BX138)</f>
        <v>0</v>
      </c>
      <c r="BY139" s="82" t="n">
        <f aca="false">SUM(BY137:BY138)</f>
        <v>0</v>
      </c>
      <c r="BZ139" s="82" t="n">
        <f aca="false">SUM(BZ137:BZ138)</f>
        <v>0</v>
      </c>
      <c r="CA139" s="82" t="n">
        <f aca="false">SUM(CA137:CA138)</f>
        <v>0</v>
      </c>
      <c r="CC139" s="131" t="n">
        <f aca="false">SUM(CC137:CC138)</f>
        <v>0</v>
      </c>
      <c r="CD139" s="131" t="n">
        <f aca="false">SUM(CD137:CD138)</f>
        <v>0</v>
      </c>
      <c r="CE139" s="131" t="n">
        <f aca="false">SUM(CE137:CE138)</f>
        <v>0</v>
      </c>
      <c r="CF139" s="131" t="n">
        <f aca="false">SUM(CF137:CF138)</f>
        <v>0</v>
      </c>
      <c r="CG139" s="131" t="n">
        <f aca="false">SUM(CG137:CG138)</f>
        <v>0</v>
      </c>
      <c r="CI139" s="131" t="n">
        <f aca="false">CC139=L139</f>
        <v>1</v>
      </c>
      <c r="CJ139" s="131" t="n">
        <f aca="false">CD139=M139</f>
        <v>1</v>
      </c>
      <c r="CK139" s="131" t="n">
        <f aca="false">CE139=N139</f>
        <v>1</v>
      </c>
      <c r="CL139" s="131" t="n">
        <f aca="false">CF139=O139</f>
        <v>1</v>
      </c>
      <c r="CM139" s="131" t="n">
        <f aca="false">CG139=P139</f>
        <v>1</v>
      </c>
    </row>
    <row r="140" s="14" customFormat="true" ht="16.5" hidden="false" customHeight="true" outlineLevel="0" collapsed="false">
      <c r="E140" s="96"/>
      <c r="L140" s="82"/>
      <c r="M140" s="82"/>
      <c r="N140" s="82"/>
      <c r="O140" s="82"/>
      <c r="P140" s="82"/>
      <c r="Q140" s="16"/>
      <c r="R140" s="16"/>
      <c r="T140" s="82"/>
      <c r="U140" s="82"/>
      <c r="V140" s="82"/>
      <c r="W140" s="82"/>
      <c r="X140" s="82"/>
      <c r="Y140" s="82"/>
      <c r="Z140" s="82"/>
      <c r="AA140" s="82"/>
      <c r="AB140" s="82"/>
      <c r="AC140" s="82"/>
      <c r="AD140" s="82"/>
      <c r="AE140" s="82"/>
      <c r="AF140" s="82"/>
      <c r="AG140" s="82"/>
      <c r="AH140" s="82"/>
      <c r="AI140" s="82"/>
      <c r="AJ140" s="82"/>
      <c r="AK140" s="82"/>
      <c r="AL140" s="82"/>
      <c r="AM140" s="82"/>
      <c r="AN140" s="82"/>
      <c r="AO140" s="82"/>
      <c r="AP140" s="82"/>
      <c r="AQ140" s="82"/>
      <c r="AR140" s="82"/>
      <c r="AS140" s="82"/>
      <c r="AT140" s="82"/>
      <c r="AU140" s="82"/>
      <c r="AV140" s="82"/>
      <c r="AW140" s="82"/>
      <c r="AX140" s="82"/>
      <c r="AY140" s="82"/>
      <c r="AZ140" s="82"/>
      <c r="BA140" s="82"/>
      <c r="BB140" s="82"/>
      <c r="BC140" s="82"/>
      <c r="BD140" s="82"/>
      <c r="BE140" s="82"/>
      <c r="BF140" s="82"/>
      <c r="BG140" s="82"/>
      <c r="BH140" s="82"/>
      <c r="BI140" s="82"/>
      <c r="BJ140" s="82"/>
      <c r="BK140" s="82"/>
      <c r="BL140" s="82"/>
      <c r="BM140" s="82"/>
      <c r="BN140" s="82"/>
      <c r="BO140" s="82"/>
      <c r="BP140" s="82"/>
      <c r="BQ140" s="82"/>
      <c r="BR140" s="82"/>
      <c r="BS140" s="82"/>
      <c r="BT140" s="82"/>
      <c r="BU140" s="82"/>
      <c r="BV140" s="82"/>
      <c r="BW140" s="82"/>
      <c r="BX140" s="82"/>
      <c r="BY140" s="82"/>
      <c r="BZ140" s="82"/>
      <c r="CA140" s="82"/>
    </row>
    <row r="141" s="14" customFormat="true" ht="16.5" hidden="false" customHeight="true" outlineLevel="0" collapsed="false">
      <c r="E141" s="109" t="s">
        <v>146</v>
      </c>
      <c r="F141" s="109"/>
      <c r="G141" s="109"/>
      <c r="H141" s="109"/>
      <c r="I141" s="132"/>
      <c r="J141" s="132"/>
      <c r="K141" s="132"/>
      <c r="L141" s="120" t="n">
        <f aca="false">L139</f>
        <v>0</v>
      </c>
      <c r="M141" s="120" t="n">
        <f aca="false">M139</f>
        <v>0</v>
      </c>
      <c r="N141" s="120" t="n">
        <f aca="false">N139</f>
        <v>0</v>
      </c>
      <c r="O141" s="120" t="n">
        <f aca="false">O139</f>
        <v>0</v>
      </c>
      <c r="P141" s="120" t="n">
        <f aca="false">P139</f>
        <v>0</v>
      </c>
      <c r="Q141" s="16"/>
      <c r="R141" s="16"/>
      <c r="T141" s="120" t="n">
        <f aca="false">T139</f>
        <v>0</v>
      </c>
      <c r="U141" s="120" t="n">
        <f aca="false">U139</f>
        <v>0</v>
      </c>
      <c r="V141" s="120" t="n">
        <f aca="false">V139</f>
        <v>0</v>
      </c>
      <c r="W141" s="120" t="n">
        <f aca="false">W139</f>
        <v>0</v>
      </c>
      <c r="X141" s="120" t="n">
        <f aca="false">X139</f>
        <v>0</v>
      </c>
      <c r="Y141" s="120" t="n">
        <f aca="false">Y139</f>
        <v>0</v>
      </c>
      <c r="Z141" s="120" t="n">
        <f aca="false">Z139</f>
        <v>0</v>
      </c>
      <c r="AA141" s="120" t="n">
        <f aca="false">AA139</f>
        <v>0</v>
      </c>
      <c r="AB141" s="120" t="n">
        <f aca="false">AB139</f>
        <v>0</v>
      </c>
      <c r="AC141" s="120" t="n">
        <f aca="false">AC139</f>
        <v>0</v>
      </c>
      <c r="AD141" s="120" t="n">
        <f aca="false">AD139</f>
        <v>0</v>
      </c>
      <c r="AE141" s="120" t="n">
        <f aca="false">AE139</f>
        <v>0</v>
      </c>
      <c r="AF141" s="120" t="n">
        <f aca="false">AF139</f>
        <v>0</v>
      </c>
      <c r="AG141" s="120" t="n">
        <f aca="false">AG139</f>
        <v>0</v>
      </c>
      <c r="AH141" s="120" t="n">
        <f aca="false">AH139</f>
        <v>0</v>
      </c>
      <c r="AI141" s="120" t="n">
        <f aca="false">AI139</f>
        <v>0</v>
      </c>
      <c r="AJ141" s="120" t="n">
        <f aca="false">AJ139</f>
        <v>0</v>
      </c>
      <c r="AK141" s="120" t="n">
        <f aca="false">AK139</f>
        <v>0</v>
      </c>
      <c r="AL141" s="120" t="n">
        <f aca="false">AL139</f>
        <v>0</v>
      </c>
      <c r="AM141" s="120" t="n">
        <f aca="false">AM139</f>
        <v>0</v>
      </c>
      <c r="AN141" s="120" t="n">
        <f aca="false">AN139</f>
        <v>0</v>
      </c>
      <c r="AO141" s="120" t="n">
        <f aca="false">AO139</f>
        <v>0</v>
      </c>
      <c r="AP141" s="120" t="n">
        <f aca="false">AP139</f>
        <v>0</v>
      </c>
      <c r="AQ141" s="120" t="n">
        <f aca="false">AQ139</f>
        <v>0</v>
      </c>
      <c r="AR141" s="120" t="n">
        <f aca="false">AR139</f>
        <v>0</v>
      </c>
      <c r="AS141" s="120" t="n">
        <f aca="false">AS139</f>
        <v>0</v>
      </c>
      <c r="AT141" s="120" t="n">
        <f aca="false">AT139</f>
        <v>0</v>
      </c>
      <c r="AU141" s="120" t="n">
        <f aca="false">AU139</f>
        <v>0</v>
      </c>
      <c r="AV141" s="120" t="n">
        <f aca="false">AV139</f>
        <v>0</v>
      </c>
      <c r="AW141" s="120" t="n">
        <f aca="false">AW139</f>
        <v>0</v>
      </c>
      <c r="AX141" s="120" t="n">
        <f aca="false">AX139</f>
        <v>0</v>
      </c>
      <c r="AY141" s="120" t="n">
        <f aca="false">AY139</f>
        <v>0</v>
      </c>
      <c r="AZ141" s="120" t="n">
        <f aca="false">AZ139</f>
        <v>0</v>
      </c>
      <c r="BA141" s="120" t="n">
        <f aca="false">BA139</f>
        <v>0</v>
      </c>
      <c r="BB141" s="120" t="n">
        <f aca="false">BB139</f>
        <v>0</v>
      </c>
      <c r="BC141" s="120" t="n">
        <f aca="false">BC139</f>
        <v>0</v>
      </c>
      <c r="BD141" s="120" t="n">
        <f aca="false">BD139</f>
        <v>0</v>
      </c>
      <c r="BE141" s="120" t="n">
        <f aca="false">BE139</f>
        <v>0</v>
      </c>
      <c r="BF141" s="120" t="n">
        <f aca="false">BF139</f>
        <v>0</v>
      </c>
      <c r="BG141" s="120" t="n">
        <f aca="false">BG139</f>
        <v>0</v>
      </c>
      <c r="BH141" s="120" t="n">
        <f aca="false">BH139</f>
        <v>0</v>
      </c>
      <c r="BI141" s="120" t="n">
        <f aca="false">BI139</f>
        <v>0</v>
      </c>
      <c r="BJ141" s="120" t="n">
        <f aca="false">BJ139</f>
        <v>0</v>
      </c>
      <c r="BK141" s="120" t="n">
        <f aca="false">BK139</f>
        <v>0</v>
      </c>
      <c r="BL141" s="120" t="n">
        <f aca="false">BL139</f>
        <v>0</v>
      </c>
      <c r="BM141" s="120" t="n">
        <f aca="false">BM139</f>
        <v>0</v>
      </c>
      <c r="BN141" s="120" t="n">
        <f aca="false">BN139</f>
        <v>0</v>
      </c>
      <c r="BO141" s="120" t="n">
        <f aca="false">BO139</f>
        <v>0</v>
      </c>
      <c r="BP141" s="120" t="n">
        <f aca="false">BP139</f>
        <v>0</v>
      </c>
      <c r="BQ141" s="120" t="n">
        <f aca="false">BQ139</f>
        <v>0</v>
      </c>
      <c r="BR141" s="120" t="n">
        <f aca="false">BR139</f>
        <v>0</v>
      </c>
      <c r="BS141" s="120" t="n">
        <f aca="false">BS139</f>
        <v>0</v>
      </c>
      <c r="BT141" s="120" t="n">
        <f aca="false">BT139</f>
        <v>0</v>
      </c>
      <c r="BU141" s="120" t="n">
        <f aca="false">BU139</f>
        <v>0</v>
      </c>
      <c r="BV141" s="120" t="n">
        <f aca="false">BV139</f>
        <v>0</v>
      </c>
      <c r="BW141" s="120" t="n">
        <f aca="false">BW139</f>
        <v>0</v>
      </c>
      <c r="BX141" s="120" t="n">
        <f aca="false">BX139</f>
        <v>0</v>
      </c>
      <c r="BY141" s="120" t="n">
        <f aca="false">BY139</f>
        <v>0</v>
      </c>
      <c r="BZ141" s="120" t="n">
        <f aca="false">BZ139</f>
        <v>0</v>
      </c>
      <c r="CA141" s="120" t="n">
        <f aca="false">CA139</f>
        <v>0</v>
      </c>
      <c r="CC141" s="132" t="n">
        <f aca="false">CC139</f>
        <v>0</v>
      </c>
      <c r="CD141" s="132" t="n">
        <f aca="false">CD139</f>
        <v>0</v>
      </c>
      <c r="CE141" s="132" t="n">
        <f aca="false">CE139</f>
        <v>0</v>
      </c>
      <c r="CF141" s="132" t="n">
        <f aca="false">CF139</f>
        <v>0</v>
      </c>
      <c r="CG141" s="132" t="n">
        <f aca="false">CG139</f>
        <v>0</v>
      </c>
      <c r="CI141" s="133" t="n">
        <f aca="false">CI139</f>
        <v>1</v>
      </c>
      <c r="CJ141" s="133" t="n">
        <f aca="false">CJ139</f>
        <v>1</v>
      </c>
      <c r="CK141" s="133" t="n">
        <f aca="false">CK139</f>
        <v>1</v>
      </c>
      <c r="CL141" s="133" t="n">
        <f aca="false">CL139</f>
        <v>1</v>
      </c>
      <c r="CM141" s="133" t="n">
        <f aca="false">CM139</f>
        <v>1</v>
      </c>
    </row>
    <row r="142" s="14" customFormat="true" ht="16.5" hidden="false" customHeight="true" outlineLevel="0" collapsed="false"/>
    <row r="143" s="14" customFormat="true" ht="16.5" hidden="false" customHeight="true" outlineLevel="0" collapsed="false">
      <c r="E143" s="85"/>
      <c r="Q143" s="16"/>
      <c r="R143" s="16"/>
      <c r="T143" s="62" t="n">
        <v>2026</v>
      </c>
      <c r="U143" s="129"/>
      <c r="V143" s="129"/>
      <c r="W143" s="129"/>
      <c r="X143" s="129"/>
      <c r="Y143" s="129"/>
      <c r="Z143" s="129"/>
      <c r="AA143" s="129"/>
      <c r="AB143" s="129"/>
      <c r="AC143" s="129"/>
      <c r="AD143" s="129"/>
      <c r="AE143" s="129"/>
      <c r="AF143" s="62" t="n">
        <v>2027</v>
      </c>
      <c r="AG143" s="129"/>
      <c r="AH143" s="129"/>
      <c r="AI143" s="129"/>
      <c r="AJ143" s="129"/>
      <c r="AK143" s="129"/>
      <c r="AL143" s="129"/>
      <c r="AM143" s="129"/>
      <c r="AN143" s="129"/>
      <c r="AO143" s="129"/>
      <c r="AP143" s="129"/>
      <c r="AQ143" s="129"/>
      <c r="AR143" s="62" t="n">
        <v>2028</v>
      </c>
      <c r="AS143" s="129"/>
      <c r="AT143" s="129"/>
      <c r="AU143" s="129"/>
      <c r="AV143" s="129"/>
      <c r="AW143" s="129"/>
      <c r="AX143" s="129"/>
      <c r="AY143" s="129"/>
      <c r="AZ143" s="129"/>
      <c r="BA143" s="129"/>
      <c r="BB143" s="129"/>
      <c r="BC143" s="129"/>
      <c r="BD143" s="62" t="n">
        <v>2029</v>
      </c>
      <c r="BE143" s="129"/>
      <c r="BF143" s="129"/>
      <c r="BG143" s="129"/>
      <c r="BH143" s="129"/>
      <c r="BI143" s="129"/>
      <c r="BJ143" s="129"/>
      <c r="BK143" s="129"/>
      <c r="BL143" s="129"/>
      <c r="BM143" s="129"/>
      <c r="BN143" s="129"/>
      <c r="BO143" s="129"/>
      <c r="BP143" s="62" t="n">
        <v>2030</v>
      </c>
      <c r="BQ143" s="130"/>
      <c r="BR143" s="130"/>
      <c r="BS143" s="130"/>
      <c r="BT143" s="130"/>
      <c r="BU143" s="130"/>
      <c r="BV143" s="130"/>
      <c r="BW143" s="130"/>
      <c r="BX143" s="130"/>
      <c r="BY143" s="130"/>
      <c r="BZ143" s="130"/>
      <c r="CA143" s="130"/>
    </row>
    <row r="144" s="14" customFormat="true" ht="16.5" hidden="false" customHeight="true" outlineLevel="0" collapsed="false">
      <c r="D144" s="30" t="s">
        <v>147</v>
      </c>
      <c r="E144" s="31"/>
      <c r="F144" s="31"/>
      <c r="G144" s="31"/>
      <c r="H144" s="31"/>
      <c r="I144" s="31"/>
      <c r="J144" s="31"/>
      <c r="K144" s="31" t="s">
        <v>120</v>
      </c>
      <c r="L144" s="31" t="n">
        <v>2026</v>
      </c>
      <c r="M144" s="31" t="n">
        <f aca="false">L144+1</f>
        <v>2027</v>
      </c>
      <c r="N144" s="31" t="n">
        <f aca="false">M144+1</f>
        <v>2028</v>
      </c>
      <c r="O144" s="31" t="n">
        <f aca="false">N144+1</f>
        <v>2029</v>
      </c>
      <c r="P144" s="31" t="n">
        <f aca="false">O144+1</f>
        <v>2030</v>
      </c>
      <c r="Q144" s="16"/>
      <c r="R144" s="16"/>
      <c r="T144" s="59" t="n">
        <v>46023</v>
      </c>
      <c r="U144" s="60" t="n">
        <f aca="false">EOMONTH(T144, 1)</f>
        <v>46081</v>
      </c>
      <c r="V144" s="60" t="n">
        <f aca="false">EOMONTH(U144, 1)</f>
        <v>46112</v>
      </c>
      <c r="W144" s="60" t="n">
        <f aca="false">EOMONTH(V144, 1)</f>
        <v>46142</v>
      </c>
      <c r="X144" s="60" t="n">
        <f aca="false">EOMONTH(W144, 1)</f>
        <v>46173</v>
      </c>
      <c r="Y144" s="60" t="n">
        <f aca="false">EOMONTH(X144, 1)</f>
        <v>46203</v>
      </c>
      <c r="Z144" s="60" t="n">
        <f aca="false">EOMONTH(Y144, 1)</f>
        <v>46234</v>
      </c>
      <c r="AA144" s="60" t="n">
        <f aca="false">EOMONTH(Z144, 1)</f>
        <v>46265</v>
      </c>
      <c r="AB144" s="60" t="n">
        <f aca="false">EOMONTH(AA144, 1)</f>
        <v>46295</v>
      </c>
      <c r="AC144" s="60" t="n">
        <f aca="false">EOMONTH(AB144, 1)</f>
        <v>46326</v>
      </c>
      <c r="AD144" s="60" t="n">
        <f aca="false">EOMONTH(AC144, 1)</f>
        <v>46356</v>
      </c>
      <c r="AE144" s="61" t="n">
        <f aca="false">EOMONTH(AD144, 1)</f>
        <v>46387</v>
      </c>
      <c r="AF144" s="59" t="n">
        <f aca="false">EOMONTH(AE144, 1)</f>
        <v>46418</v>
      </c>
      <c r="AG144" s="60" t="n">
        <f aca="false">EOMONTH(AF144, 1)</f>
        <v>46446</v>
      </c>
      <c r="AH144" s="60" t="n">
        <f aca="false">EOMONTH(AG144, 1)</f>
        <v>46477</v>
      </c>
      <c r="AI144" s="60" t="n">
        <f aca="false">EOMONTH(AH144, 1)</f>
        <v>46507</v>
      </c>
      <c r="AJ144" s="60" t="n">
        <f aca="false">EOMONTH(AI144, 1)</f>
        <v>46538</v>
      </c>
      <c r="AK144" s="60" t="n">
        <f aca="false">EOMONTH(AJ144, 1)</f>
        <v>46568</v>
      </c>
      <c r="AL144" s="60" t="n">
        <f aca="false">EOMONTH(AK144, 1)</f>
        <v>46599</v>
      </c>
      <c r="AM144" s="60" t="n">
        <f aca="false">EOMONTH(AL144, 1)</f>
        <v>46630</v>
      </c>
      <c r="AN144" s="60" t="n">
        <f aca="false">EOMONTH(AM144, 1)</f>
        <v>46660</v>
      </c>
      <c r="AO144" s="60" t="n">
        <f aca="false">EOMONTH(AN144, 1)</f>
        <v>46691</v>
      </c>
      <c r="AP144" s="60" t="n">
        <f aca="false">EOMONTH(AO144, 1)</f>
        <v>46721</v>
      </c>
      <c r="AQ144" s="61" t="n">
        <f aca="false">EOMONTH(AP144, 1)</f>
        <v>46752</v>
      </c>
      <c r="AR144" s="59" t="n">
        <f aca="false">EOMONTH(AQ144, 1)</f>
        <v>46783</v>
      </c>
      <c r="AS144" s="60" t="n">
        <f aca="false">EOMONTH(AR144, 1)</f>
        <v>46812</v>
      </c>
      <c r="AT144" s="60" t="n">
        <f aca="false">EOMONTH(AS144, 1)</f>
        <v>46843</v>
      </c>
      <c r="AU144" s="60" t="n">
        <f aca="false">EOMONTH(AT144, 1)</f>
        <v>46873</v>
      </c>
      <c r="AV144" s="60" t="n">
        <f aca="false">EOMONTH(AU144, 1)</f>
        <v>46904</v>
      </c>
      <c r="AW144" s="60" t="n">
        <f aca="false">EOMONTH(AV144, 1)</f>
        <v>46934</v>
      </c>
      <c r="AX144" s="60" t="n">
        <f aca="false">EOMONTH(AW144, 1)</f>
        <v>46965</v>
      </c>
      <c r="AY144" s="60" t="n">
        <f aca="false">EOMONTH(AX144, 1)</f>
        <v>46996</v>
      </c>
      <c r="AZ144" s="60" t="n">
        <f aca="false">EOMONTH(AY144, 1)</f>
        <v>47026</v>
      </c>
      <c r="BA144" s="60" t="n">
        <f aca="false">EOMONTH(AZ144, 1)</f>
        <v>47057</v>
      </c>
      <c r="BB144" s="60" t="n">
        <f aca="false">EOMONTH(BA144, 1)</f>
        <v>47087</v>
      </c>
      <c r="BC144" s="61" t="n">
        <f aca="false">EOMONTH(BB144, 1)</f>
        <v>47118</v>
      </c>
      <c r="BD144" s="59" t="n">
        <f aca="false">EOMONTH(BC144, 1)</f>
        <v>47149</v>
      </c>
      <c r="BE144" s="60" t="n">
        <f aca="false">EOMONTH(BD144, 1)</f>
        <v>47177</v>
      </c>
      <c r="BF144" s="60" t="n">
        <f aca="false">EOMONTH(BE144, 1)</f>
        <v>47208</v>
      </c>
      <c r="BG144" s="60" t="n">
        <f aca="false">EOMONTH(BF144, 1)</f>
        <v>47238</v>
      </c>
      <c r="BH144" s="60" t="n">
        <f aca="false">EOMONTH(BG144, 1)</f>
        <v>47269</v>
      </c>
      <c r="BI144" s="60" t="n">
        <f aca="false">EOMONTH(BH144, 1)</f>
        <v>47299</v>
      </c>
      <c r="BJ144" s="60" t="n">
        <f aca="false">EOMONTH(BI144, 1)</f>
        <v>47330</v>
      </c>
      <c r="BK144" s="60" t="n">
        <f aca="false">EOMONTH(BJ144, 1)</f>
        <v>47361</v>
      </c>
      <c r="BL144" s="60" t="n">
        <f aca="false">EOMONTH(BK144, 1)</f>
        <v>47391</v>
      </c>
      <c r="BM144" s="60" t="n">
        <f aca="false">EOMONTH(BL144, 1)</f>
        <v>47422</v>
      </c>
      <c r="BN144" s="60" t="n">
        <f aca="false">EOMONTH(BM144, 1)</f>
        <v>47452</v>
      </c>
      <c r="BO144" s="61" t="n">
        <f aca="false">EOMONTH(BN144, 1)</f>
        <v>47483</v>
      </c>
      <c r="BP144" s="59" t="n">
        <f aca="false">EOMONTH(BO144, 1)</f>
        <v>47514</v>
      </c>
      <c r="BQ144" s="60" t="n">
        <f aca="false">EOMONTH(BP144, 1)</f>
        <v>47542</v>
      </c>
      <c r="BR144" s="60" t="n">
        <f aca="false">EOMONTH(BQ144, 1)</f>
        <v>47573</v>
      </c>
      <c r="BS144" s="60" t="n">
        <f aca="false">EOMONTH(BR144, 1)</f>
        <v>47603</v>
      </c>
      <c r="BT144" s="60" t="n">
        <f aca="false">EOMONTH(BS144, 1)</f>
        <v>47634</v>
      </c>
      <c r="BU144" s="60" t="n">
        <f aca="false">EOMONTH(BT144, 1)</f>
        <v>47664</v>
      </c>
      <c r="BV144" s="60" t="n">
        <f aca="false">EOMONTH(BU144, 1)</f>
        <v>47695</v>
      </c>
      <c r="BW144" s="60" t="n">
        <f aca="false">EOMONTH(BV144, 1)</f>
        <v>47726</v>
      </c>
      <c r="BX144" s="60" t="n">
        <f aca="false">EOMONTH(BW144, 1)</f>
        <v>47756</v>
      </c>
      <c r="BY144" s="60" t="n">
        <f aca="false">EOMONTH(BX144, 1)</f>
        <v>47787</v>
      </c>
      <c r="BZ144" s="60" t="n">
        <f aca="false">EOMONTH(BY144, 1)</f>
        <v>47817</v>
      </c>
      <c r="CA144" s="60" t="n">
        <f aca="false">EOMONTH(BZ144, 1)</f>
        <v>47848</v>
      </c>
      <c r="CC144" s="62" t="n">
        <v>2026</v>
      </c>
      <c r="CD144" s="62" t="n">
        <f aca="false">CC144+1</f>
        <v>2027</v>
      </c>
      <c r="CE144" s="62" t="n">
        <f aca="false">CD144+1</f>
        <v>2028</v>
      </c>
      <c r="CF144" s="62" t="n">
        <f aca="false">CE144+1</f>
        <v>2029</v>
      </c>
      <c r="CG144" s="62" t="n">
        <f aca="false">CF144+1</f>
        <v>2030</v>
      </c>
      <c r="CI144" s="62" t="n">
        <v>2026</v>
      </c>
      <c r="CJ144" s="62" t="n">
        <f aca="false">CI144+1</f>
        <v>2027</v>
      </c>
      <c r="CK144" s="62" t="n">
        <f aca="false">CJ144+1</f>
        <v>2028</v>
      </c>
      <c r="CL144" s="62" t="n">
        <f aca="false">CK144+1</f>
        <v>2029</v>
      </c>
      <c r="CM144" s="62" t="n">
        <f aca="false">CL144+1</f>
        <v>2030</v>
      </c>
    </row>
    <row r="145" s="14" customFormat="true" ht="16.5" hidden="false" customHeight="true" outlineLevel="0" collapsed="false">
      <c r="F145" s="21"/>
      <c r="G145" s="21"/>
      <c r="Q145" s="16"/>
      <c r="R145" s="16"/>
    </row>
    <row r="146" s="14" customFormat="true" ht="16.5" hidden="false" customHeight="true" outlineLevel="0" collapsed="false">
      <c r="E146" s="21" t="s">
        <v>148</v>
      </c>
      <c r="Q146" s="16"/>
      <c r="R146" s="16"/>
    </row>
    <row r="147" s="14" customFormat="true" ht="16.5" hidden="false" customHeight="true" outlineLevel="0" collapsed="false">
      <c r="D147" s="134"/>
      <c r="E147" s="91" t="s">
        <v>149</v>
      </c>
      <c r="L147" s="91"/>
      <c r="M147" s="91" t="n">
        <v>5</v>
      </c>
      <c r="N147" s="91"/>
      <c r="O147" s="91"/>
      <c r="P147" s="91"/>
      <c r="Q147" s="93"/>
      <c r="R147" s="16"/>
      <c r="T147" s="135"/>
      <c r="U147" s="135"/>
      <c r="V147" s="135"/>
      <c r="W147" s="135"/>
      <c r="X147" s="135"/>
      <c r="Y147" s="135"/>
      <c r="Z147" s="135"/>
      <c r="AA147" s="135"/>
      <c r="AB147" s="135"/>
      <c r="AC147" s="135"/>
      <c r="AD147" s="135"/>
      <c r="AE147" s="135"/>
      <c r="AF147" s="135" t="n">
        <f aca="false">3/12</f>
        <v>0.25</v>
      </c>
      <c r="AG147" s="135" t="n">
        <f aca="false">3/12</f>
        <v>0.25</v>
      </c>
      <c r="AH147" s="135" t="n">
        <f aca="false">3/12</f>
        <v>0.25</v>
      </c>
      <c r="AI147" s="135" t="n">
        <f aca="false">3/12</f>
        <v>0.25</v>
      </c>
      <c r="AJ147" s="135" t="n">
        <f aca="false">3/12</f>
        <v>0.25</v>
      </c>
      <c r="AK147" s="135" t="n">
        <f aca="false">3/12</f>
        <v>0.25</v>
      </c>
      <c r="AL147" s="135" t="n">
        <f aca="false">3/12</f>
        <v>0.25</v>
      </c>
      <c r="AM147" s="135" t="n">
        <f aca="false">3/12</f>
        <v>0.25</v>
      </c>
      <c r="AN147" s="135" t="n">
        <f aca="false">3/12</f>
        <v>0.25</v>
      </c>
      <c r="AO147" s="135" t="n">
        <f aca="false">3/12</f>
        <v>0.25</v>
      </c>
      <c r="AP147" s="135" t="n">
        <f aca="false">3/12</f>
        <v>0.25</v>
      </c>
      <c r="AQ147" s="135" t="n">
        <f aca="false">3/12</f>
        <v>0.25</v>
      </c>
      <c r="AR147" s="135" t="n">
        <f aca="false">3/12</f>
        <v>0.25</v>
      </c>
      <c r="AS147" s="135" t="n">
        <f aca="false">3/12</f>
        <v>0.25</v>
      </c>
      <c r="AT147" s="135" t="n">
        <f aca="false">3/12</f>
        <v>0.25</v>
      </c>
      <c r="AU147" s="135" t="n">
        <f aca="false">3/12</f>
        <v>0.25</v>
      </c>
      <c r="AV147" s="135" t="n">
        <f aca="false">3/12</f>
        <v>0.25</v>
      </c>
      <c r="AW147" s="135" t="n">
        <f aca="false">3/12</f>
        <v>0.25</v>
      </c>
      <c r="AX147" s="135" t="n">
        <f aca="false">3/12</f>
        <v>0.25</v>
      </c>
      <c r="AY147" s="135" t="n">
        <f aca="false">3/12</f>
        <v>0.25</v>
      </c>
      <c r="AZ147" s="135" t="n">
        <f aca="false">3/12</f>
        <v>0.25</v>
      </c>
      <c r="BA147" s="135" t="n">
        <f aca="false">3/12</f>
        <v>0.25</v>
      </c>
      <c r="BB147" s="135" t="n">
        <f aca="false">3/12</f>
        <v>0.25</v>
      </c>
      <c r="BC147" s="135" t="n">
        <f aca="false">3/12</f>
        <v>0.25</v>
      </c>
      <c r="BD147" s="135"/>
      <c r="BE147" s="135"/>
      <c r="BF147" s="135"/>
      <c r="BG147" s="135"/>
      <c r="BH147" s="135"/>
      <c r="BI147" s="135"/>
      <c r="BJ147" s="135"/>
      <c r="BK147" s="135"/>
      <c r="BL147" s="135"/>
      <c r="BM147" s="135"/>
      <c r="BN147" s="135"/>
      <c r="BO147" s="135"/>
      <c r="BP147" s="135"/>
      <c r="BQ147" s="135"/>
      <c r="BR147" s="135"/>
      <c r="BS147" s="135"/>
      <c r="BT147" s="135"/>
      <c r="BU147" s="135"/>
      <c r="BV147" s="135"/>
      <c r="BW147" s="135"/>
      <c r="BX147" s="135"/>
      <c r="BY147" s="135"/>
      <c r="BZ147" s="119"/>
      <c r="CA147" s="119"/>
      <c r="CC147" s="79" t="n">
        <f aca="false">SUMIFS($T147:$CA147, $T$1:$CA$1, CC$75)</f>
        <v>0</v>
      </c>
      <c r="CD147" s="79" t="n">
        <f aca="false">SUMIFS($T147:$CA147, $T$1:$CA$1, CD$75)</f>
        <v>3</v>
      </c>
      <c r="CE147" s="79" t="n">
        <f aca="false">SUMIFS($T147:$CA147, $T$1:$CA$1, CE$75)</f>
        <v>3</v>
      </c>
      <c r="CF147" s="79" t="n">
        <f aca="false">SUMIFS($T147:$CA147, $T$1:$CA$1, CF$75)</f>
        <v>0</v>
      </c>
      <c r="CG147" s="79" t="n">
        <f aca="false">SUMIFS($T147:$CA147, $T$1:$CA$1, CG$75)</f>
        <v>0</v>
      </c>
      <c r="CI147" s="79" t="n">
        <f aca="false">CC147=L147</f>
        <v>1</v>
      </c>
      <c r="CJ147" s="79" t="n">
        <f aca="false">CD147=M147</f>
        <v>0</v>
      </c>
      <c r="CK147" s="79" t="n">
        <f aca="false">CE147=N147</f>
        <v>0</v>
      </c>
      <c r="CL147" s="79" t="n">
        <f aca="false">CF147=O147</f>
        <v>1</v>
      </c>
      <c r="CM147" s="79" t="n">
        <f aca="false">CG147=P147</f>
        <v>1</v>
      </c>
    </row>
    <row r="148" s="14" customFormat="true" ht="16.5" hidden="false" customHeight="true" outlineLevel="0" collapsed="false">
      <c r="D148" s="134"/>
      <c r="E148" s="91"/>
      <c r="L148" s="91"/>
      <c r="M148" s="91"/>
      <c r="N148" s="91"/>
      <c r="O148" s="91"/>
      <c r="P148" s="91"/>
      <c r="Q148" s="93"/>
      <c r="R148" s="16"/>
      <c r="T148" s="135"/>
      <c r="U148" s="135"/>
      <c r="V148" s="135"/>
      <c r="W148" s="135"/>
      <c r="X148" s="135"/>
      <c r="Y148" s="135"/>
      <c r="Z148" s="135"/>
      <c r="AA148" s="135"/>
      <c r="AB148" s="135"/>
      <c r="AC148" s="135"/>
      <c r="AD148" s="135"/>
      <c r="AE148" s="135"/>
      <c r="AF148" s="135"/>
      <c r="AG148" s="135"/>
      <c r="AH148" s="135"/>
      <c r="AI148" s="135"/>
      <c r="AJ148" s="135"/>
      <c r="AK148" s="135"/>
      <c r="AL148" s="135"/>
      <c r="AM148" s="135"/>
      <c r="AN148" s="135"/>
      <c r="AO148" s="135"/>
      <c r="AP148" s="135"/>
      <c r="AQ148" s="135"/>
      <c r="AR148" s="135"/>
      <c r="AS148" s="135"/>
      <c r="AT148" s="135"/>
      <c r="AU148" s="135"/>
      <c r="AV148" s="135"/>
      <c r="AW148" s="135"/>
      <c r="AX148" s="135"/>
      <c r="AY148" s="135"/>
      <c r="AZ148" s="135"/>
      <c r="BA148" s="135"/>
      <c r="BB148" s="135"/>
      <c r="BC148" s="135"/>
      <c r="BD148" s="135"/>
      <c r="BE148" s="135"/>
      <c r="BF148" s="135"/>
      <c r="BG148" s="135"/>
      <c r="BH148" s="135"/>
      <c r="BI148" s="135"/>
      <c r="BJ148" s="135"/>
      <c r="BK148" s="135"/>
      <c r="BL148" s="135"/>
      <c r="BM148" s="135"/>
      <c r="BN148" s="135"/>
      <c r="BO148" s="135"/>
      <c r="BP148" s="135"/>
      <c r="BQ148" s="135"/>
      <c r="BR148" s="135"/>
      <c r="BS148" s="135"/>
      <c r="BT148" s="135"/>
      <c r="BU148" s="135"/>
      <c r="BV148" s="135"/>
      <c r="BW148" s="135"/>
      <c r="BX148" s="135"/>
      <c r="BY148" s="135"/>
      <c r="BZ148" s="119"/>
      <c r="CA148" s="119"/>
      <c r="CC148" s="79" t="n">
        <f aca="false">SUMIFS($T148:$CA148, $T$1:$CA$1, CC$75)</f>
        <v>0</v>
      </c>
      <c r="CD148" s="79" t="n">
        <f aca="false">SUMIFS($T148:$CA148, $T$1:$CA$1, CD$75)</f>
        <v>0</v>
      </c>
      <c r="CE148" s="79" t="n">
        <f aca="false">SUMIFS($T148:$CA148, $T$1:$CA$1, CE$75)</f>
        <v>0</v>
      </c>
      <c r="CF148" s="79" t="n">
        <f aca="false">SUMIFS($T148:$CA148, $T$1:$CA$1, CF$75)</f>
        <v>0</v>
      </c>
      <c r="CG148" s="79" t="n">
        <f aca="false">SUMIFS($T148:$CA148, $T$1:$CA$1, CG$75)</f>
        <v>0</v>
      </c>
      <c r="CI148" s="79" t="n">
        <f aca="false">CC148=L148</f>
        <v>1</v>
      </c>
      <c r="CJ148" s="79" t="n">
        <f aca="false">CD148=M148</f>
        <v>1</v>
      </c>
      <c r="CK148" s="79" t="n">
        <f aca="false">CE148=N148</f>
        <v>1</v>
      </c>
      <c r="CL148" s="79" t="n">
        <f aca="false">CF148=O148</f>
        <v>1</v>
      </c>
      <c r="CM148" s="79" t="n">
        <f aca="false">CG148=P148</f>
        <v>1</v>
      </c>
    </row>
    <row r="149" s="14" customFormat="true" ht="16.5" hidden="false" customHeight="true" outlineLevel="0" collapsed="false">
      <c r="E149" s="96" t="s">
        <v>150</v>
      </c>
      <c r="L149" s="82" t="n">
        <f aca="false">SUM(L147:L148)</f>
        <v>0</v>
      </c>
      <c r="M149" s="82" t="n">
        <f aca="false">SUM(M147:M148)</f>
        <v>5</v>
      </c>
      <c r="N149" s="82" t="n">
        <f aca="false">SUM(N147:N148)</f>
        <v>0</v>
      </c>
      <c r="O149" s="82" t="n">
        <f aca="false">SUM(O147:O148)</f>
        <v>0</v>
      </c>
      <c r="P149" s="82" t="n">
        <f aca="false">SUM(P147:P148)</f>
        <v>0</v>
      </c>
      <c r="Q149" s="16"/>
      <c r="R149" s="16"/>
      <c r="T149" s="131" t="n">
        <f aca="false">SUM(T147:T148)</f>
        <v>0</v>
      </c>
      <c r="U149" s="131" t="n">
        <f aca="false">SUM(U147:U148)</f>
        <v>0</v>
      </c>
      <c r="V149" s="131" t="n">
        <f aca="false">SUM(V147:V148)</f>
        <v>0</v>
      </c>
      <c r="W149" s="131" t="n">
        <f aca="false">SUM(W147:W148)</f>
        <v>0</v>
      </c>
      <c r="X149" s="131" t="n">
        <f aca="false">SUM(X147:X148)</f>
        <v>0</v>
      </c>
      <c r="Y149" s="131" t="n">
        <f aca="false">SUM(Y147:Y148)</f>
        <v>0</v>
      </c>
      <c r="Z149" s="131" t="n">
        <f aca="false">SUM(Z147:Z148)</f>
        <v>0</v>
      </c>
      <c r="AA149" s="131" t="n">
        <f aca="false">SUM(AA147:AA148)</f>
        <v>0</v>
      </c>
      <c r="AB149" s="131" t="n">
        <f aca="false">SUM(AB147:AB148)</f>
        <v>0</v>
      </c>
      <c r="AC149" s="131" t="n">
        <f aca="false">SUM(AC147:AC148)</f>
        <v>0</v>
      </c>
      <c r="AD149" s="131" t="n">
        <f aca="false">SUM(AD147:AD148)</f>
        <v>0</v>
      </c>
      <c r="AE149" s="131" t="n">
        <f aca="false">SUM(AE147:AE148)</f>
        <v>0</v>
      </c>
      <c r="AF149" s="131" t="n">
        <f aca="false">SUM(AF147:AF148)</f>
        <v>0.25</v>
      </c>
      <c r="AG149" s="131" t="n">
        <f aca="false">SUM(AG147:AG148)</f>
        <v>0.25</v>
      </c>
      <c r="AH149" s="131" t="n">
        <f aca="false">SUM(AH147:AH148)</f>
        <v>0.25</v>
      </c>
      <c r="AI149" s="131" t="n">
        <f aca="false">SUM(AI147:AI148)</f>
        <v>0.25</v>
      </c>
      <c r="AJ149" s="131" t="n">
        <f aca="false">SUM(AJ147:AJ148)</f>
        <v>0.25</v>
      </c>
      <c r="AK149" s="131" t="n">
        <f aca="false">SUM(AK147:AK148)</f>
        <v>0.25</v>
      </c>
      <c r="AL149" s="131" t="n">
        <f aca="false">SUM(AL147:AL148)</f>
        <v>0.25</v>
      </c>
      <c r="AM149" s="131" t="n">
        <f aca="false">SUM(AM147:AM148)</f>
        <v>0.25</v>
      </c>
      <c r="AN149" s="131" t="n">
        <f aca="false">SUM(AN147:AN148)</f>
        <v>0.25</v>
      </c>
      <c r="AO149" s="131" t="n">
        <f aca="false">SUM(AO147:AO148)</f>
        <v>0.25</v>
      </c>
      <c r="AP149" s="131" t="n">
        <f aca="false">SUM(AP147:AP148)</f>
        <v>0.25</v>
      </c>
      <c r="AQ149" s="131" t="n">
        <f aca="false">SUM(AQ147:AQ148)</f>
        <v>0.25</v>
      </c>
      <c r="AR149" s="131" t="n">
        <f aca="false">SUM(AR147:AR148)</f>
        <v>0.25</v>
      </c>
      <c r="AS149" s="131" t="n">
        <f aca="false">SUM(AS147:AS148)</f>
        <v>0.25</v>
      </c>
      <c r="AT149" s="131" t="n">
        <f aca="false">SUM(AT147:AT148)</f>
        <v>0.25</v>
      </c>
      <c r="AU149" s="131" t="n">
        <f aca="false">SUM(AU147:AU148)</f>
        <v>0.25</v>
      </c>
      <c r="AV149" s="131" t="n">
        <f aca="false">SUM(AV147:AV148)</f>
        <v>0.25</v>
      </c>
      <c r="AW149" s="131" t="n">
        <f aca="false">SUM(AW147:AW148)</f>
        <v>0.25</v>
      </c>
      <c r="AX149" s="131" t="n">
        <f aca="false">SUM(AX147:AX148)</f>
        <v>0.25</v>
      </c>
      <c r="AY149" s="131" t="n">
        <f aca="false">SUM(AY147:AY148)</f>
        <v>0.25</v>
      </c>
      <c r="AZ149" s="131" t="n">
        <f aca="false">SUM(AZ147:AZ148)</f>
        <v>0.25</v>
      </c>
      <c r="BA149" s="131" t="n">
        <f aca="false">SUM(BA147:BA148)</f>
        <v>0.25</v>
      </c>
      <c r="BB149" s="131" t="n">
        <f aca="false">SUM(BB147:BB148)</f>
        <v>0.25</v>
      </c>
      <c r="BC149" s="131" t="n">
        <f aca="false">SUM(BC147:BC148)</f>
        <v>0.25</v>
      </c>
      <c r="BD149" s="131" t="n">
        <f aca="false">SUM(BD147:BD148)</f>
        <v>0</v>
      </c>
      <c r="BE149" s="131" t="n">
        <f aca="false">SUM(BE147:BE148)</f>
        <v>0</v>
      </c>
      <c r="BF149" s="131" t="n">
        <f aca="false">SUM(BF147:BF148)</f>
        <v>0</v>
      </c>
      <c r="BG149" s="131" t="n">
        <f aca="false">SUM(BG147:BG148)</f>
        <v>0</v>
      </c>
      <c r="BH149" s="131" t="n">
        <f aca="false">SUM(BH147:BH148)</f>
        <v>0</v>
      </c>
      <c r="BI149" s="131" t="n">
        <f aca="false">SUM(BI147:BI148)</f>
        <v>0</v>
      </c>
      <c r="BJ149" s="131" t="n">
        <f aca="false">SUM(BJ147:BJ148)</f>
        <v>0</v>
      </c>
      <c r="BK149" s="131" t="n">
        <f aca="false">SUM(BK147:BK148)</f>
        <v>0</v>
      </c>
      <c r="BL149" s="131" t="n">
        <f aca="false">SUM(BL147:BL148)</f>
        <v>0</v>
      </c>
      <c r="BM149" s="131" t="n">
        <f aca="false">SUM(BM147:BM148)</f>
        <v>0</v>
      </c>
      <c r="BN149" s="131" t="n">
        <f aca="false">SUM(BN147:BN148)</f>
        <v>0</v>
      </c>
      <c r="BO149" s="131" t="n">
        <f aca="false">SUM(BO147:BO148)</f>
        <v>0</v>
      </c>
      <c r="BP149" s="131" t="n">
        <f aca="false">SUM(BP147:BP148)</f>
        <v>0</v>
      </c>
      <c r="BQ149" s="131" t="n">
        <f aca="false">SUM(BQ147:BQ148)</f>
        <v>0</v>
      </c>
      <c r="BR149" s="131" t="n">
        <f aca="false">SUM(BR147:BR148)</f>
        <v>0</v>
      </c>
      <c r="BS149" s="131" t="n">
        <f aca="false">SUM(BS147:BS148)</f>
        <v>0</v>
      </c>
      <c r="BT149" s="131" t="n">
        <f aca="false">SUM(BT147:BT148)</f>
        <v>0</v>
      </c>
      <c r="BU149" s="131" t="n">
        <f aca="false">SUM(BU147:BU148)</f>
        <v>0</v>
      </c>
      <c r="BV149" s="131" t="n">
        <f aca="false">SUM(BV147:BV148)</f>
        <v>0</v>
      </c>
      <c r="BW149" s="131" t="n">
        <f aca="false">SUM(BW147:BW148)</f>
        <v>0</v>
      </c>
      <c r="BX149" s="131" t="n">
        <f aca="false">SUM(BX147:BX148)</f>
        <v>0</v>
      </c>
      <c r="BY149" s="131" t="n">
        <f aca="false">SUM(BY147:BY148)</f>
        <v>0</v>
      </c>
      <c r="BZ149" s="136" t="n">
        <f aca="false">SUM(BZ147:BZ148)</f>
        <v>0</v>
      </c>
      <c r="CA149" s="136" t="n">
        <f aca="false">SUM(CA147:CA148)</f>
        <v>0</v>
      </c>
      <c r="CC149" s="136" t="n">
        <f aca="false">SUM(CC147:CC148)</f>
        <v>0</v>
      </c>
      <c r="CD149" s="136" t="n">
        <f aca="false">SUM(CD147:CD148)</f>
        <v>3</v>
      </c>
      <c r="CE149" s="136" t="n">
        <f aca="false">SUM(CE147:CE148)</f>
        <v>3</v>
      </c>
      <c r="CF149" s="136" t="n">
        <f aca="false">SUM(CF147:CF148)</f>
        <v>0</v>
      </c>
      <c r="CG149" s="136" t="n">
        <f aca="false">SUM(CG147:CG148)</f>
        <v>0</v>
      </c>
      <c r="CI149" s="136" t="n">
        <f aca="false">CC149=L149</f>
        <v>1</v>
      </c>
      <c r="CJ149" s="136" t="n">
        <f aca="false">CD149=M149</f>
        <v>0</v>
      </c>
      <c r="CK149" s="136" t="n">
        <f aca="false">CE149=N149</f>
        <v>0</v>
      </c>
      <c r="CL149" s="136" t="n">
        <f aca="false">CF149=O149</f>
        <v>1</v>
      </c>
      <c r="CM149" s="136" t="n">
        <f aca="false">CG149=P149</f>
        <v>1</v>
      </c>
    </row>
    <row r="150" s="14" customFormat="true" ht="16.5" hidden="false" customHeight="true" outlineLevel="0" collapsed="false">
      <c r="L150" s="88"/>
      <c r="M150" s="88"/>
      <c r="N150" s="88"/>
      <c r="O150" s="88"/>
      <c r="P150" s="88"/>
      <c r="Q150" s="16"/>
      <c r="R150" s="16"/>
      <c r="T150" s="137"/>
      <c r="U150" s="137"/>
      <c r="V150" s="137"/>
      <c r="W150" s="137"/>
      <c r="X150" s="137"/>
      <c r="Y150" s="137"/>
      <c r="Z150" s="137"/>
      <c r="AA150" s="137"/>
      <c r="AB150" s="137"/>
      <c r="AC150" s="137"/>
      <c r="AD150" s="137"/>
      <c r="AE150" s="137"/>
      <c r="AF150" s="137"/>
      <c r="AG150" s="137"/>
      <c r="AH150" s="137"/>
      <c r="AI150" s="137"/>
      <c r="AJ150" s="137"/>
      <c r="AK150" s="137"/>
      <c r="AL150" s="137"/>
      <c r="AM150" s="137"/>
      <c r="AN150" s="137"/>
      <c r="AO150" s="137"/>
      <c r="AP150" s="137"/>
      <c r="AQ150" s="137"/>
      <c r="AR150" s="137"/>
      <c r="AS150" s="137"/>
      <c r="AT150" s="137"/>
      <c r="AU150" s="137"/>
      <c r="AV150" s="137"/>
      <c r="AW150" s="137"/>
      <c r="AX150" s="137"/>
      <c r="AY150" s="137"/>
      <c r="AZ150" s="137"/>
      <c r="BA150" s="137"/>
      <c r="BB150" s="137"/>
      <c r="BC150" s="137"/>
      <c r="BD150" s="137"/>
      <c r="BE150" s="137"/>
      <c r="BF150" s="137"/>
      <c r="BG150" s="137"/>
      <c r="BH150" s="137"/>
      <c r="BI150" s="137"/>
      <c r="BJ150" s="137"/>
      <c r="BK150" s="137"/>
      <c r="BL150" s="137"/>
      <c r="BM150" s="137"/>
      <c r="BN150" s="137"/>
      <c r="BO150" s="137"/>
      <c r="BP150" s="137"/>
      <c r="BQ150" s="137"/>
      <c r="BR150" s="137"/>
      <c r="BS150" s="137"/>
      <c r="BT150" s="137"/>
      <c r="BU150" s="137"/>
      <c r="BV150" s="137"/>
      <c r="BW150" s="137"/>
      <c r="BX150" s="137"/>
      <c r="BY150" s="137"/>
      <c r="BZ150" s="121"/>
      <c r="CA150" s="121"/>
    </row>
    <row r="151" s="14" customFormat="true" ht="16.5" hidden="false" customHeight="true" outlineLevel="0" collapsed="false">
      <c r="E151" s="21" t="s">
        <v>151</v>
      </c>
      <c r="L151" s="88"/>
      <c r="M151" s="88"/>
      <c r="N151" s="88"/>
      <c r="O151" s="88"/>
      <c r="P151" s="88"/>
      <c r="Q151" s="16"/>
      <c r="R151" s="16"/>
      <c r="T151" s="137"/>
      <c r="U151" s="137"/>
      <c r="V151" s="137"/>
      <c r="W151" s="137"/>
      <c r="X151" s="137"/>
      <c r="Y151" s="137"/>
      <c r="Z151" s="137"/>
      <c r="AA151" s="137"/>
      <c r="AB151" s="137"/>
      <c r="AC151" s="137"/>
      <c r="AD151" s="137"/>
      <c r="AE151" s="137"/>
      <c r="AF151" s="137"/>
      <c r="AG151" s="137"/>
      <c r="AH151" s="137"/>
      <c r="AI151" s="137"/>
      <c r="AJ151" s="137"/>
      <c r="AK151" s="137"/>
      <c r="AL151" s="137"/>
      <c r="AM151" s="137"/>
      <c r="AN151" s="137"/>
      <c r="AO151" s="137"/>
      <c r="AP151" s="137"/>
      <c r="AQ151" s="137"/>
      <c r="AR151" s="137"/>
      <c r="AS151" s="137"/>
      <c r="AT151" s="137"/>
      <c r="AU151" s="137"/>
      <c r="AV151" s="137"/>
      <c r="AW151" s="137"/>
      <c r="AX151" s="137"/>
      <c r="AY151" s="137"/>
      <c r="AZ151" s="137"/>
      <c r="BA151" s="137"/>
      <c r="BB151" s="137"/>
      <c r="BC151" s="137"/>
      <c r="BD151" s="137"/>
      <c r="BE151" s="137"/>
      <c r="BF151" s="137"/>
      <c r="BG151" s="137"/>
      <c r="BH151" s="137"/>
      <c r="BI151" s="137"/>
      <c r="BJ151" s="137"/>
      <c r="BK151" s="137"/>
      <c r="BL151" s="137"/>
      <c r="BM151" s="137"/>
      <c r="BN151" s="137"/>
      <c r="BO151" s="137"/>
      <c r="BP151" s="137"/>
      <c r="BQ151" s="137"/>
      <c r="BR151" s="137"/>
      <c r="BS151" s="137"/>
      <c r="BT151" s="137"/>
      <c r="BU151" s="137"/>
      <c r="BV151" s="137"/>
      <c r="BW151" s="137"/>
      <c r="BX151" s="137"/>
      <c r="BY151" s="137"/>
      <c r="BZ151" s="121"/>
      <c r="CA151" s="121"/>
    </row>
    <row r="152" s="14" customFormat="true" ht="16.5" hidden="false" customHeight="true" outlineLevel="0" collapsed="false">
      <c r="E152" s="91"/>
      <c r="L152" s="91"/>
      <c r="M152" s="91"/>
      <c r="N152" s="91"/>
      <c r="O152" s="91"/>
      <c r="P152" s="91"/>
      <c r="Q152" s="93"/>
      <c r="R152" s="16"/>
      <c r="T152" s="135"/>
      <c r="U152" s="135"/>
      <c r="V152" s="135"/>
      <c r="W152" s="135"/>
      <c r="X152" s="135"/>
      <c r="Y152" s="135"/>
      <c r="Z152" s="135"/>
      <c r="AA152" s="135"/>
      <c r="AB152" s="135"/>
      <c r="AC152" s="135"/>
      <c r="AD152" s="135"/>
      <c r="AE152" s="135"/>
      <c r="AF152" s="135"/>
      <c r="AG152" s="135"/>
      <c r="AH152" s="135"/>
      <c r="AI152" s="135"/>
      <c r="AJ152" s="135"/>
      <c r="AK152" s="135"/>
      <c r="AL152" s="135"/>
      <c r="AM152" s="135"/>
      <c r="AN152" s="135"/>
      <c r="AO152" s="135"/>
      <c r="AP152" s="135"/>
      <c r="AQ152" s="135"/>
      <c r="AR152" s="135"/>
      <c r="AS152" s="135"/>
      <c r="AT152" s="135"/>
      <c r="AU152" s="135"/>
      <c r="AV152" s="135"/>
      <c r="AW152" s="135"/>
      <c r="AX152" s="135"/>
      <c r="AY152" s="135"/>
      <c r="AZ152" s="135"/>
      <c r="BA152" s="135"/>
      <c r="BB152" s="135"/>
      <c r="BC152" s="135"/>
      <c r="BD152" s="135"/>
      <c r="BE152" s="135"/>
      <c r="BF152" s="135"/>
      <c r="BG152" s="135"/>
      <c r="BH152" s="135"/>
      <c r="BI152" s="135"/>
      <c r="BJ152" s="135"/>
      <c r="BK152" s="135"/>
      <c r="BL152" s="135"/>
      <c r="BM152" s="135"/>
      <c r="BN152" s="135"/>
      <c r="BO152" s="135"/>
      <c r="BP152" s="135"/>
      <c r="BQ152" s="135"/>
      <c r="BR152" s="135"/>
      <c r="BS152" s="135"/>
      <c r="BT152" s="135"/>
      <c r="BU152" s="135"/>
      <c r="BV152" s="135"/>
      <c r="BW152" s="135"/>
      <c r="BX152" s="135"/>
      <c r="BY152" s="135"/>
      <c r="BZ152" s="138"/>
      <c r="CA152" s="138"/>
      <c r="CC152" s="79" t="n">
        <f aca="false">SUMIFS($T152:$CA152, $T$1:$CA$1, CC$75)</f>
        <v>0</v>
      </c>
      <c r="CD152" s="79" t="n">
        <f aca="false">SUMIFS($T152:$CA152, $T$1:$CA$1, CD$75)</f>
        <v>0</v>
      </c>
      <c r="CE152" s="79" t="n">
        <f aca="false">SUMIFS($T152:$CA152, $T$1:$CA$1, CE$75)</f>
        <v>0</v>
      </c>
      <c r="CF152" s="79" t="n">
        <f aca="false">SUMIFS($T152:$CA152, $T$1:$CA$1, CF$75)</f>
        <v>0</v>
      </c>
      <c r="CG152" s="79" t="n">
        <f aca="false">SUMIFS($T152:$CA152, $T$1:$CA$1, CG$75)</f>
        <v>0</v>
      </c>
      <c r="CI152" s="79" t="n">
        <f aca="false">CC152=L152</f>
        <v>1</v>
      </c>
      <c r="CJ152" s="79" t="n">
        <f aca="false">CD152=M152</f>
        <v>1</v>
      </c>
      <c r="CK152" s="79" t="n">
        <f aca="false">CE152=N152</f>
        <v>1</v>
      </c>
      <c r="CL152" s="79" t="n">
        <f aca="false">CF152=O152</f>
        <v>1</v>
      </c>
      <c r="CM152" s="79" t="n">
        <f aca="false">CG152=P152</f>
        <v>1</v>
      </c>
    </row>
    <row r="153" s="14" customFormat="true" ht="16.5" hidden="false" customHeight="true" outlineLevel="0" collapsed="false">
      <c r="E153" s="91"/>
      <c r="L153" s="91"/>
      <c r="M153" s="91"/>
      <c r="N153" s="91"/>
      <c r="O153" s="91"/>
      <c r="P153" s="91"/>
      <c r="Q153" s="93"/>
      <c r="R153" s="16"/>
      <c r="T153" s="135"/>
      <c r="U153" s="135"/>
      <c r="V153" s="135"/>
      <c r="W153" s="135"/>
      <c r="X153" s="135"/>
      <c r="Y153" s="135"/>
      <c r="Z153" s="135"/>
      <c r="AA153" s="135"/>
      <c r="AB153" s="135"/>
      <c r="AC153" s="135"/>
      <c r="AD153" s="135"/>
      <c r="AE153" s="135"/>
      <c r="AF153" s="135"/>
      <c r="AG153" s="135"/>
      <c r="AH153" s="135"/>
      <c r="AI153" s="135"/>
      <c r="AJ153" s="135"/>
      <c r="AK153" s="135"/>
      <c r="AL153" s="135"/>
      <c r="AM153" s="135"/>
      <c r="AN153" s="135"/>
      <c r="AO153" s="135"/>
      <c r="AP153" s="135"/>
      <c r="AQ153" s="135"/>
      <c r="AR153" s="135"/>
      <c r="AS153" s="135"/>
      <c r="AT153" s="135"/>
      <c r="AU153" s="135"/>
      <c r="AV153" s="135"/>
      <c r="AW153" s="135"/>
      <c r="AX153" s="135"/>
      <c r="AY153" s="135"/>
      <c r="AZ153" s="135"/>
      <c r="BA153" s="135"/>
      <c r="BB153" s="135"/>
      <c r="BC153" s="135"/>
      <c r="BD153" s="135"/>
      <c r="BE153" s="135"/>
      <c r="BF153" s="135"/>
      <c r="BG153" s="135"/>
      <c r="BH153" s="135"/>
      <c r="BI153" s="135"/>
      <c r="BJ153" s="135"/>
      <c r="BK153" s="135"/>
      <c r="BL153" s="135"/>
      <c r="BM153" s="135"/>
      <c r="BN153" s="135"/>
      <c r="BO153" s="135"/>
      <c r="BP153" s="135"/>
      <c r="BQ153" s="135"/>
      <c r="BR153" s="135"/>
      <c r="BS153" s="135"/>
      <c r="BT153" s="135"/>
      <c r="BU153" s="135"/>
      <c r="BV153" s="135"/>
      <c r="BW153" s="135"/>
      <c r="BX153" s="135"/>
      <c r="BY153" s="135"/>
      <c r="BZ153" s="138"/>
      <c r="CA153" s="138"/>
      <c r="CC153" s="79" t="n">
        <f aca="false">SUMIFS($T153:$CA153, $T$1:$CA$1, CC$75)</f>
        <v>0</v>
      </c>
      <c r="CD153" s="79" t="n">
        <f aca="false">SUMIFS($T153:$CA153, $T$1:$CA$1, CD$75)</f>
        <v>0</v>
      </c>
      <c r="CE153" s="79" t="n">
        <f aca="false">SUMIFS($T153:$CA153, $T$1:$CA$1, CE$75)</f>
        <v>0</v>
      </c>
      <c r="CF153" s="79" t="n">
        <f aca="false">SUMIFS($T153:$CA153, $T$1:$CA$1, CF$75)</f>
        <v>0</v>
      </c>
      <c r="CG153" s="79" t="n">
        <f aca="false">SUMIFS($T153:$CA153, $T$1:$CA$1, CG$75)</f>
        <v>0</v>
      </c>
      <c r="CI153" s="79" t="n">
        <f aca="false">CC153=L153</f>
        <v>1</v>
      </c>
      <c r="CJ153" s="79" t="n">
        <f aca="false">CD153=M153</f>
        <v>1</v>
      </c>
      <c r="CK153" s="79" t="n">
        <f aca="false">CE153=N153</f>
        <v>1</v>
      </c>
      <c r="CL153" s="79" t="n">
        <f aca="false">CF153=O153</f>
        <v>1</v>
      </c>
      <c r="CM153" s="79" t="n">
        <f aca="false">CG153=P153</f>
        <v>1</v>
      </c>
    </row>
    <row r="154" s="14" customFormat="true" ht="16.5" hidden="false" customHeight="true" outlineLevel="0" collapsed="false">
      <c r="E154" s="91"/>
      <c r="L154" s="91"/>
      <c r="M154" s="91"/>
      <c r="N154" s="91"/>
      <c r="O154" s="91"/>
      <c r="P154" s="91"/>
      <c r="Q154" s="93"/>
      <c r="R154" s="16"/>
      <c r="T154" s="135"/>
      <c r="U154" s="135"/>
      <c r="V154" s="135"/>
      <c r="W154" s="135"/>
      <c r="X154" s="135"/>
      <c r="Y154" s="135"/>
      <c r="Z154" s="135"/>
      <c r="AA154" s="135"/>
      <c r="AB154" s="135"/>
      <c r="AC154" s="135"/>
      <c r="AD154" s="135"/>
      <c r="AE154" s="135"/>
      <c r="AF154" s="135"/>
      <c r="AG154" s="135"/>
      <c r="AH154" s="135"/>
      <c r="AI154" s="135"/>
      <c r="AJ154" s="135"/>
      <c r="AK154" s="135"/>
      <c r="AL154" s="135"/>
      <c r="AM154" s="135"/>
      <c r="AN154" s="135"/>
      <c r="AO154" s="135"/>
      <c r="AP154" s="135"/>
      <c r="AQ154" s="135"/>
      <c r="AR154" s="135"/>
      <c r="AS154" s="135"/>
      <c r="AT154" s="135"/>
      <c r="AU154" s="135"/>
      <c r="AV154" s="135"/>
      <c r="AW154" s="135"/>
      <c r="AX154" s="135"/>
      <c r="AY154" s="135"/>
      <c r="AZ154" s="135"/>
      <c r="BA154" s="135"/>
      <c r="BB154" s="135"/>
      <c r="BC154" s="135"/>
      <c r="BD154" s="135"/>
      <c r="BE154" s="135"/>
      <c r="BF154" s="135"/>
      <c r="BG154" s="135"/>
      <c r="BH154" s="135"/>
      <c r="BI154" s="135"/>
      <c r="BJ154" s="135"/>
      <c r="BK154" s="135"/>
      <c r="BL154" s="135"/>
      <c r="BM154" s="135"/>
      <c r="BN154" s="135"/>
      <c r="BO154" s="135"/>
      <c r="BP154" s="135"/>
      <c r="BQ154" s="135"/>
      <c r="BR154" s="135"/>
      <c r="BS154" s="135"/>
      <c r="BT154" s="135"/>
      <c r="BU154" s="135"/>
      <c r="BV154" s="135"/>
      <c r="BW154" s="135"/>
      <c r="BX154" s="135"/>
      <c r="BY154" s="135"/>
      <c r="BZ154" s="138"/>
      <c r="CA154" s="138"/>
      <c r="CC154" s="79" t="n">
        <f aca="false">SUMIFS($T154:$CA154, $T$1:$CA$1, CC$75)</f>
        <v>0</v>
      </c>
      <c r="CD154" s="79" t="n">
        <f aca="false">SUMIFS($T154:$CA154, $T$1:$CA$1, CD$75)</f>
        <v>0</v>
      </c>
      <c r="CE154" s="79" t="n">
        <f aca="false">SUMIFS($T154:$CA154, $T$1:$CA$1, CE$75)</f>
        <v>0</v>
      </c>
      <c r="CF154" s="79" t="n">
        <f aca="false">SUMIFS($T154:$CA154, $T$1:$CA$1, CF$75)</f>
        <v>0</v>
      </c>
      <c r="CG154" s="79" t="n">
        <f aca="false">SUMIFS($T154:$CA154, $T$1:$CA$1, CG$75)</f>
        <v>0</v>
      </c>
      <c r="CI154" s="79" t="n">
        <f aca="false">CC154=L154</f>
        <v>1</v>
      </c>
      <c r="CJ154" s="79" t="n">
        <f aca="false">CD154=M154</f>
        <v>1</v>
      </c>
      <c r="CK154" s="79" t="n">
        <f aca="false">CE154=N154</f>
        <v>1</v>
      </c>
      <c r="CL154" s="79" t="n">
        <f aca="false">CF154=O154</f>
        <v>1</v>
      </c>
      <c r="CM154" s="79" t="n">
        <f aca="false">CG154=P154</f>
        <v>1</v>
      </c>
    </row>
    <row r="155" s="14" customFormat="true" ht="16.5" hidden="false" customHeight="true" outlineLevel="0" collapsed="false">
      <c r="E155" s="96" t="s">
        <v>152</v>
      </c>
      <c r="L155" s="82" t="n">
        <f aca="false">SUM(L152:L154)</f>
        <v>0</v>
      </c>
      <c r="M155" s="82" t="n">
        <f aca="false">SUM(M152:M154)</f>
        <v>0</v>
      </c>
      <c r="N155" s="82" t="n">
        <f aca="false">SUM(N152:N154)</f>
        <v>0</v>
      </c>
      <c r="O155" s="82" t="n">
        <f aca="false">SUM(O152:O154)</f>
        <v>0</v>
      </c>
      <c r="P155" s="82" t="n">
        <f aca="false">SUM(P152:P154)</f>
        <v>0</v>
      </c>
      <c r="Q155" s="16"/>
      <c r="R155" s="16"/>
      <c r="T155" s="131" t="n">
        <f aca="false">SUM(T152:T154)</f>
        <v>0</v>
      </c>
      <c r="U155" s="131" t="n">
        <f aca="false">SUM(U152:U154)</f>
        <v>0</v>
      </c>
      <c r="V155" s="131" t="n">
        <f aca="false">SUM(V152:V154)</f>
        <v>0</v>
      </c>
      <c r="W155" s="131" t="n">
        <f aca="false">SUM(W152:W154)</f>
        <v>0</v>
      </c>
      <c r="X155" s="131" t="n">
        <f aca="false">SUM(X152:X154)</f>
        <v>0</v>
      </c>
      <c r="Y155" s="131" t="n">
        <f aca="false">SUM(Y152:Y154)</f>
        <v>0</v>
      </c>
      <c r="Z155" s="131" t="n">
        <f aca="false">SUM(Z152:Z154)</f>
        <v>0</v>
      </c>
      <c r="AA155" s="131" t="n">
        <f aca="false">SUM(AA152:AA154)</f>
        <v>0</v>
      </c>
      <c r="AB155" s="131" t="n">
        <f aca="false">SUM(AB152:AB154)</f>
        <v>0</v>
      </c>
      <c r="AC155" s="131" t="n">
        <f aca="false">SUM(AC152:AC154)</f>
        <v>0</v>
      </c>
      <c r="AD155" s="131" t="n">
        <f aca="false">SUM(AD152:AD154)</f>
        <v>0</v>
      </c>
      <c r="AE155" s="131" t="n">
        <f aca="false">SUM(AE152:AE154)</f>
        <v>0</v>
      </c>
      <c r="AF155" s="131" t="n">
        <f aca="false">SUM(AF152:AF154)</f>
        <v>0</v>
      </c>
      <c r="AG155" s="131" t="n">
        <f aca="false">SUM(AG152:AG154)</f>
        <v>0</v>
      </c>
      <c r="AH155" s="131" t="n">
        <f aca="false">SUM(AH152:AH154)</f>
        <v>0</v>
      </c>
      <c r="AI155" s="131" t="n">
        <f aca="false">SUM(AI152:AI154)</f>
        <v>0</v>
      </c>
      <c r="AJ155" s="131" t="n">
        <f aca="false">SUM(AJ152:AJ154)</f>
        <v>0</v>
      </c>
      <c r="AK155" s="131" t="n">
        <f aca="false">SUM(AK152:AK154)</f>
        <v>0</v>
      </c>
      <c r="AL155" s="131" t="n">
        <f aca="false">SUM(AL152:AL154)</f>
        <v>0</v>
      </c>
      <c r="AM155" s="131" t="n">
        <f aca="false">SUM(AM152:AM154)</f>
        <v>0</v>
      </c>
      <c r="AN155" s="131" t="n">
        <f aca="false">SUM(AN152:AN154)</f>
        <v>0</v>
      </c>
      <c r="AO155" s="131" t="n">
        <f aca="false">SUM(AO152:AO154)</f>
        <v>0</v>
      </c>
      <c r="AP155" s="131" t="n">
        <f aca="false">SUM(AP152:AP154)</f>
        <v>0</v>
      </c>
      <c r="AQ155" s="131" t="n">
        <f aca="false">SUM(AQ152:AQ154)</f>
        <v>0</v>
      </c>
      <c r="AR155" s="131" t="n">
        <f aca="false">SUM(AR152:AR154)</f>
        <v>0</v>
      </c>
      <c r="AS155" s="131" t="n">
        <f aca="false">SUM(AS152:AS154)</f>
        <v>0</v>
      </c>
      <c r="AT155" s="131" t="n">
        <f aca="false">SUM(AT152:AT154)</f>
        <v>0</v>
      </c>
      <c r="AU155" s="131" t="n">
        <f aca="false">SUM(AU152:AU154)</f>
        <v>0</v>
      </c>
      <c r="AV155" s="131" t="n">
        <f aca="false">SUM(AV152:AV154)</f>
        <v>0</v>
      </c>
      <c r="AW155" s="131" t="n">
        <f aca="false">SUM(AW152:AW154)</f>
        <v>0</v>
      </c>
      <c r="AX155" s="131" t="n">
        <f aca="false">SUM(AX152:AX154)</f>
        <v>0</v>
      </c>
      <c r="AY155" s="131" t="n">
        <f aca="false">SUM(AY152:AY154)</f>
        <v>0</v>
      </c>
      <c r="AZ155" s="131" t="n">
        <f aca="false">SUM(AZ152:AZ154)</f>
        <v>0</v>
      </c>
      <c r="BA155" s="131" t="n">
        <f aca="false">SUM(BA152:BA154)</f>
        <v>0</v>
      </c>
      <c r="BB155" s="131" t="n">
        <f aca="false">SUM(BB152:BB154)</f>
        <v>0</v>
      </c>
      <c r="BC155" s="131" t="n">
        <f aca="false">SUM(BC152:BC154)</f>
        <v>0</v>
      </c>
      <c r="BD155" s="131" t="n">
        <f aca="false">SUM(BD152:BD154)</f>
        <v>0</v>
      </c>
      <c r="BE155" s="131" t="n">
        <f aca="false">SUM(BE152:BE154)</f>
        <v>0</v>
      </c>
      <c r="BF155" s="131" t="n">
        <f aca="false">SUM(BF152:BF154)</f>
        <v>0</v>
      </c>
      <c r="BG155" s="131" t="n">
        <f aca="false">SUM(BG152:BG154)</f>
        <v>0</v>
      </c>
      <c r="BH155" s="131" t="n">
        <f aca="false">SUM(BH152:BH154)</f>
        <v>0</v>
      </c>
      <c r="BI155" s="131" t="n">
        <f aca="false">SUM(BI152:BI154)</f>
        <v>0</v>
      </c>
      <c r="BJ155" s="131" t="n">
        <f aca="false">SUM(BJ152:BJ154)</f>
        <v>0</v>
      </c>
      <c r="BK155" s="131" t="n">
        <f aca="false">SUM(BK152:BK154)</f>
        <v>0</v>
      </c>
      <c r="BL155" s="131" t="n">
        <f aca="false">SUM(BL152:BL154)</f>
        <v>0</v>
      </c>
      <c r="BM155" s="131" t="n">
        <f aca="false">SUM(BM152:BM154)</f>
        <v>0</v>
      </c>
      <c r="BN155" s="131" t="n">
        <f aca="false">SUM(BN152:BN154)</f>
        <v>0</v>
      </c>
      <c r="BO155" s="131" t="n">
        <f aca="false">SUM(BO152:BO154)</f>
        <v>0</v>
      </c>
      <c r="BP155" s="131" t="n">
        <f aca="false">SUM(BP152:BP154)</f>
        <v>0</v>
      </c>
      <c r="BQ155" s="131" t="n">
        <f aca="false">SUM(BQ152:BQ154)</f>
        <v>0</v>
      </c>
      <c r="BR155" s="131" t="n">
        <f aca="false">SUM(BR152:BR154)</f>
        <v>0</v>
      </c>
      <c r="BS155" s="131" t="n">
        <f aca="false">SUM(BS152:BS154)</f>
        <v>0</v>
      </c>
      <c r="BT155" s="131" t="n">
        <f aca="false">SUM(BT152:BT154)</f>
        <v>0</v>
      </c>
      <c r="BU155" s="131" t="n">
        <f aca="false">SUM(BU152:BU154)</f>
        <v>0</v>
      </c>
      <c r="BV155" s="131" t="n">
        <f aca="false">SUM(BV152:BV154)</f>
        <v>0</v>
      </c>
      <c r="BW155" s="131" t="n">
        <f aca="false">SUM(BW152:BW154)</f>
        <v>0</v>
      </c>
      <c r="BX155" s="131" t="n">
        <f aca="false">SUM(BX152:BX154)</f>
        <v>0</v>
      </c>
      <c r="BY155" s="131" t="n">
        <f aca="false">SUM(BY152:BY154)</f>
        <v>0</v>
      </c>
      <c r="BZ155" s="136" t="n">
        <f aca="false">SUM(BZ152:BZ154)</f>
        <v>0</v>
      </c>
      <c r="CA155" s="136" t="n">
        <f aca="false">SUM(CA152:CA154)</f>
        <v>0</v>
      </c>
      <c r="CC155" s="136" t="n">
        <f aca="false">SUM(CC152:CC154)</f>
        <v>0</v>
      </c>
      <c r="CD155" s="136" t="n">
        <f aca="false">SUM(CD152:CD154)</f>
        <v>0</v>
      </c>
      <c r="CE155" s="136" t="n">
        <f aca="false">SUM(CE152:CE154)</f>
        <v>0</v>
      </c>
      <c r="CF155" s="136" t="n">
        <f aca="false">SUM(CF152:CF154)</f>
        <v>0</v>
      </c>
      <c r="CG155" s="136" t="n">
        <f aca="false">SUM(CG152:CG154)</f>
        <v>0</v>
      </c>
      <c r="CI155" s="136" t="n">
        <f aca="false">CC155=L155</f>
        <v>1</v>
      </c>
      <c r="CJ155" s="136" t="n">
        <f aca="false">CD155=M155</f>
        <v>1</v>
      </c>
      <c r="CK155" s="136" t="n">
        <f aca="false">CE155=N155</f>
        <v>1</v>
      </c>
      <c r="CL155" s="136" t="n">
        <f aca="false">CF155=O155</f>
        <v>1</v>
      </c>
      <c r="CM155" s="136" t="n">
        <f aca="false">CG155=P155</f>
        <v>1</v>
      </c>
    </row>
    <row r="156" s="14" customFormat="true" ht="16.5" hidden="false" customHeight="true" outlineLevel="0" collapsed="false">
      <c r="E156" s="96"/>
      <c r="L156" s="82"/>
      <c r="M156" s="82"/>
      <c r="N156" s="82"/>
      <c r="O156" s="82"/>
      <c r="P156" s="82"/>
      <c r="Q156" s="16"/>
      <c r="R156" s="16"/>
      <c r="T156" s="131"/>
      <c r="U156" s="131"/>
      <c r="V156" s="131"/>
      <c r="W156" s="131"/>
      <c r="X156" s="131"/>
      <c r="Y156" s="131"/>
      <c r="Z156" s="131"/>
      <c r="AA156" s="131"/>
      <c r="AB156" s="131"/>
      <c r="AC156" s="131"/>
      <c r="AD156" s="131"/>
      <c r="AE156" s="131"/>
      <c r="AF156" s="131"/>
      <c r="AG156" s="131"/>
      <c r="AH156" s="131"/>
      <c r="AI156" s="131"/>
      <c r="AJ156" s="131"/>
      <c r="AK156" s="131"/>
      <c r="AL156" s="131"/>
      <c r="AM156" s="131"/>
      <c r="AN156" s="131"/>
      <c r="AO156" s="131"/>
      <c r="AP156" s="131"/>
      <c r="AQ156" s="131"/>
      <c r="AR156" s="131"/>
      <c r="AS156" s="131"/>
      <c r="AT156" s="131"/>
      <c r="AU156" s="131"/>
      <c r="AV156" s="131"/>
      <c r="AW156" s="131"/>
      <c r="AX156" s="131"/>
      <c r="AY156" s="131"/>
      <c r="AZ156" s="131"/>
      <c r="BA156" s="131"/>
      <c r="BB156" s="131"/>
      <c r="BC156" s="131"/>
      <c r="BD156" s="131"/>
      <c r="BE156" s="131"/>
      <c r="BF156" s="131"/>
      <c r="BG156" s="131"/>
      <c r="BH156" s="131"/>
      <c r="BI156" s="131"/>
      <c r="BJ156" s="131"/>
      <c r="BK156" s="131"/>
      <c r="BL156" s="131"/>
      <c r="BM156" s="131"/>
      <c r="BN156" s="131"/>
      <c r="BO156" s="131"/>
      <c r="BP156" s="131"/>
      <c r="BQ156" s="131"/>
      <c r="BR156" s="131"/>
      <c r="BS156" s="131"/>
      <c r="BT156" s="131"/>
      <c r="BU156" s="131"/>
      <c r="BV156" s="131"/>
      <c r="BW156" s="131"/>
      <c r="BX156" s="131"/>
      <c r="BY156" s="131"/>
      <c r="BZ156" s="136"/>
      <c r="CA156" s="136"/>
    </row>
    <row r="157" s="14" customFormat="true" ht="16.5" hidden="false" customHeight="true" outlineLevel="0" collapsed="false">
      <c r="E157" s="109" t="s">
        <v>153</v>
      </c>
      <c r="F157" s="109"/>
      <c r="G157" s="109"/>
      <c r="H157" s="109"/>
      <c r="I157" s="132"/>
      <c r="J157" s="132"/>
      <c r="K157" s="132"/>
      <c r="L157" s="120" t="n">
        <f aca="false">SUM(L149, L155)</f>
        <v>0</v>
      </c>
      <c r="M157" s="120" t="n">
        <f aca="false">SUM(M149, M155)</f>
        <v>5</v>
      </c>
      <c r="N157" s="120" t="n">
        <f aca="false">SUM(N149, N155)</f>
        <v>0</v>
      </c>
      <c r="O157" s="120" t="n">
        <f aca="false">SUM(O149, O155)</f>
        <v>0</v>
      </c>
      <c r="P157" s="120" t="n">
        <f aca="false">SUM(P149, P155)</f>
        <v>0</v>
      </c>
      <c r="Q157" s="139"/>
      <c r="R157" s="139"/>
      <c r="T157" s="120" t="n">
        <f aca="false">SUM(T149, T155)</f>
        <v>0</v>
      </c>
      <c r="U157" s="120" t="n">
        <f aca="false">SUM(U149, U155)</f>
        <v>0</v>
      </c>
      <c r="V157" s="120" t="n">
        <f aca="false">SUM(V149, V155)</f>
        <v>0</v>
      </c>
      <c r="W157" s="120" t="n">
        <f aca="false">SUM(W149, W155)</f>
        <v>0</v>
      </c>
      <c r="X157" s="120" t="n">
        <f aca="false">SUM(X149, X155)</f>
        <v>0</v>
      </c>
      <c r="Y157" s="120" t="n">
        <f aca="false">SUM(Y149, Y155)</f>
        <v>0</v>
      </c>
      <c r="Z157" s="120" t="n">
        <f aca="false">SUM(Z149, Z155)</f>
        <v>0</v>
      </c>
      <c r="AA157" s="120" t="n">
        <f aca="false">SUM(AA149, AA155)</f>
        <v>0</v>
      </c>
      <c r="AB157" s="120" t="n">
        <f aca="false">SUM(AB149, AB155)</f>
        <v>0</v>
      </c>
      <c r="AC157" s="120" t="n">
        <f aca="false">SUM(AC149, AC155)</f>
        <v>0</v>
      </c>
      <c r="AD157" s="120" t="n">
        <f aca="false">SUM(AD149, AD155)</f>
        <v>0</v>
      </c>
      <c r="AE157" s="120" t="n">
        <f aca="false">SUM(AE149, AE155)</f>
        <v>0</v>
      </c>
      <c r="AF157" s="120" t="n">
        <f aca="false">SUM(AF149, AF155)</f>
        <v>0.25</v>
      </c>
      <c r="AG157" s="120" t="n">
        <f aca="false">SUM(AG149, AG155)</f>
        <v>0.25</v>
      </c>
      <c r="AH157" s="120" t="n">
        <f aca="false">SUM(AH149, AH155)</f>
        <v>0.25</v>
      </c>
      <c r="AI157" s="120" t="n">
        <f aca="false">SUM(AI149, AI155)</f>
        <v>0.25</v>
      </c>
      <c r="AJ157" s="120" t="n">
        <f aca="false">SUM(AJ149, AJ155)</f>
        <v>0.25</v>
      </c>
      <c r="AK157" s="120" t="n">
        <f aca="false">SUM(AK149, AK155)</f>
        <v>0.25</v>
      </c>
      <c r="AL157" s="120" t="n">
        <f aca="false">SUM(AL149, AL155)</f>
        <v>0.25</v>
      </c>
      <c r="AM157" s="120" t="n">
        <f aca="false">SUM(AM149, AM155)</f>
        <v>0.25</v>
      </c>
      <c r="AN157" s="120" t="n">
        <f aca="false">SUM(AN149, AN155)</f>
        <v>0.25</v>
      </c>
      <c r="AO157" s="120" t="n">
        <f aca="false">SUM(AO149, AO155)</f>
        <v>0.25</v>
      </c>
      <c r="AP157" s="120" t="n">
        <f aca="false">SUM(AP149, AP155)</f>
        <v>0.25</v>
      </c>
      <c r="AQ157" s="120" t="n">
        <f aca="false">SUM(AQ149, AQ155)</f>
        <v>0.25</v>
      </c>
      <c r="AR157" s="120" t="n">
        <f aca="false">SUM(AR149, AR155)</f>
        <v>0.25</v>
      </c>
      <c r="AS157" s="120" t="n">
        <f aca="false">SUM(AS149, AS155)</f>
        <v>0.25</v>
      </c>
      <c r="AT157" s="120" t="n">
        <f aca="false">SUM(AT149, AT155)</f>
        <v>0.25</v>
      </c>
      <c r="AU157" s="120" t="n">
        <f aca="false">SUM(AU149, AU155)</f>
        <v>0.25</v>
      </c>
      <c r="AV157" s="120" t="n">
        <f aca="false">SUM(AV149, AV155)</f>
        <v>0.25</v>
      </c>
      <c r="AW157" s="120" t="n">
        <f aca="false">SUM(AW149, AW155)</f>
        <v>0.25</v>
      </c>
      <c r="AX157" s="120" t="n">
        <f aca="false">SUM(AX149, AX155)</f>
        <v>0.25</v>
      </c>
      <c r="AY157" s="120" t="n">
        <f aca="false">SUM(AY149, AY155)</f>
        <v>0.25</v>
      </c>
      <c r="AZ157" s="120" t="n">
        <f aca="false">SUM(AZ149, AZ155)</f>
        <v>0.25</v>
      </c>
      <c r="BA157" s="120" t="n">
        <f aca="false">SUM(BA149, BA155)</f>
        <v>0.25</v>
      </c>
      <c r="BB157" s="120" t="n">
        <f aca="false">SUM(BB149, BB155)</f>
        <v>0.25</v>
      </c>
      <c r="BC157" s="120" t="n">
        <f aca="false">SUM(BC149, BC155)</f>
        <v>0.25</v>
      </c>
      <c r="BD157" s="120" t="n">
        <f aca="false">SUM(BD149, BD155)</f>
        <v>0</v>
      </c>
      <c r="BE157" s="120" t="n">
        <f aca="false">SUM(BE149, BE155)</f>
        <v>0</v>
      </c>
      <c r="BF157" s="120" t="n">
        <f aca="false">SUM(BF149, BF155)</f>
        <v>0</v>
      </c>
      <c r="BG157" s="120" t="n">
        <f aca="false">SUM(BG149, BG155)</f>
        <v>0</v>
      </c>
      <c r="BH157" s="120" t="n">
        <f aca="false">SUM(BH149, BH155)</f>
        <v>0</v>
      </c>
      <c r="BI157" s="120" t="n">
        <f aca="false">SUM(BI149, BI155)</f>
        <v>0</v>
      </c>
      <c r="BJ157" s="120" t="n">
        <f aca="false">SUM(BJ149, BJ155)</f>
        <v>0</v>
      </c>
      <c r="BK157" s="120" t="n">
        <f aca="false">SUM(BK149, BK155)</f>
        <v>0</v>
      </c>
      <c r="BL157" s="120" t="n">
        <f aca="false">SUM(BL149, BL155)</f>
        <v>0</v>
      </c>
      <c r="BM157" s="120" t="n">
        <f aca="false">SUM(BM149, BM155)</f>
        <v>0</v>
      </c>
      <c r="BN157" s="120" t="n">
        <f aca="false">SUM(BN149, BN155)</f>
        <v>0</v>
      </c>
      <c r="BO157" s="120" t="n">
        <f aca="false">SUM(BO149, BO155)</f>
        <v>0</v>
      </c>
      <c r="BP157" s="120" t="n">
        <f aca="false">SUM(BP149, BP155)</f>
        <v>0</v>
      </c>
      <c r="BQ157" s="120" t="n">
        <f aca="false">SUM(BQ149, BQ155)</f>
        <v>0</v>
      </c>
      <c r="BR157" s="120" t="n">
        <f aca="false">SUM(BR149, BR155)</f>
        <v>0</v>
      </c>
      <c r="BS157" s="120" t="n">
        <f aca="false">SUM(BS149, BS155)</f>
        <v>0</v>
      </c>
      <c r="BT157" s="120" t="n">
        <f aca="false">SUM(BT149, BT155)</f>
        <v>0</v>
      </c>
      <c r="BU157" s="120" t="n">
        <f aca="false">SUM(BU149, BU155)</f>
        <v>0</v>
      </c>
      <c r="BV157" s="120" t="n">
        <f aca="false">SUM(BV149, BV155)</f>
        <v>0</v>
      </c>
      <c r="BW157" s="120" t="n">
        <f aca="false">SUM(BW149, BW155)</f>
        <v>0</v>
      </c>
      <c r="BX157" s="120" t="n">
        <f aca="false">SUM(BX149, BX155)</f>
        <v>0</v>
      </c>
      <c r="BY157" s="120" t="n">
        <f aca="false">SUM(BY149, BY155)</f>
        <v>0</v>
      </c>
      <c r="BZ157" s="120" t="n">
        <f aca="false">SUM(BZ149, BZ155)</f>
        <v>0</v>
      </c>
      <c r="CA157" s="120" t="n">
        <f aca="false">SUM(CA149, CA155)</f>
        <v>0</v>
      </c>
      <c r="CC157" s="120" t="n">
        <f aca="false">SUM(CC149, CC155)</f>
        <v>0</v>
      </c>
      <c r="CD157" s="120" t="n">
        <f aca="false">SUM(CD149, CD155)</f>
        <v>3</v>
      </c>
      <c r="CE157" s="120" t="n">
        <f aca="false">SUM(CE149, CE155)</f>
        <v>3</v>
      </c>
      <c r="CF157" s="120" t="n">
        <f aca="false">SUM(CF149, CF155)</f>
        <v>0</v>
      </c>
      <c r="CG157" s="120" t="n">
        <f aca="false">SUM(CG149, CG155)</f>
        <v>0</v>
      </c>
      <c r="CI157" s="140" t="n">
        <f aca="false">CC157=L157</f>
        <v>1</v>
      </c>
      <c r="CJ157" s="140" t="n">
        <f aca="false">CD157=M157</f>
        <v>0</v>
      </c>
      <c r="CK157" s="140" t="n">
        <f aca="false">CE157=N157</f>
        <v>0</v>
      </c>
      <c r="CL157" s="140" t="n">
        <f aca="false">CF157=O157</f>
        <v>1</v>
      </c>
      <c r="CM157" s="140" t="n">
        <f aca="false">CG157=P157</f>
        <v>1</v>
      </c>
    </row>
    <row r="158" s="14" customFormat="true" ht="16.5" hidden="false" customHeight="true" outlineLevel="0" collapsed="false">
      <c r="E158" s="21"/>
      <c r="L158" s="88"/>
      <c r="M158" s="88"/>
      <c r="N158" s="88"/>
      <c r="O158" s="88"/>
      <c r="P158" s="88"/>
      <c r="Q158" s="121"/>
      <c r="R158" s="121"/>
      <c r="T158" s="137"/>
      <c r="U158" s="137"/>
      <c r="V158" s="137"/>
      <c r="W158" s="137"/>
      <c r="X158" s="137"/>
      <c r="Y158" s="137"/>
      <c r="Z158" s="137"/>
      <c r="AA158" s="137"/>
      <c r="AB158" s="137"/>
      <c r="AC158" s="137"/>
      <c r="AD158" s="137"/>
      <c r="AE158" s="137"/>
      <c r="AF158" s="137"/>
      <c r="AG158" s="137"/>
      <c r="AH158" s="137"/>
      <c r="AI158" s="137"/>
      <c r="AJ158" s="137"/>
      <c r="AK158" s="137"/>
      <c r="AL158" s="137"/>
      <c r="AM158" s="137"/>
      <c r="AN158" s="137"/>
      <c r="AO158" s="137"/>
      <c r="AP158" s="137"/>
      <c r="AQ158" s="137"/>
      <c r="AR158" s="137"/>
      <c r="AS158" s="137"/>
      <c r="AT158" s="137"/>
      <c r="AU158" s="137"/>
      <c r="AV158" s="137"/>
      <c r="AW158" s="137"/>
      <c r="AX158" s="137"/>
      <c r="AY158" s="137"/>
      <c r="AZ158" s="137"/>
      <c r="BA158" s="137"/>
      <c r="BB158" s="137"/>
      <c r="BC158" s="137"/>
      <c r="BD158" s="137"/>
      <c r="BE158" s="137"/>
      <c r="BF158" s="137"/>
      <c r="BG158" s="137"/>
      <c r="BH158" s="137"/>
      <c r="BI158" s="137"/>
      <c r="BJ158" s="137"/>
      <c r="BK158" s="137"/>
      <c r="BL158" s="137"/>
      <c r="BM158" s="137"/>
      <c r="BN158" s="137"/>
      <c r="BO158" s="137"/>
      <c r="BP158" s="137"/>
      <c r="BQ158" s="137"/>
      <c r="BR158" s="137"/>
      <c r="BS158" s="137"/>
      <c r="BT158" s="137"/>
      <c r="BU158" s="137"/>
      <c r="BV158" s="137"/>
      <c r="BW158" s="137"/>
      <c r="BX158" s="137"/>
      <c r="BY158" s="137"/>
      <c r="BZ158" s="121"/>
      <c r="CA158" s="121"/>
    </row>
    <row r="159" s="14" customFormat="true" ht="16.5" hidden="false" customHeight="true" outlineLevel="0" collapsed="false">
      <c r="E159" s="141" t="s">
        <v>154</v>
      </c>
      <c r="F159" s="123"/>
      <c r="G159" s="123"/>
      <c r="H159" s="123"/>
      <c r="I159" s="126"/>
      <c r="J159" s="126"/>
      <c r="K159" s="142"/>
      <c r="L159" s="125" t="n">
        <f aca="false">SUM(L141, -L157)</f>
        <v>0</v>
      </c>
      <c r="M159" s="125" t="n">
        <f aca="false">SUM(M141, -M157)</f>
        <v>-5</v>
      </c>
      <c r="N159" s="125" t="n">
        <f aca="false">SUM(N141, -N157)</f>
        <v>0</v>
      </c>
      <c r="O159" s="125" t="n">
        <f aca="false">SUM(O141, -O157)</f>
        <v>0</v>
      </c>
      <c r="P159" s="125" t="n">
        <f aca="false">SUM(P141, -P157)</f>
        <v>0</v>
      </c>
      <c r="Q159" s="143"/>
      <c r="R159" s="143"/>
      <c r="T159" s="144" t="n">
        <f aca="false">SUM(T141, -T157)</f>
        <v>0</v>
      </c>
      <c r="U159" s="144" t="n">
        <f aca="false">SUM(U141, -U157)</f>
        <v>0</v>
      </c>
      <c r="V159" s="144" t="n">
        <f aca="false">SUM(V141, -V157)</f>
        <v>0</v>
      </c>
      <c r="W159" s="144" t="n">
        <f aca="false">SUM(W141, -W157)</f>
        <v>0</v>
      </c>
      <c r="X159" s="144" t="n">
        <f aca="false">SUM(X141, -X157)</f>
        <v>0</v>
      </c>
      <c r="Y159" s="144" t="n">
        <f aca="false">SUM(Y141, -Y157)</f>
        <v>0</v>
      </c>
      <c r="Z159" s="144" t="n">
        <f aca="false">SUM(Z141, -Z157)</f>
        <v>0</v>
      </c>
      <c r="AA159" s="144" t="n">
        <f aca="false">SUM(AA141, -AA157)</f>
        <v>0</v>
      </c>
      <c r="AB159" s="144" t="n">
        <f aca="false">SUM(AB141, -AB157)</f>
        <v>0</v>
      </c>
      <c r="AC159" s="144" t="n">
        <f aca="false">SUM(AC141, -AC157)</f>
        <v>0</v>
      </c>
      <c r="AD159" s="144" t="n">
        <f aca="false">SUM(AD141, -AD157)</f>
        <v>0</v>
      </c>
      <c r="AE159" s="144" t="n">
        <f aca="false">SUM(AE141, -AE157)</f>
        <v>0</v>
      </c>
      <c r="AF159" s="144" t="n">
        <f aca="false">SUM(AF141, -AF157)</f>
        <v>-0.25</v>
      </c>
      <c r="AG159" s="144" t="n">
        <f aca="false">SUM(AG141, -AG157)</f>
        <v>-0.25</v>
      </c>
      <c r="AH159" s="144" t="n">
        <f aca="false">SUM(AH141, -AH157)</f>
        <v>-0.25</v>
      </c>
      <c r="AI159" s="144" t="n">
        <f aca="false">SUM(AI141, -AI157)</f>
        <v>-0.25</v>
      </c>
      <c r="AJ159" s="144" t="n">
        <f aca="false">SUM(AJ141, -AJ157)</f>
        <v>-0.25</v>
      </c>
      <c r="AK159" s="144" t="n">
        <f aca="false">SUM(AK141, -AK157)</f>
        <v>-0.25</v>
      </c>
      <c r="AL159" s="144" t="n">
        <f aca="false">SUM(AL141, -AL157)</f>
        <v>-0.25</v>
      </c>
      <c r="AM159" s="144" t="n">
        <f aca="false">SUM(AM141, -AM157)</f>
        <v>-0.25</v>
      </c>
      <c r="AN159" s="144" t="n">
        <f aca="false">SUM(AN141, -AN157)</f>
        <v>-0.25</v>
      </c>
      <c r="AO159" s="144" t="n">
        <f aca="false">SUM(AO141, -AO157)</f>
        <v>-0.25</v>
      </c>
      <c r="AP159" s="144" t="n">
        <f aca="false">SUM(AP141, -AP157)</f>
        <v>-0.25</v>
      </c>
      <c r="AQ159" s="144" t="n">
        <f aca="false">SUM(AQ141, -AQ157)</f>
        <v>-0.25</v>
      </c>
      <c r="AR159" s="144" t="n">
        <f aca="false">SUM(AR141, -AR157)</f>
        <v>-0.25</v>
      </c>
      <c r="AS159" s="144" t="n">
        <f aca="false">SUM(AS141, -AS157)</f>
        <v>-0.25</v>
      </c>
      <c r="AT159" s="144" t="n">
        <f aca="false">SUM(AT141, -AT157)</f>
        <v>-0.25</v>
      </c>
      <c r="AU159" s="144" t="n">
        <f aca="false">SUM(AU141, -AU157)</f>
        <v>-0.25</v>
      </c>
      <c r="AV159" s="144" t="n">
        <f aca="false">SUM(AV141, -AV157)</f>
        <v>-0.25</v>
      </c>
      <c r="AW159" s="144" t="n">
        <f aca="false">SUM(AW141, -AW157)</f>
        <v>-0.25</v>
      </c>
      <c r="AX159" s="144" t="n">
        <f aca="false">SUM(AX141, -AX157)</f>
        <v>-0.25</v>
      </c>
      <c r="AY159" s="144" t="n">
        <f aca="false">SUM(AY141, -AY157)</f>
        <v>-0.25</v>
      </c>
      <c r="AZ159" s="144" t="n">
        <f aca="false">SUM(AZ141, -AZ157)</f>
        <v>-0.25</v>
      </c>
      <c r="BA159" s="144" t="n">
        <f aca="false">SUM(BA141, -BA157)</f>
        <v>-0.25</v>
      </c>
      <c r="BB159" s="144" t="n">
        <f aca="false">SUM(BB141, -BB157)</f>
        <v>-0.25</v>
      </c>
      <c r="BC159" s="144" t="n">
        <f aca="false">SUM(BC141, -BC157)</f>
        <v>-0.25</v>
      </c>
      <c r="BD159" s="144" t="n">
        <f aca="false">SUM(BD141, -BD157)</f>
        <v>0</v>
      </c>
      <c r="BE159" s="144" t="n">
        <f aca="false">SUM(BE141, -BE157)</f>
        <v>0</v>
      </c>
      <c r="BF159" s="144" t="n">
        <f aca="false">SUM(BF141, -BF157)</f>
        <v>0</v>
      </c>
      <c r="BG159" s="144" t="n">
        <f aca="false">SUM(BG141, -BG157)</f>
        <v>0</v>
      </c>
      <c r="BH159" s="144" t="n">
        <f aca="false">SUM(BH141, -BH157)</f>
        <v>0</v>
      </c>
      <c r="BI159" s="144" t="n">
        <f aca="false">SUM(BI141, -BI157)</f>
        <v>0</v>
      </c>
      <c r="BJ159" s="144" t="n">
        <f aca="false">SUM(BJ141, -BJ157)</f>
        <v>0</v>
      </c>
      <c r="BK159" s="144" t="n">
        <f aca="false">SUM(BK141, -BK157)</f>
        <v>0</v>
      </c>
      <c r="BL159" s="144" t="n">
        <f aca="false">SUM(BL141, -BL157)</f>
        <v>0</v>
      </c>
      <c r="BM159" s="144" t="n">
        <f aca="false">SUM(BM141, -BM157)</f>
        <v>0</v>
      </c>
      <c r="BN159" s="144" t="n">
        <f aca="false">SUM(BN141, -BN157)</f>
        <v>0</v>
      </c>
      <c r="BO159" s="144" t="n">
        <f aca="false">SUM(BO141, -BO157)</f>
        <v>0</v>
      </c>
      <c r="BP159" s="144" t="n">
        <f aca="false">SUM(BP141, -BP157)</f>
        <v>0</v>
      </c>
      <c r="BQ159" s="144" t="n">
        <f aca="false">SUM(BQ141, -BQ157)</f>
        <v>0</v>
      </c>
      <c r="BR159" s="144" t="n">
        <f aca="false">SUM(BR141, -BR157)</f>
        <v>0</v>
      </c>
      <c r="BS159" s="144" t="n">
        <f aca="false">SUM(BS141, -BS157)</f>
        <v>0</v>
      </c>
      <c r="BT159" s="144" t="n">
        <f aca="false">SUM(BT141, -BT157)</f>
        <v>0</v>
      </c>
      <c r="BU159" s="144" t="n">
        <f aca="false">SUM(BU141, -BU157)</f>
        <v>0</v>
      </c>
      <c r="BV159" s="144" t="n">
        <f aca="false">SUM(BV141, -BV157)</f>
        <v>0</v>
      </c>
      <c r="BW159" s="144" t="n">
        <f aca="false">SUM(BW141, -BW157)</f>
        <v>0</v>
      </c>
      <c r="BX159" s="144" t="n">
        <f aca="false">SUM(BX141, -BX157)</f>
        <v>0</v>
      </c>
      <c r="BY159" s="144" t="n">
        <f aca="false">SUM(BY141, -BY157)</f>
        <v>0</v>
      </c>
      <c r="BZ159" s="143" t="n">
        <f aca="false">SUM(BZ141, -BZ157)</f>
        <v>0</v>
      </c>
      <c r="CA159" s="143" t="n">
        <f aca="false">SUM(CA141, -CA157)</f>
        <v>0</v>
      </c>
      <c r="CC159" s="143" t="n">
        <f aca="false">SUM(CC141, -CC157)</f>
        <v>0</v>
      </c>
      <c r="CD159" s="143" t="n">
        <f aca="false">SUM(CD141, -CD157)</f>
        <v>-3</v>
      </c>
      <c r="CE159" s="143" t="n">
        <f aca="false">SUM(CE141, -CE157)</f>
        <v>-3</v>
      </c>
      <c r="CF159" s="143" t="n">
        <f aca="false">SUM(CF141, -CF157)</f>
        <v>0</v>
      </c>
      <c r="CG159" s="143" t="n">
        <f aca="false">SUM(CG141, -CG157)</f>
        <v>0</v>
      </c>
      <c r="CI159" s="143" t="n">
        <f aca="false">CC159=L159</f>
        <v>1</v>
      </c>
      <c r="CJ159" s="143" t="n">
        <f aca="false">CD159=M159</f>
        <v>0</v>
      </c>
      <c r="CK159" s="143" t="n">
        <f aca="false">CE159=N159</f>
        <v>0</v>
      </c>
      <c r="CL159" s="143" t="n">
        <f aca="false">CF159=O159</f>
        <v>1</v>
      </c>
      <c r="CM159" s="143" t="n">
        <f aca="false">CG159=P159</f>
        <v>1</v>
      </c>
    </row>
    <row r="160" s="14" customFormat="true" ht="16.5" hidden="false" customHeight="true" outlineLevel="0" collapsed="false">
      <c r="E160" s="21"/>
      <c r="H160" s="21"/>
      <c r="I160" s="21"/>
      <c r="J160" s="21"/>
      <c r="K160" s="21"/>
      <c r="L160" s="21"/>
      <c r="M160" s="21"/>
      <c r="N160" s="21"/>
      <c r="O160" s="21"/>
      <c r="P160" s="21"/>
      <c r="Q160" s="145"/>
      <c r="R160" s="145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  <c r="BL160" s="21"/>
      <c r="BM160" s="21"/>
      <c r="BN160" s="21"/>
      <c r="BO160" s="21"/>
      <c r="BP160" s="21"/>
      <c r="BQ160" s="21"/>
      <c r="BR160" s="21"/>
      <c r="BS160" s="21"/>
      <c r="BT160" s="21"/>
      <c r="BU160" s="21"/>
      <c r="BV160" s="21"/>
      <c r="BW160" s="21"/>
      <c r="BX160" s="21"/>
      <c r="BY160" s="21"/>
      <c r="BZ160" s="21"/>
      <c r="CA160" s="21"/>
    </row>
    <row r="161" s="14" customFormat="true" ht="16.5" hidden="false" customHeight="true" outlineLevel="0" collapsed="false">
      <c r="E161" s="21"/>
      <c r="H161" s="21"/>
      <c r="I161" s="21"/>
      <c r="J161" s="21"/>
      <c r="K161" s="21"/>
      <c r="L161" s="21"/>
      <c r="M161" s="21"/>
      <c r="N161" s="21"/>
      <c r="O161" s="21"/>
      <c r="P161" s="21"/>
      <c r="Q161" s="145"/>
      <c r="R161" s="145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  <c r="AZ161" s="21"/>
      <c r="BA161" s="21"/>
      <c r="BB161" s="21"/>
      <c r="BC161" s="21"/>
      <c r="BD161" s="21"/>
      <c r="BE161" s="21"/>
      <c r="BF161" s="21"/>
      <c r="BG161" s="21"/>
      <c r="BH161" s="21"/>
      <c r="BI161" s="21"/>
      <c r="BJ161" s="21"/>
      <c r="BK161" s="21"/>
      <c r="BL161" s="21"/>
      <c r="BM161" s="21"/>
      <c r="BN161" s="21"/>
      <c r="BO161" s="21"/>
      <c r="BP161" s="21"/>
      <c r="BQ161" s="21"/>
      <c r="BR161" s="21"/>
      <c r="BS161" s="21"/>
      <c r="BT161" s="21"/>
      <c r="BU161" s="21"/>
      <c r="BV161" s="21"/>
      <c r="BW161" s="21"/>
      <c r="BX161" s="21"/>
      <c r="BY161" s="21"/>
      <c r="BZ161" s="21"/>
      <c r="CA161" s="21"/>
    </row>
    <row r="162" s="14" customFormat="true" ht="16.5" hidden="true" customHeight="true" outlineLevel="1" collapsed="false">
      <c r="C162" s="19" t="s">
        <v>155</v>
      </c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20"/>
      <c r="R162" s="20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  <c r="AS162" s="19"/>
      <c r="AT162" s="19"/>
      <c r="AU162" s="19"/>
      <c r="AV162" s="19"/>
      <c r="AW162" s="19"/>
      <c r="AX162" s="19"/>
      <c r="AY162" s="19"/>
      <c r="AZ162" s="19"/>
      <c r="BA162" s="19"/>
      <c r="BB162" s="19"/>
      <c r="BC162" s="19"/>
      <c r="BD162" s="19"/>
      <c r="BE162" s="19"/>
      <c r="BF162" s="19"/>
      <c r="BG162" s="19"/>
      <c r="BH162" s="19"/>
      <c r="BI162" s="19"/>
      <c r="BJ162" s="19"/>
      <c r="BK162" s="19"/>
      <c r="BL162" s="19"/>
      <c r="BM162" s="19"/>
      <c r="BN162" s="19"/>
      <c r="BO162" s="19"/>
      <c r="BP162" s="19"/>
      <c r="BQ162" s="19"/>
      <c r="BR162" s="19"/>
      <c r="BS162" s="19"/>
      <c r="BT162" s="19"/>
      <c r="BU162" s="19"/>
      <c r="BV162" s="19"/>
      <c r="BW162" s="19"/>
      <c r="BX162" s="19"/>
      <c r="BY162" s="19"/>
      <c r="BZ162" s="19"/>
      <c r="CA162" s="19"/>
      <c r="CC162" s="19" t="s">
        <v>117</v>
      </c>
      <c r="CD162" s="19"/>
      <c r="CE162" s="19"/>
      <c r="CF162" s="19"/>
      <c r="CG162" s="19"/>
      <c r="CI162" s="19" t="s">
        <v>118</v>
      </c>
      <c r="CJ162" s="19"/>
      <c r="CK162" s="19"/>
      <c r="CL162" s="19"/>
      <c r="CM162" s="19"/>
    </row>
    <row r="163" s="14" customFormat="true" ht="16.5" hidden="true" customHeight="true" outlineLevel="1" collapsed="false">
      <c r="E163" s="21"/>
      <c r="H163" s="21"/>
      <c r="I163" s="21"/>
      <c r="J163" s="21"/>
      <c r="K163" s="21"/>
      <c r="L163" s="21"/>
      <c r="M163" s="21"/>
      <c r="N163" s="21"/>
      <c r="O163" s="21"/>
      <c r="P163" s="21"/>
      <c r="Q163" s="145"/>
      <c r="R163" s="145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  <c r="BC163" s="21"/>
      <c r="BD163" s="21"/>
      <c r="BE163" s="21"/>
      <c r="BF163" s="21"/>
      <c r="BG163" s="21"/>
      <c r="BH163" s="21"/>
      <c r="BI163" s="21"/>
      <c r="BJ163" s="21"/>
      <c r="BK163" s="21"/>
      <c r="BL163" s="21"/>
      <c r="BM163" s="21"/>
      <c r="BN163" s="21"/>
      <c r="BO163" s="21"/>
      <c r="BP163" s="21"/>
      <c r="BQ163" s="21"/>
      <c r="BR163" s="21"/>
      <c r="BS163" s="21"/>
      <c r="BT163" s="21"/>
      <c r="BU163" s="21"/>
      <c r="BV163" s="21"/>
      <c r="BW163" s="21"/>
      <c r="BX163" s="21"/>
      <c r="BY163" s="21"/>
      <c r="BZ163" s="21"/>
      <c r="CA163" s="21"/>
    </row>
    <row r="164" s="14" customFormat="true" ht="16.5" hidden="true" customHeight="true" outlineLevel="1" collapsed="false">
      <c r="E164" s="21"/>
      <c r="H164" s="21"/>
      <c r="I164" s="21"/>
      <c r="J164" s="21"/>
      <c r="K164" s="21"/>
      <c r="Q164" s="145"/>
      <c r="R164" s="145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  <c r="AZ164" s="21"/>
      <c r="BA164" s="21"/>
      <c r="BB164" s="21"/>
      <c r="BC164" s="21"/>
      <c r="BD164" s="21"/>
      <c r="BE164" s="21"/>
      <c r="BF164" s="21"/>
      <c r="BG164" s="21"/>
      <c r="BH164" s="21"/>
      <c r="BI164" s="21"/>
      <c r="BJ164" s="21"/>
      <c r="BK164" s="21"/>
      <c r="BL164" s="21"/>
      <c r="BM164" s="21"/>
      <c r="BN164" s="21"/>
      <c r="BO164" s="21"/>
      <c r="BP164" s="21"/>
      <c r="BQ164" s="21"/>
      <c r="BR164" s="21"/>
      <c r="BS164" s="21"/>
      <c r="BT164" s="21"/>
      <c r="BU164" s="21"/>
      <c r="BV164" s="21"/>
      <c r="BW164" s="21"/>
      <c r="BX164" s="21"/>
      <c r="BY164" s="21"/>
      <c r="BZ164" s="21"/>
      <c r="CA164" s="21"/>
    </row>
    <row r="165" s="14" customFormat="true" ht="16.5" hidden="true" customHeight="true" outlineLevel="1" collapsed="false">
      <c r="E165" s="30" t="s">
        <v>156</v>
      </c>
      <c r="F165" s="31"/>
      <c r="G165" s="31"/>
      <c r="H165" s="31"/>
      <c r="I165" s="31"/>
      <c r="J165" s="31"/>
      <c r="K165" s="31"/>
      <c r="L165" s="31" t="n">
        <v>2026</v>
      </c>
      <c r="M165" s="31" t="n">
        <f aca="false">L165+1</f>
        <v>2027</v>
      </c>
      <c r="N165" s="31" t="n">
        <f aca="false">M165+1</f>
        <v>2028</v>
      </c>
      <c r="O165" s="31" t="n">
        <f aca="false">N165+1</f>
        <v>2029</v>
      </c>
      <c r="P165" s="31" t="n">
        <f aca="false">O165+1</f>
        <v>2030</v>
      </c>
      <c r="Q165" s="31" t="s">
        <v>157</v>
      </c>
      <c r="R165" s="145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  <c r="AZ165" s="21"/>
      <c r="BA165" s="21"/>
      <c r="BB165" s="21"/>
      <c r="BC165" s="21"/>
      <c r="BD165" s="21"/>
      <c r="BE165" s="21"/>
      <c r="BF165" s="21"/>
      <c r="BG165" s="21"/>
      <c r="BH165" s="21"/>
      <c r="BI165" s="21"/>
      <c r="BJ165" s="21"/>
      <c r="BK165" s="21"/>
      <c r="BL165" s="21"/>
      <c r="BM165" s="21"/>
      <c r="BN165" s="21"/>
      <c r="BO165" s="21"/>
      <c r="BP165" s="21"/>
      <c r="BQ165" s="21"/>
      <c r="BR165" s="21"/>
      <c r="BS165" s="21"/>
      <c r="BT165" s="21"/>
      <c r="BU165" s="21"/>
      <c r="BV165" s="21"/>
      <c r="BW165" s="21"/>
      <c r="BX165" s="21"/>
      <c r="BY165" s="21"/>
      <c r="BZ165" s="21"/>
      <c r="CA165" s="21"/>
    </row>
    <row r="166" s="14" customFormat="true" ht="16.5" hidden="true" customHeight="true" outlineLevel="1" collapsed="false">
      <c r="Q166" s="145"/>
      <c r="R166" s="145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  <c r="AZ166" s="21"/>
      <c r="BA166" s="21"/>
      <c r="BB166" s="21"/>
      <c r="BC166" s="21"/>
      <c r="BD166" s="21"/>
      <c r="BE166" s="21"/>
      <c r="BF166" s="21"/>
      <c r="BG166" s="21"/>
      <c r="BH166" s="21"/>
      <c r="BI166" s="21"/>
      <c r="BJ166" s="21"/>
      <c r="BK166" s="21"/>
      <c r="BL166" s="21"/>
      <c r="BM166" s="21"/>
      <c r="BN166" s="21"/>
      <c r="BO166" s="21"/>
      <c r="BP166" s="21"/>
      <c r="BQ166" s="21"/>
      <c r="BR166" s="21"/>
      <c r="BS166" s="21"/>
      <c r="BT166" s="21"/>
      <c r="BU166" s="21"/>
      <c r="BV166" s="21"/>
      <c r="BW166" s="21"/>
      <c r="BX166" s="21"/>
      <c r="BY166" s="21"/>
      <c r="BZ166" s="21"/>
      <c r="CA166" s="21"/>
    </row>
    <row r="167" s="14" customFormat="true" ht="16.5" hidden="true" customHeight="true" outlineLevel="1" collapsed="false">
      <c r="E167" s="14" t="s">
        <v>158</v>
      </c>
      <c r="H167" s="21"/>
      <c r="I167" s="21"/>
      <c r="J167" s="21"/>
      <c r="K167" s="21"/>
      <c r="L167" s="90" t="n">
        <f aca="false">L128</f>
        <v>0</v>
      </c>
      <c r="M167" s="90" t="n">
        <f aca="false">M128</f>
        <v>-1.2</v>
      </c>
      <c r="N167" s="90" t="n">
        <f aca="false">N128</f>
        <v>7.2</v>
      </c>
      <c r="O167" s="90" t="n">
        <f aca="false">O128</f>
        <v>7.2</v>
      </c>
      <c r="P167" s="90" t="n">
        <f aca="false">P128</f>
        <v>7.2</v>
      </c>
      <c r="Q167" s="146" t="n">
        <f aca="false">SUM(L167:P167)</f>
        <v>20.4</v>
      </c>
      <c r="R167" s="145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  <c r="AY167" s="21"/>
      <c r="AZ167" s="21"/>
      <c r="BA167" s="21"/>
      <c r="BB167" s="21"/>
      <c r="BC167" s="21"/>
      <c r="BD167" s="21"/>
      <c r="BE167" s="21"/>
      <c r="BF167" s="21"/>
      <c r="BG167" s="21"/>
      <c r="BH167" s="21"/>
      <c r="BI167" s="21"/>
      <c r="BJ167" s="21"/>
      <c r="BK167" s="21"/>
      <c r="BL167" s="21"/>
      <c r="BM167" s="21"/>
      <c r="BN167" s="21"/>
      <c r="BO167" s="21"/>
      <c r="BP167" s="21"/>
      <c r="BQ167" s="21"/>
      <c r="BR167" s="21"/>
      <c r="BS167" s="21"/>
      <c r="BT167" s="21"/>
      <c r="BU167" s="21"/>
      <c r="BV167" s="21"/>
      <c r="BW167" s="21"/>
      <c r="BX167" s="21"/>
      <c r="BY167" s="21"/>
      <c r="BZ167" s="21"/>
      <c r="CA167" s="21"/>
    </row>
    <row r="168" s="14" customFormat="true" ht="16.5" hidden="true" customHeight="true" outlineLevel="1" collapsed="false">
      <c r="E168" s="14" t="s">
        <v>159</v>
      </c>
      <c r="L168" s="90" t="n">
        <f aca="false">L141</f>
        <v>0</v>
      </c>
      <c r="M168" s="90" t="n">
        <f aca="false">M141</f>
        <v>0</v>
      </c>
      <c r="N168" s="90" t="n">
        <f aca="false">N141</f>
        <v>0</v>
      </c>
      <c r="O168" s="90" t="n">
        <f aca="false">O141</f>
        <v>0</v>
      </c>
      <c r="P168" s="90" t="n">
        <f aca="false">P141</f>
        <v>0</v>
      </c>
      <c r="Q168" s="146" t="n">
        <f aca="false">SUM(L168:P168)</f>
        <v>0</v>
      </c>
      <c r="R168" s="145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  <c r="AZ168" s="21"/>
      <c r="BA168" s="21"/>
      <c r="BB168" s="21"/>
      <c r="BC168" s="21"/>
      <c r="BD168" s="21"/>
      <c r="BE168" s="21"/>
      <c r="BF168" s="21"/>
      <c r="BG168" s="21"/>
      <c r="BH168" s="21"/>
      <c r="BI168" s="21"/>
      <c r="BJ168" s="21"/>
      <c r="BK168" s="21"/>
      <c r="BL168" s="21"/>
      <c r="BM168" s="21"/>
      <c r="BN168" s="21"/>
      <c r="BO168" s="21"/>
      <c r="BP168" s="21"/>
      <c r="BQ168" s="21"/>
      <c r="BR168" s="21"/>
      <c r="BS168" s="21"/>
      <c r="BT168" s="21"/>
      <c r="BU168" s="21"/>
      <c r="BV168" s="21"/>
      <c r="BW168" s="21"/>
      <c r="BX168" s="21"/>
      <c r="BY168" s="21"/>
      <c r="BZ168" s="21"/>
      <c r="CA168" s="21"/>
    </row>
    <row r="169" s="14" customFormat="true" ht="16.5" hidden="true" customHeight="true" outlineLevel="1" collapsed="false">
      <c r="E169" s="14" t="s">
        <v>160</v>
      </c>
      <c r="L169" s="90" t="n">
        <f aca="false">-L157</f>
        <v>-0</v>
      </c>
      <c r="M169" s="90" t="n">
        <f aca="false">-M157</f>
        <v>-5</v>
      </c>
      <c r="N169" s="90" t="n">
        <f aca="false">-N157</f>
        <v>-0</v>
      </c>
      <c r="O169" s="90" t="n">
        <f aca="false">-O157</f>
        <v>-0</v>
      </c>
      <c r="P169" s="90" t="n">
        <f aca="false">-P157</f>
        <v>-0</v>
      </c>
      <c r="Q169" s="146" t="n">
        <f aca="false">SUM(L169:P169)</f>
        <v>-5</v>
      </c>
      <c r="R169" s="145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  <c r="AV169" s="21"/>
      <c r="AW169" s="21"/>
      <c r="AX169" s="21"/>
      <c r="AY169" s="21"/>
      <c r="AZ169" s="21"/>
      <c r="BA169" s="21"/>
      <c r="BB169" s="21"/>
      <c r="BC169" s="21"/>
      <c r="BD169" s="21"/>
      <c r="BE169" s="21"/>
      <c r="BF169" s="21"/>
      <c r="BG169" s="21"/>
      <c r="BH169" s="21"/>
      <c r="BI169" s="21"/>
      <c r="BJ169" s="21"/>
      <c r="BK169" s="21"/>
      <c r="BL169" s="21"/>
      <c r="BM169" s="21"/>
      <c r="BN169" s="21"/>
      <c r="BO169" s="21"/>
      <c r="BP169" s="21"/>
      <c r="BQ169" s="21"/>
      <c r="BR169" s="21"/>
      <c r="BS169" s="21"/>
      <c r="BT169" s="21"/>
      <c r="BU169" s="21"/>
      <c r="BV169" s="21"/>
      <c r="BW169" s="21"/>
      <c r="BX169" s="21"/>
      <c r="BY169" s="21"/>
      <c r="BZ169" s="21"/>
      <c r="CA169" s="21"/>
    </row>
    <row r="170" s="14" customFormat="true" ht="16.5" hidden="true" customHeight="true" outlineLevel="1" collapsed="false">
      <c r="E170" s="21" t="s">
        <v>156</v>
      </c>
      <c r="F170" s="21"/>
      <c r="G170" s="21"/>
      <c r="H170" s="21"/>
      <c r="I170" s="21"/>
      <c r="J170" s="21"/>
      <c r="K170" s="21"/>
      <c r="L170" s="84" t="n">
        <f aca="false">SUM(L167:L169)</f>
        <v>0</v>
      </c>
      <c r="M170" s="84" t="n">
        <f aca="false">SUM(M167:M169)</f>
        <v>-6.2</v>
      </c>
      <c r="N170" s="84" t="n">
        <f aca="false">SUM(N167:N169)</f>
        <v>7.2</v>
      </c>
      <c r="O170" s="84" t="n">
        <f aca="false">SUM(O167:O169)</f>
        <v>7.2</v>
      </c>
      <c r="P170" s="84" t="n">
        <f aca="false">SUM(P167:P169)</f>
        <v>7.2</v>
      </c>
      <c r="Q170" s="147" t="n">
        <f aca="false">SUM(L170:P170)</f>
        <v>15.4</v>
      </c>
      <c r="R170" s="145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  <c r="AV170" s="21"/>
      <c r="AW170" s="21"/>
      <c r="AX170" s="21"/>
      <c r="AY170" s="21"/>
      <c r="AZ170" s="21"/>
      <c r="BA170" s="21"/>
      <c r="BB170" s="21"/>
      <c r="BC170" s="21"/>
      <c r="BD170" s="21"/>
      <c r="BE170" s="21"/>
      <c r="BF170" s="21"/>
      <c r="BG170" s="21"/>
      <c r="BH170" s="21"/>
      <c r="BI170" s="21"/>
      <c r="BJ170" s="21"/>
      <c r="BK170" s="21"/>
      <c r="BL170" s="21"/>
      <c r="BM170" s="21"/>
      <c r="BN170" s="21"/>
      <c r="BO170" s="21"/>
      <c r="BP170" s="21"/>
      <c r="BQ170" s="21"/>
      <c r="BR170" s="21"/>
      <c r="BS170" s="21"/>
      <c r="BT170" s="21"/>
      <c r="BU170" s="21"/>
      <c r="BV170" s="21"/>
      <c r="BW170" s="21"/>
      <c r="BX170" s="21"/>
      <c r="BY170" s="21"/>
      <c r="BZ170" s="21"/>
      <c r="CA170" s="21"/>
    </row>
    <row r="171" s="14" customFormat="true" ht="16.5" hidden="true" customHeight="true" outlineLevel="1" collapsed="false">
      <c r="E171" s="14" t="s">
        <v>161</v>
      </c>
      <c r="H171" s="21"/>
      <c r="I171" s="21"/>
      <c r="J171" s="21"/>
      <c r="K171" s="21"/>
      <c r="L171" s="90" t="n">
        <f aca="false">L170</f>
        <v>0</v>
      </c>
      <c r="M171" s="90" t="n">
        <f aca="false">L171+M170</f>
        <v>-6.2</v>
      </c>
      <c r="N171" s="90" t="n">
        <f aca="false">M171+N170</f>
        <v>1</v>
      </c>
      <c r="O171" s="90" t="n">
        <f aca="false">N171+O170</f>
        <v>8.2</v>
      </c>
      <c r="P171" s="90" t="n">
        <f aca="false">O171+P170</f>
        <v>15.4</v>
      </c>
      <c r="Q171" s="146" t="n">
        <f aca="false">SUM(L171:P171)</f>
        <v>18.4</v>
      </c>
      <c r="R171" s="145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1"/>
      <c r="AU171" s="21"/>
      <c r="AV171" s="21"/>
      <c r="AW171" s="21"/>
      <c r="AX171" s="21"/>
      <c r="AY171" s="21"/>
      <c r="AZ171" s="21"/>
      <c r="BA171" s="21"/>
      <c r="BB171" s="21"/>
      <c r="BC171" s="21"/>
      <c r="BD171" s="21"/>
      <c r="BE171" s="21"/>
      <c r="BF171" s="21"/>
      <c r="BG171" s="21"/>
      <c r="BH171" s="21"/>
      <c r="BI171" s="21"/>
      <c r="BJ171" s="21"/>
      <c r="BK171" s="21"/>
      <c r="BL171" s="21"/>
      <c r="BM171" s="21"/>
      <c r="BN171" s="21"/>
      <c r="BO171" s="21"/>
      <c r="BP171" s="21"/>
      <c r="BQ171" s="21"/>
      <c r="BR171" s="21"/>
      <c r="BS171" s="21"/>
      <c r="BT171" s="21"/>
      <c r="BU171" s="21"/>
      <c r="BV171" s="21"/>
      <c r="BW171" s="21"/>
      <c r="BX171" s="21"/>
      <c r="BY171" s="21"/>
      <c r="BZ171" s="21"/>
      <c r="CA171" s="21"/>
    </row>
    <row r="172" s="14" customFormat="true" ht="16.5" hidden="true" customHeight="true" outlineLevel="1" collapsed="false">
      <c r="E172" s="14" t="s">
        <v>162</v>
      </c>
      <c r="H172" s="21"/>
      <c r="I172" s="21"/>
      <c r="J172" s="21"/>
      <c r="K172" s="21"/>
      <c r="L172" s="148" t="n">
        <f aca="false">IF(L171&lt;0,1,0)</f>
        <v>0</v>
      </c>
      <c r="M172" s="148" t="n">
        <f aca="false">IF(L172&lt;1,0,IF(M171&lt;0,1,-L171/M170))</f>
        <v>0</v>
      </c>
      <c r="N172" s="148" t="n">
        <f aca="false">IF(M172&lt;1,0,IF(N171&lt;0,1,-M171/N170))</f>
        <v>0</v>
      </c>
      <c r="O172" s="148" t="n">
        <f aca="false">IF(N172&lt;1,0,IF(O171&lt;0,1,-N171/O170))</f>
        <v>0</v>
      </c>
      <c r="P172" s="148" t="n">
        <f aca="false">IF(O172&lt;1,0,IF(P171&lt;0,1,-O171/P170))</f>
        <v>0</v>
      </c>
      <c r="Q172" s="90"/>
      <c r="R172" s="145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1"/>
      <c r="AU172" s="21"/>
      <c r="AV172" s="21"/>
      <c r="AW172" s="21"/>
      <c r="AX172" s="21"/>
      <c r="AY172" s="21"/>
      <c r="AZ172" s="21"/>
      <c r="BA172" s="21"/>
      <c r="BB172" s="21"/>
      <c r="BC172" s="21"/>
      <c r="BD172" s="21"/>
      <c r="BE172" s="21"/>
      <c r="BF172" s="21"/>
      <c r="BG172" s="21"/>
      <c r="BH172" s="21"/>
      <c r="BI172" s="21"/>
      <c r="BJ172" s="21"/>
      <c r="BK172" s="21"/>
      <c r="BL172" s="21"/>
      <c r="BM172" s="21"/>
      <c r="BN172" s="21"/>
      <c r="BO172" s="21"/>
      <c r="BP172" s="21"/>
      <c r="BQ172" s="21"/>
      <c r="BR172" s="21"/>
      <c r="BS172" s="21"/>
      <c r="BT172" s="21"/>
      <c r="BU172" s="21"/>
      <c r="BV172" s="21"/>
      <c r="BW172" s="21"/>
      <c r="BX172" s="21"/>
      <c r="BY172" s="21"/>
      <c r="BZ172" s="21"/>
      <c r="CA172" s="21"/>
    </row>
    <row r="173" s="14" customFormat="true" ht="16.5" hidden="true" customHeight="true" outlineLevel="1" collapsed="false">
      <c r="E173" s="21"/>
      <c r="H173" s="21"/>
      <c r="I173" s="21"/>
      <c r="J173" s="21"/>
      <c r="K173" s="21"/>
      <c r="R173" s="145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1"/>
      <c r="AU173" s="21"/>
      <c r="AV173" s="21"/>
      <c r="AW173" s="21"/>
      <c r="AX173" s="21"/>
      <c r="AY173" s="21"/>
      <c r="AZ173" s="21"/>
      <c r="BA173" s="21"/>
      <c r="BB173" s="21"/>
      <c r="BC173" s="21"/>
      <c r="BD173" s="21"/>
      <c r="BE173" s="21"/>
      <c r="BF173" s="21"/>
      <c r="BG173" s="21"/>
      <c r="BH173" s="21"/>
      <c r="BI173" s="21"/>
      <c r="BJ173" s="21"/>
      <c r="BK173" s="21"/>
      <c r="BL173" s="21"/>
      <c r="BM173" s="21"/>
      <c r="BN173" s="21"/>
      <c r="BO173" s="21"/>
      <c r="BP173" s="21"/>
      <c r="BQ173" s="21"/>
      <c r="BR173" s="21"/>
      <c r="BS173" s="21"/>
      <c r="BT173" s="21"/>
      <c r="BU173" s="21"/>
      <c r="BV173" s="21"/>
      <c r="BW173" s="21"/>
      <c r="BX173" s="21"/>
      <c r="BY173" s="21"/>
      <c r="BZ173" s="21"/>
      <c r="CA173" s="21"/>
    </row>
    <row r="174" s="14" customFormat="true" ht="16.5" hidden="true" customHeight="true" outlineLevel="1" collapsed="false">
      <c r="E174" s="21" t="s">
        <v>163</v>
      </c>
      <c r="G174" s="149" t="n">
        <v>0.095</v>
      </c>
      <c r="H174" s="21"/>
      <c r="I174" s="21"/>
      <c r="J174" s="21"/>
      <c r="K174" s="21"/>
      <c r="R174" s="145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1"/>
      <c r="AU174" s="21"/>
      <c r="AV174" s="21"/>
      <c r="AW174" s="21"/>
      <c r="AX174" s="21"/>
      <c r="AY174" s="21"/>
      <c r="AZ174" s="21"/>
      <c r="BA174" s="21"/>
      <c r="BB174" s="21"/>
      <c r="BC174" s="21"/>
      <c r="BD174" s="21"/>
      <c r="BE174" s="21"/>
      <c r="BF174" s="21"/>
      <c r="BG174" s="21"/>
      <c r="BH174" s="21"/>
      <c r="BI174" s="21"/>
      <c r="BJ174" s="21"/>
      <c r="BK174" s="21"/>
      <c r="BL174" s="21"/>
      <c r="BM174" s="21"/>
      <c r="BN174" s="21"/>
      <c r="BO174" s="21"/>
      <c r="BP174" s="21"/>
      <c r="BQ174" s="21"/>
      <c r="BR174" s="21"/>
      <c r="BS174" s="21"/>
      <c r="BT174" s="21"/>
      <c r="BU174" s="21"/>
      <c r="BV174" s="21"/>
      <c r="BW174" s="21"/>
      <c r="BX174" s="21"/>
      <c r="BY174" s="21"/>
      <c r="BZ174" s="21"/>
      <c r="CA174" s="21"/>
    </row>
    <row r="175" s="14" customFormat="true" ht="16.5" hidden="true" customHeight="true" outlineLevel="1" collapsed="false">
      <c r="E175" s="21" t="s">
        <v>164</v>
      </c>
      <c r="F175" s="150" t="s">
        <v>165</v>
      </c>
      <c r="G175" s="90" t="n">
        <f aca="false">SUM(L175:P175)</f>
        <v>9.89481383602244</v>
      </c>
      <c r="H175" s="21"/>
      <c r="I175" s="21"/>
      <c r="J175" s="21"/>
      <c r="K175" s="21"/>
      <c r="L175" s="90" t="n">
        <f aca="false">L170/(1+$G$174)^L$1</f>
        <v>0</v>
      </c>
      <c r="M175" s="90" t="n">
        <f aca="false">M170/(1+$G$174)^M$1</f>
        <v>-5.17086799691416</v>
      </c>
      <c r="N175" s="90" t="n">
        <f aca="false">N170/(1+$G$174)^N$1</f>
        <v>5.483907729825</v>
      </c>
      <c r="O175" s="90" t="n">
        <f aca="false">O170/(1+$G$174)^O$1</f>
        <v>5.0081349130822</v>
      </c>
      <c r="P175" s="90" t="n">
        <f aca="false">P170/(1+$G$174)^P$1</f>
        <v>4.5736391900294</v>
      </c>
      <c r="Q175" s="90" t="n">
        <f aca="false">SUM(L175:P175)</f>
        <v>9.89481383602244</v>
      </c>
      <c r="R175" s="145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1"/>
      <c r="AU175" s="21"/>
      <c r="AV175" s="21"/>
      <c r="AW175" s="21"/>
      <c r="AX175" s="21"/>
      <c r="AY175" s="21"/>
      <c r="AZ175" s="21"/>
      <c r="BA175" s="21"/>
      <c r="BB175" s="21"/>
      <c r="BC175" s="21"/>
      <c r="BD175" s="21"/>
      <c r="BE175" s="21"/>
      <c r="BF175" s="21"/>
      <c r="BG175" s="21"/>
      <c r="BH175" s="21"/>
      <c r="BI175" s="21"/>
      <c r="BJ175" s="21"/>
      <c r="BK175" s="21"/>
      <c r="BL175" s="21"/>
      <c r="BM175" s="21"/>
      <c r="BN175" s="21"/>
      <c r="BO175" s="21"/>
      <c r="BP175" s="21"/>
      <c r="BQ175" s="21"/>
      <c r="BR175" s="21"/>
      <c r="BS175" s="21"/>
      <c r="BT175" s="21"/>
      <c r="BU175" s="21"/>
      <c r="BV175" s="21"/>
      <c r="BW175" s="21"/>
      <c r="BX175" s="21"/>
      <c r="BY175" s="21"/>
      <c r="BZ175" s="21"/>
      <c r="CA175" s="21"/>
    </row>
    <row r="176" s="14" customFormat="true" ht="16.5" hidden="true" customHeight="true" outlineLevel="1" collapsed="false">
      <c r="E176" s="21" t="s">
        <v>162</v>
      </c>
      <c r="F176" s="150" t="s">
        <v>166</v>
      </c>
      <c r="G176" s="148" t="n">
        <f aca="false">SUM(L172:P172)</f>
        <v>0</v>
      </c>
      <c r="H176" s="21"/>
      <c r="I176" s="21"/>
      <c r="J176" s="21"/>
      <c r="K176" s="21"/>
      <c r="L176" s="90"/>
      <c r="M176" s="90"/>
      <c r="N176" s="90"/>
      <c r="O176" s="90"/>
      <c r="P176" s="90"/>
      <c r="Q176" s="90"/>
      <c r="R176" s="145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1"/>
      <c r="AU176" s="21"/>
      <c r="AV176" s="21"/>
      <c r="AW176" s="21"/>
      <c r="AX176" s="21"/>
      <c r="AY176" s="21"/>
      <c r="AZ176" s="21"/>
      <c r="BA176" s="21"/>
      <c r="BB176" s="21"/>
      <c r="BC176" s="21"/>
      <c r="BD176" s="21"/>
      <c r="BE176" s="21"/>
      <c r="BF176" s="21"/>
      <c r="BG176" s="21"/>
      <c r="BH176" s="21"/>
      <c r="BI176" s="21"/>
      <c r="BJ176" s="21"/>
      <c r="BK176" s="21"/>
      <c r="BL176" s="21"/>
      <c r="BM176" s="21"/>
      <c r="BN176" s="21"/>
      <c r="BO176" s="21"/>
      <c r="BP176" s="21"/>
      <c r="BQ176" s="21"/>
      <c r="BR176" s="21"/>
      <c r="BS176" s="21"/>
      <c r="BT176" s="21"/>
      <c r="BU176" s="21"/>
      <c r="BV176" s="21"/>
      <c r="BW176" s="21"/>
      <c r="BX176" s="21"/>
      <c r="BY176" s="21"/>
      <c r="BZ176" s="21"/>
      <c r="CA176" s="21"/>
    </row>
    <row r="177" s="14" customFormat="true" ht="16.5" hidden="true" customHeight="true" outlineLevel="1" collapsed="false">
      <c r="H177" s="21"/>
      <c r="I177" s="21"/>
      <c r="J177" s="21"/>
      <c r="K177" s="21"/>
      <c r="L177" s="90"/>
      <c r="M177" s="90"/>
      <c r="N177" s="90"/>
      <c r="O177" s="90"/>
      <c r="P177" s="90"/>
      <c r="Q177" s="90"/>
      <c r="R177" s="145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  <c r="AV177" s="21"/>
      <c r="AW177" s="21"/>
      <c r="AX177" s="21"/>
      <c r="AY177" s="21"/>
      <c r="AZ177" s="21"/>
      <c r="BA177" s="21"/>
      <c r="BB177" s="21"/>
      <c r="BC177" s="21"/>
      <c r="BD177" s="21"/>
      <c r="BE177" s="21"/>
      <c r="BF177" s="21"/>
      <c r="BG177" s="21"/>
      <c r="BH177" s="21"/>
      <c r="BI177" s="21"/>
      <c r="BJ177" s="21"/>
      <c r="BK177" s="21"/>
      <c r="BL177" s="21"/>
      <c r="BM177" s="21"/>
      <c r="BN177" s="21"/>
      <c r="BO177" s="21"/>
      <c r="BP177" s="21"/>
      <c r="BQ177" s="21"/>
      <c r="BR177" s="21"/>
      <c r="BS177" s="21"/>
      <c r="BT177" s="21"/>
      <c r="BU177" s="21"/>
      <c r="BV177" s="21"/>
      <c r="BW177" s="21"/>
      <c r="BX177" s="21"/>
      <c r="BY177" s="21"/>
      <c r="BZ177" s="21"/>
      <c r="CA177" s="21"/>
    </row>
    <row r="178" s="14" customFormat="true" ht="16.5" hidden="true" customHeight="true" outlineLevel="1" collapsed="false">
      <c r="E178" s="21"/>
      <c r="H178" s="21"/>
      <c r="I178" s="21"/>
      <c r="J178" s="21"/>
      <c r="K178" s="21"/>
      <c r="L178" s="90"/>
      <c r="M178" s="90"/>
      <c r="N178" s="90"/>
      <c r="O178" s="90"/>
      <c r="P178" s="90"/>
      <c r="Q178" s="151"/>
      <c r="R178" s="145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  <c r="AT178" s="21"/>
      <c r="AU178" s="21"/>
      <c r="AV178" s="21"/>
      <c r="AW178" s="21"/>
      <c r="AX178" s="21"/>
      <c r="AY178" s="21"/>
      <c r="AZ178" s="21"/>
      <c r="BA178" s="21"/>
      <c r="BB178" s="21"/>
      <c r="BC178" s="21"/>
      <c r="BD178" s="21"/>
      <c r="BE178" s="21"/>
      <c r="BF178" s="21"/>
      <c r="BG178" s="21"/>
      <c r="BH178" s="21"/>
      <c r="BI178" s="21"/>
      <c r="BJ178" s="21"/>
      <c r="BK178" s="21"/>
      <c r="BL178" s="21"/>
      <c r="BM178" s="21"/>
      <c r="BN178" s="21"/>
      <c r="BO178" s="21"/>
      <c r="BP178" s="21"/>
      <c r="BQ178" s="21"/>
      <c r="BR178" s="21"/>
      <c r="BS178" s="21"/>
      <c r="BT178" s="21"/>
      <c r="BU178" s="21"/>
      <c r="BV178" s="21"/>
      <c r="BW178" s="21"/>
      <c r="BX178" s="21"/>
      <c r="BY178" s="21"/>
      <c r="BZ178" s="21"/>
      <c r="CA178" s="21"/>
    </row>
    <row r="179" s="14" customFormat="true" ht="16.5" hidden="true" customHeight="true" outlineLevel="1" collapsed="false">
      <c r="Q179" s="16"/>
      <c r="R179" s="16"/>
    </row>
    <row r="180" s="14" customFormat="true" ht="16.5" hidden="false" customHeight="true" outlineLevel="0" collapsed="false">
      <c r="Q180" s="16"/>
      <c r="R180" s="16"/>
    </row>
    <row r="181" s="14" customFormat="true" ht="16.5" hidden="true" customHeight="true" outlineLevel="1" collapsed="false">
      <c r="E181" s="152" t="s">
        <v>167</v>
      </c>
      <c r="Q181" s="16"/>
      <c r="R181" s="16"/>
    </row>
    <row r="182" s="14" customFormat="true" ht="16.5" hidden="true" customHeight="true" outlineLevel="1" collapsed="false">
      <c r="E182" s="88" t="n">
        <f aca="false">E78</f>
        <v>0</v>
      </c>
      <c r="Q182" s="16"/>
      <c r="R182" s="16"/>
    </row>
    <row r="183" s="14" customFormat="true" ht="16.5" hidden="true" customHeight="true" outlineLevel="1" collapsed="false">
      <c r="E183" s="88" t="n">
        <f aca="false">E79</f>
        <v>0</v>
      </c>
      <c r="Q183" s="16"/>
      <c r="R183" s="16"/>
    </row>
    <row r="184" s="14" customFormat="true" ht="16.5" hidden="true" customHeight="true" outlineLevel="1" collapsed="false">
      <c r="Q184" s="16"/>
      <c r="R184" s="16"/>
    </row>
    <row r="185" s="14" customFormat="true" ht="16.5" hidden="true" customHeight="true" outlineLevel="1" collapsed="false">
      <c r="E185" s="88" t="n">
        <f aca="false">E83</f>
        <v>0</v>
      </c>
      <c r="Q185" s="16"/>
      <c r="R185" s="16"/>
    </row>
    <row r="186" s="14" customFormat="true" ht="16.5" hidden="true" customHeight="true" outlineLevel="1" collapsed="false">
      <c r="E186" s="88" t="n">
        <f aca="false">E84</f>
        <v>0</v>
      </c>
      <c r="Q186" s="16"/>
      <c r="R186" s="16"/>
    </row>
    <row r="187" s="14" customFormat="true" ht="16.5" hidden="true" customHeight="true" outlineLevel="1" collapsed="false">
      <c r="E187" s="88" t="n">
        <f aca="false">E85</f>
        <v>0</v>
      </c>
      <c r="Q187" s="16"/>
      <c r="R187" s="16"/>
    </row>
    <row r="188" s="14" customFormat="true" ht="16.5" hidden="true" customHeight="true" outlineLevel="1" collapsed="false">
      <c r="E188" s="88" t="n">
        <f aca="false">E86</f>
        <v>0</v>
      </c>
      <c r="Q188" s="16"/>
      <c r="R188" s="16"/>
    </row>
    <row r="189" s="14" customFormat="true" ht="16.5" hidden="true" customHeight="true" outlineLevel="1" collapsed="false">
      <c r="E189" s="88" t="n">
        <f aca="false">E87</f>
        <v>0</v>
      </c>
      <c r="Q189" s="16"/>
      <c r="R189" s="16"/>
    </row>
    <row r="190" s="14" customFormat="true" ht="16.5" hidden="true" customHeight="true" outlineLevel="1" collapsed="false">
      <c r="Q190" s="16"/>
      <c r="R190" s="16"/>
    </row>
    <row r="191" s="14" customFormat="true" ht="16.5" hidden="true" customHeight="true" outlineLevel="1" collapsed="false">
      <c r="Q191" s="16"/>
      <c r="R191" s="16"/>
    </row>
    <row r="192" s="14" customFormat="true" ht="16.5" hidden="true" customHeight="true" outlineLevel="1" collapsed="false">
      <c r="Q192" s="16"/>
      <c r="R192" s="16"/>
    </row>
    <row r="193" s="14" customFormat="true" ht="16.5" hidden="true" customHeight="true" outlineLevel="1" collapsed="false">
      <c r="E193" s="14" t="str">
        <f aca="false">E91</f>
        <v>OPEX - Temporary Workers</v>
      </c>
      <c r="Q193" s="16"/>
      <c r="R193" s="16"/>
    </row>
    <row r="194" s="14" customFormat="true" ht="16.5" hidden="true" customHeight="true" outlineLevel="1" collapsed="false">
      <c r="E194" s="88" t="n">
        <f aca="false">E92</f>
        <v>0</v>
      </c>
      <c r="Q194" s="16"/>
      <c r="R194" s="16"/>
    </row>
    <row r="195" s="14" customFormat="true" ht="16.5" hidden="true" customHeight="true" outlineLevel="1" collapsed="false">
      <c r="E195" s="88" t="n">
        <f aca="false">E93</f>
        <v>0</v>
      </c>
      <c r="Q195" s="16"/>
      <c r="R195" s="16"/>
    </row>
    <row r="196" s="14" customFormat="true" ht="16.5" hidden="true" customHeight="true" outlineLevel="1" collapsed="false">
      <c r="E196" s="88" t="n">
        <f aca="false">E94</f>
        <v>0</v>
      </c>
      <c r="Q196" s="16"/>
      <c r="R196" s="16"/>
    </row>
    <row r="197" s="14" customFormat="true" ht="16.5" hidden="true" customHeight="true" outlineLevel="1" collapsed="false">
      <c r="E197" s="88" t="n">
        <f aca="false">E95</f>
        <v>0</v>
      </c>
      <c r="Q197" s="16"/>
      <c r="R197" s="16"/>
    </row>
    <row r="198" s="14" customFormat="true" ht="16.5" hidden="true" customHeight="true" outlineLevel="1" collapsed="false">
      <c r="Q198" s="16"/>
      <c r="R198" s="16"/>
    </row>
    <row r="199" s="14" customFormat="true" ht="16.5" hidden="true" customHeight="true" outlineLevel="1" collapsed="false">
      <c r="Q199" s="16"/>
      <c r="R199" s="16"/>
    </row>
    <row r="200" s="14" customFormat="true" ht="16.5" hidden="true" customHeight="true" outlineLevel="1" collapsed="false">
      <c r="Q200" s="16"/>
      <c r="R200" s="16"/>
    </row>
    <row r="201" s="14" customFormat="true" ht="16.5" hidden="true" customHeight="true" outlineLevel="1" collapsed="false">
      <c r="Q201" s="16"/>
      <c r="R201" s="16"/>
    </row>
    <row r="202" s="14" customFormat="true" ht="16.5" hidden="true" customHeight="true" outlineLevel="1" collapsed="false">
      <c r="Q202" s="16"/>
      <c r="R202" s="16"/>
    </row>
    <row r="203" s="14" customFormat="true" ht="16.5" hidden="true" customHeight="true" outlineLevel="1" collapsed="false">
      <c r="Q203" s="16"/>
      <c r="R203" s="16"/>
    </row>
    <row r="204" s="14" customFormat="true" ht="16.5" hidden="true" customHeight="true" outlineLevel="1" collapsed="false">
      <c r="Q204" s="16"/>
      <c r="R204" s="16"/>
    </row>
    <row r="205" s="14" customFormat="true" ht="16.5" hidden="true" customHeight="true" outlineLevel="1" collapsed="false">
      <c r="Q205" s="16"/>
      <c r="R205" s="16"/>
    </row>
    <row r="206" s="14" customFormat="true" ht="16.5" hidden="true" customHeight="true" outlineLevel="1" collapsed="false">
      <c r="Q206" s="16"/>
      <c r="R206" s="16"/>
    </row>
    <row r="207" s="14" customFormat="true" ht="16.5" hidden="true" customHeight="true" outlineLevel="1" collapsed="false">
      <c r="Q207" s="16"/>
      <c r="R207" s="16"/>
    </row>
    <row r="208" s="14" customFormat="true" ht="16.5" hidden="true" customHeight="true" outlineLevel="1" collapsed="false">
      <c r="Q208" s="16"/>
      <c r="R208" s="16"/>
    </row>
    <row r="209" s="14" customFormat="true" ht="16.5" hidden="true" customHeight="true" outlineLevel="1" collapsed="false">
      <c r="Q209" s="16"/>
      <c r="R209" s="16"/>
    </row>
    <row r="210" s="14" customFormat="true" ht="16.5" hidden="true" customHeight="true" outlineLevel="1" collapsed="false">
      <c r="Q210" s="16"/>
      <c r="R210" s="16"/>
    </row>
    <row r="211" s="14" customFormat="true" ht="16.5" hidden="false" customHeight="true" outlineLevel="0" collapsed="false">
      <c r="C211" s="19" t="s">
        <v>168</v>
      </c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20"/>
      <c r="R211" s="20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19"/>
      <c r="AJ211" s="19"/>
      <c r="AK211" s="19"/>
      <c r="AL211" s="19"/>
      <c r="AM211" s="19"/>
      <c r="AN211" s="19"/>
      <c r="AO211" s="19"/>
      <c r="AP211" s="19"/>
      <c r="AQ211" s="19"/>
      <c r="AR211" s="19"/>
      <c r="AS211" s="19"/>
      <c r="AT211" s="19"/>
      <c r="AU211" s="19"/>
      <c r="AV211" s="19"/>
      <c r="AW211" s="19"/>
      <c r="AX211" s="19"/>
      <c r="AY211" s="19"/>
      <c r="AZ211" s="19"/>
      <c r="BA211" s="19"/>
      <c r="BB211" s="19"/>
      <c r="BC211" s="19"/>
      <c r="BD211" s="19"/>
      <c r="BE211" s="19"/>
      <c r="BF211" s="19"/>
      <c r="BG211" s="19"/>
      <c r="BH211" s="19"/>
      <c r="BI211" s="19"/>
      <c r="BJ211" s="19"/>
      <c r="BK211" s="19"/>
      <c r="BL211" s="19"/>
      <c r="BM211" s="19"/>
      <c r="BN211" s="19"/>
      <c r="BO211" s="19"/>
      <c r="BP211" s="19"/>
      <c r="BQ211" s="19"/>
      <c r="BR211" s="19"/>
      <c r="BS211" s="19"/>
      <c r="BT211" s="19"/>
      <c r="BU211" s="19"/>
      <c r="BV211" s="19"/>
      <c r="BW211" s="19"/>
      <c r="BX211" s="19"/>
      <c r="BY211" s="19"/>
      <c r="BZ211" s="19"/>
      <c r="CA211" s="19"/>
      <c r="CB211" s="19"/>
      <c r="CC211" s="19"/>
      <c r="CD211" s="19"/>
      <c r="CE211" s="19"/>
      <c r="CF211" s="19"/>
      <c r="CG211" s="19"/>
      <c r="CH211" s="19"/>
      <c r="CI211" s="19"/>
      <c r="CJ211" s="19"/>
      <c r="CK211" s="19"/>
      <c r="CL211" s="19"/>
      <c r="CM211" s="19"/>
    </row>
  </sheetData>
  <mergeCells count="1">
    <mergeCell ref="F15:G17"/>
  </mergeCells>
  <conditionalFormatting sqref="I88:P88">
    <cfRule type="expression" priority="2" aboveAverage="0" equalAverage="0" bottom="0" percent="0" rank="0" text="" dxfId="0">
      <formula>AND($F88="Yes")</formula>
    </cfRule>
    <cfRule type="expression" priority="3" aboveAverage="0" equalAverage="0" bottom="0" percent="0" rank="0" text="" dxfId="1">
      <formula>AND($F88="No")</formula>
    </cfRule>
  </conditionalFormatting>
  <conditionalFormatting sqref="J34">
    <cfRule type="expression" priority="4" aboveAverage="0" equalAverage="0" bottom="0" percent="0" rank="0" text="" dxfId="0">
      <formula>AND($F34="Yes")</formula>
    </cfRule>
    <cfRule type="expression" priority="5" aboveAverage="0" equalAverage="0" bottom="0" percent="0" rank="0" text="" dxfId="1">
      <formula>AND($F34="No")</formula>
    </cfRule>
  </conditionalFormatting>
  <conditionalFormatting sqref="E105:E106">
    <cfRule type="expression" priority="6" aboveAverage="0" equalAverage="0" bottom="0" percent="0" rank="0" text="" dxfId="0">
      <formula>AND($F105="Yes")</formula>
    </cfRule>
    <cfRule type="expression" priority="7" aboveAverage="0" equalAverage="0" bottom="0" percent="0" rank="0" text="" dxfId="1">
      <formula>AND($F105="No")</formula>
    </cfRule>
  </conditionalFormatting>
  <conditionalFormatting sqref="E118:E122">
    <cfRule type="expression" priority="8" aboveAverage="0" equalAverage="0" bottom="0" percent="0" rank="0" text="" dxfId="0">
      <formula>AND($F118="Yes")</formula>
    </cfRule>
    <cfRule type="expression" priority="9" aboveAverage="0" equalAverage="0" bottom="0" percent="0" rank="0" text="" dxfId="1">
      <formula>AND($F118="No")</formula>
    </cfRule>
  </conditionalFormatting>
  <conditionalFormatting sqref="E152:E154">
    <cfRule type="expression" priority="10" aboveAverage="0" equalAverage="0" bottom="0" percent="0" rank="0" text="" dxfId="0">
      <formula>AND($F152="Yes")</formula>
    </cfRule>
    <cfRule type="expression" priority="11" aboveAverage="0" equalAverage="0" bottom="0" percent="0" rank="0" text="" dxfId="1">
      <formula>AND($F152="No")</formula>
    </cfRule>
  </conditionalFormatting>
  <conditionalFormatting sqref="E147:E148">
    <cfRule type="expression" priority="12" aboveAverage="0" equalAverage="0" bottom="0" percent="0" rank="0" text="" dxfId="0">
      <formula>AND($F147="Yes")</formula>
    </cfRule>
    <cfRule type="expression" priority="13" aboveAverage="0" equalAverage="0" bottom="0" percent="0" rank="0" text="" dxfId="1">
      <formula>AND($F147="No")</formula>
    </cfRule>
  </conditionalFormatting>
  <conditionalFormatting sqref="E137:E138">
    <cfRule type="expression" priority="14" aboveAverage="0" equalAverage="0" bottom="0" percent="0" rank="0" text="" dxfId="0">
      <formula>AND($F137="Yes")</formula>
    </cfRule>
    <cfRule type="expression" priority="15" aboveAverage="0" equalAverage="0" bottom="0" percent="0" rank="0" text="" dxfId="1">
      <formula>AND($F137="No")</formula>
    </cfRule>
  </conditionalFormatting>
  <conditionalFormatting sqref="E78:E79 T152:CA156">
    <cfRule type="expression" priority="16" aboveAverage="0" equalAverage="0" bottom="0" percent="0" rank="0" text="" dxfId="0">
      <formula>AND($F78="Yes")</formula>
    </cfRule>
    <cfRule type="expression" priority="17" aboveAverage="0" equalAverage="0" bottom="0" percent="0" rank="0" text="" dxfId="1">
      <formula>AND($F78="No")</formula>
    </cfRule>
  </conditionalFormatting>
  <conditionalFormatting sqref="CJ162:CM162">
    <cfRule type="containsText" priority="18" operator="containsText" aboveAverage="0" equalAverage="0" bottom="0" percent="0" rank="0" text="FALSE" dxfId="2">
      <formula>NOT(ISERROR(SEARCH("FALSE",CJ162)))</formula>
    </cfRule>
  </conditionalFormatting>
  <conditionalFormatting sqref="Q152:Q154">
    <cfRule type="containsText" priority="19" operator="containsText" aboveAverage="0" equalAverage="0" bottom="0" percent="0" rank="0" text="Error" dxfId="2">
      <formula>NOT(ISERROR(SEARCH("Error",Q152)))</formula>
    </cfRule>
    <cfRule type="containsText" priority="20" operator="containsText" aboveAverage="0" equalAverage="0" bottom="0" percent="0" rank="0" text="FALSE" dxfId="2">
      <formula>NOT(ISERROR(SEARCH("FALSE",Q152)))</formula>
    </cfRule>
  </conditionalFormatting>
  <conditionalFormatting sqref="Q147:Q148">
    <cfRule type="containsText" priority="21" operator="containsText" aboveAverage="0" equalAverage="0" bottom="0" percent="0" rank="0" text="Error" dxfId="2">
      <formula>NOT(ISERROR(SEARCH("Error",Q147)))</formula>
    </cfRule>
    <cfRule type="containsText" priority="22" operator="containsText" aboveAverage="0" equalAverage="0" bottom="0" percent="0" rank="0" text="FALSE" dxfId="2">
      <formula>NOT(ISERROR(SEARCH("FALSE",Q147)))</formula>
    </cfRule>
  </conditionalFormatting>
  <conditionalFormatting sqref="Q137:Q138">
    <cfRule type="containsText" priority="23" operator="containsText" aboveAverage="0" equalAverage="0" bottom="0" percent="0" rank="0" text="Error" dxfId="2">
      <formula>NOT(ISERROR(SEARCH("Error",Q137)))</formula>
    </cfRule>
    <cfRule type="containsText" priority="24" operator="containsText" aboveAverage="0" equalAverage="0" bottom="0" percent="0" rank="0" text="FALSE" dxfId="2">
      <formula>NOT(ISERROR(SEARCH("FALSE",Q137)))</formula>
    </cfRule>
  </conditionalFormatting>
  <conditionalFormatting sqref="J69:J70">
    <cfRule type="expression" priority="25" aboveAverage="0" equalAverage="0" bottom="0" percent="0" rank="0" text="" dxfId="0">
      <formula>AND($F69="Yes")</formula>
    </cfRule>
    <cfRule type="expression" priority="26" aboveAverage="0" equalAverage="0" bottom="0" percent="0" rank="0" text="" dxfId="1">
      <formula>AND($F69="No")</formula>
    </cfRule>
  </conditionalFormatting>
  <conditionalFormatting sqref="J59:J60 J64">
    <cfRule type="expression" priority="27" aboveAverage="0" equalAverage="0" bottom="0" percent="0" rank="0" text="" dxfId="0">
      <formula>AND($F59="Yes")</formula>
    </cfRule>
    <cfRule type="expression" priority="28" aboveAverage="0" equalAverage="0" bottom="0" percent="0" rank="0" text="" dxfId="1">
      <formula>AND($F59="No")</formula>
    </cfRule>
  </conditionalFormatting>
  <conditionalFormatting sqref="J65">
    <cfRule type="expression" priority="29" aboveAverage="0" equalAverage="0" bottom="0" percent="0" rank="0" text="" dxfId="0">
      <formula>AND(#ref!="Yes")</formula>
    </cfRule>
    <cfRule type="expression" priority="30" aboveAverage="0" equalAverage="0" bottom="0" percent="0" rank="0" text="" dxfId="1">
      <formula>AND(#ref!="No")</formula>
    </cfRule>
  </conditionalFormatting>
  <conditionalFormatting sqref="J54:J55">
    <cfRule type="expression" priority="31" aboveAverage="0" equalAverage="0" bottom="0" percent="0" rank="0" text="" dxfId="0">
      <formula>AND($F54="Yes")</formula>
    </cfRule>
    <cfRule type="expression" priority="32" aboveAverage="0" equalAverage="0" bottom="0" percent="0" rank="0" text="" dxfId="1">
      <formula>AND($F54="No")</formula>
    </cfRule>
  </conditionalFormatting>
  <conditionalFormatting sqref="J44:J45 J49">
    <cfRule type="expression" priority="33" aboveAverage="0" equalAverage="0" bottom="0" percent="0" rank="0" text="" dxfId="0">
      <formula>AND($F44="Yes")</formula>
    </cfRule>
    <cfRule type="expression" priority="34" aboveAverage="0" equalAverage="0" bottom="0" percent="0" rank="0" text="" dxfId="1">
      <formula>AND($F44="No")</formula>
    </cfRule>
  </conditionalFormatting>
  <conditionalFormatting sqref="J50">
    <cfRule type="expression" priority="35" aboveAverage="0" equalAverage="0" bottom="0" percent="0" rank="0" text="" dxfId="0">
      <formula>AND(#ref!="Yes")</formula>
    </cfRule>
    <cfRule type="expression" priority="36" aboveAverage="0" equalAverage="0" bottom="0" percent="0" rank="0" text="" dxfId="1">
      <formula>AND(#ref!="No")</formula>
    </cfRule>
  </conditionalFormatting>
  <conditionalFormatting sqref="CJ211:CM211">
    <cfRule type="containsText" priority="37" operator="containsText" aboveAverage="0" equalAverage="0" bottom="0" percent="0" rank="0" text="FALSE" dxfId="2">
      <formula>NOT(ISERROR(SEARCH("FALSE",CJ211)))</formula>
    </cfRule>
  </conditionalFormatting>
  <conditionalFormatting sqref="CJ131:CM131">
    <cfRule type="containsText" priority="38" operator="containsText" aboveAverage="0" equalAverage="0" bottom="0" percent="0" rank="0" text="FALSE" dxfId="2">
      <formula>NOT(ISERROR(SEARCH("FALSE",CJ131)))</formula>
    </cfRule>
  </conditionalFormatting>
  <conditionalFormatting sqref="P24:P29">
    <cfRule type="containsText" priority="39" operator="containsText" aboveAverage="0" equalAverage="0" bottom="0" percent="0" rank="0" text="PASS" dxfId="3">
      <formula>NOT(ISERROR(SEARCH("PASS",P24)))</formula>
    </cfRule>
  </conditionalFormatting>
  <conditionalFormatting sqref="CI152:CM155">
    <cfRule type="expression" priority="40" aboveAverage="0" equalAverage="0" bottom="0" percent="0" rank="0" text="" dxfId="0">
      <formula>AND($F152="Yes")</formula>
    </cfRule>
    <cfRule type="expression" priority="41" aboveAverage="0" equalAverage="0" bottom="0" percent="0" rank="0" text="" dxfId="1">
      <formula>AND($F152="No")</formula>
    </cfRule>
  </conditionalFormatting>
  <conditionalFormatting sqref="CI147:CM149">
    <cfRule type="expression" priority="42" aboveAverage="0" equalAverage="0" bottom="0" percent="0" rank="0" text="" dxfId="0">
      <formula>AND($F147="Yes")</formula>
    </cfRule>
    <cfRule type="expression" priority="43" aboveAverage="0" equalAverage="0" bottom="0" percent="0" rank="0" text="" dxfId="1">
      <formula>AND($F147="No")</formula>
    </cfRule>
  </conditionalFormatting>
  <conditionalFormatting sqref="CC152:CG155">
    <cfRule type="expression" priority="44" aboveAverage="0" equalAverage="0" bottom="0" percent="0" rank="0" text="" dxfId="0">
      <formula>AND($F152="Yes")</formula>
    </cfRule>
    <cfRule type="expression" priority="45" aboveAverage="0" equalAverage="0" bottom="0" percent="0" rank="0" text="" dxfId="1">
      <formula>AND($F152="No")</formula>
    </cfRule>
  </conditionalFormatting>
  <conditionalFormatting sqref="CC147:CG149">
    <cfRule type="expression" priority="46" aboveAverage="0" equalAverage="0" bottom="0" percent="0" rank="0" text="" dxfId="0">
      <formula>AND($F147="Yes")</formula>
    </cfRule>
    <cfRule type="expression" priority="47" aboveAverage="0" equalAverage="0" bottom="0" percent="0" rank="0" text="" dxfId="1">
      <formula>AND($F147="No")</formula>
    </cfRule>
  </conditionalFormatting>
  <conditionalFormatting sqref="V123:CA124">
    <cfRule type="expression" priority="48" aboveAverage="0" equalAverage="0" bottom="0" percent="0" rank="0" text="" dxfId="0">
      <formula>AND($F123="Yes")</formula>
    </cfRule>
    <cfRule type="expression" priority="49" aboveAverage="0" equalAverage="0" bottom="0" percent="0" rank="0" text="" dxfId="1">
      <formula>AND($F123="No")</formula>
    </cfRule>
  </conditionalFormatting>
  <conditionalFormatting sqref="T147:CA149">
    <cfRule type="expression" priority="50" aboveAverage="0" equalAverage="0" bottom="0" percent="0" rank="0" text="" dxfId="0">
      <formula>AND($F147="Yes")</formula>
    </cfRule>
    <cfRule type="expression" priority="51" aboveAverage="0" equalAverage="0" bottom="0" percent="0" rank="0" text="" dxfId="1">
      <formula>AND($F147="No")</formula>
    </cfRule>
  </conditionalFormatting>
  <conditionalFormatting sqref="V96:CA97">
    <cfRule type="expression" priority="52" aboveAverage="0" equalAverage="0" bottom="0" percent="0" rank="0" text="" dxfId="0">
      <formula>AND($F96="Yes")</formula>
    </cfRule>
    <cfRule type="expression" priority="53" aboveAverage="0" equalAverage="0" bottom="0" percent="0" rank="0" text="" dxfId="1">
      <formula>AND($F96="No")</formula>
    </cfRule>
  </conditionalFormatting>
  <conditionalFormatting sqref="Q75:R124 Q134">
    <cfRule type="containsText" priority="54" operator="containsText" aboveAverage="0" equalAverage="0" bottom="0" percent="0" rank="0" text="Error" dxfId="2">
      <formula>NOT(ISERROR(SEARCH("Error",Q75)))</formula>
    </cfRule>
  </conditionalFormatting>
  <conditionalFormatting sqref="Q78:R101 Q103:R124 CI78:CM130 CI132:CM159">
    <cfRule type="containsText" priority="55" operator="containsText" aboveAverage="0" equalAverage="0" bottom="0" percent="0" rank="0" text="FALSE" dxfId="2">
      <formula>NOT(ISERROR(SEARCH("FALSE",Q78)))</formula>
    </cfRule>
  </conditionalFormatting>
  <conditionalFormatting sqref="L147:P149">
    <cfRule type="expression" priority="56" aboveAverage="0" equalAverage="0" bottom="0" percent="0" rank="0" text="" dxfId="0">
      <formula>AND($F147="Yes")</formula>
    </cfRule>
    <cfRule type="expression" priority="57" aboveAverage="0" equalAverage="0" bottom="0" percent="0" rank="0" text="" dxfId="1">
      <formula>AND($F147="No")</formula>
    </cfRule>
  </conditionalFormatting>
  <conditionalFormatting sqref="Q128:R128">
    <cfRule type="containsText" priority="58" operator="containsText" aboveAverage="0" equalAverage="0" bottom="0" percent="0" rank="0" text="Error" dxfId="2">
      <formula>NOT(ISERROR(SEARCH("Error",Q128)))</formula>
    </cfRule>
    <cfRule type="containsText" priority="59" operator="containsText" aboveAverage="0" equalAverage="0" bottom="0" percent="0" rank="0" text="FALSE" dxfId="2">
      <formula>NOT(ISERROR(SEARCH("FALSE",Q128)))</formula>
    </cfRule>
  </conditionalFormatting>
  <conditionalFormatting sqref="I107:K107">
    <cfRule type="expression" priority="60" aboveAverage="0" equalAverage="0" bottom="0" percent="0" rank="0" text="" dxfId="0">
      <formula>AND($F107="Yes")</formula>
    </cfRule>
    <cfRule type="expression" priority="61" aboveAverage="0" equalAverage="0" bottom="0" percent="0" rank="0" text="" dxfId="1">
      <formula>AND($F107="No")</formula>
    </cfRule>
  </conditionalFormatting>
  <conditionalFormatting sqref="I123:K124">
    <cfRule type="expression" priority="62" aboveAverage="0" equalAverage="0" bottom="0" percent="0" rank="0" text="" dxfId="0">
      <formula>AND($F123="Yes")</formula>
    </cfRule>
    <cfRule type="expression" priority="63" aboveAverage="0" equalAverage="0" bottom="0" percent="0" rank="0" text="" dxfId="1">
      <formula>AND($F123="No")</formula>
    </cfRule>
  </conditionalFormatting>
  <conditionalFormatting sqref="I115:K115">
    <cfRule type="expression" priority="64" aboveAverage="0" equalAverage="0" bottom="0" percent="0" rank="0" text="" dxfId="0">
      <formula>AND($F115="Yes")</formula>
    </cfRule>
    <cfRule type="expression" priority="65" aboveAverage="0" equalAverage="0" bottom="0" percent="0" rank="0" text="" dxfId="1">
      <formula>AND($F115="No")</formula>
    </cfRule>
  </conditionalFormatting>
  <conditionalFormatting sqref="E83:E87 E91:E95 E110:E114 F13:G13 I78:J79 I83:J87 I91:J95 I96:P98 I105:J106 I110:J114 I118:J122 J25:J28 J39:J42 L78:P79 L83:P87 L91:P95 L105:P107 L110:P115 L118:P124 L137:P140 L152:P156 T78:CA80 T83:CA88 T91:CB91 T92:CA98 T105:CA107 T110:CA115 T118:CA124 T137:CA140 CC78:CG80 CC83:CG88 CC91:CG98 CC105:CG107 CC110:CG115 CC118:CG124 CC137:CG139 CI78:CM80 CI83:CM88 CI91:CM98 CI105:CM107 CI110:CM115 CI118:CM124 CI137:CM139">
    <cfRule type="expression" priority="66" aboveAverage="0" equalAverage="0" bottom="0" percent="0" rank="0" text="" dxfId="0">
      <formula>AND($F13="Yes")</formula>
    </cfRule>
    <cfRule type="expression" priority="67" aboveAverage="0" equalAverage="0" bottom="0" percent="0" rank="0" text="" dxfId="1">
      <formula>AND($F13="No")</formula>
    </cfRule>
  </conditionalFormatting>
  <conditionalFormatting sqref="E108">
    <cfRule type="expression" priority="68" aboveAverage="0" equalAverage="0" bottom="0" percent="0" rank="0" text="" dxfId="4">
      <formula>AND($F108="Yes")</formula>
    </cfRule>
    <cfRule type="expression" priority="69" aboveAverage="0" equalAverage="0" bottom="0" percent="0" rank="0" text="" dxfId="5">
      <formula>AND($F108="No")</formula>
    </cfRule>
  </conditionalFormatting>
  <conditionalFormatting sqref="E125">
    <cfRule type="expression" priority="70" aboveAverage="0" equalAverage="0" bottom="0" percent="0" rank="0" text="" dxfId="4">
      <formula>AND($F125="Yes")</formula>
    </cfRule>
    <cfRule type="expression" priority="71" aboveAverage="0" equalAverage="0" bottom="0" percent="0" rank="0" text="" dxfId="5">
      <formula>AND($F125="No")</formula>
    </cfRule>
  </conditionalFormatting>
  <conditionalFormatting sqref="I80:P80">
    <cfRule type="expression" priority="72" aboveAverage="0" equalAverage="0" bottom="0" percent="0" rank="0" text="" dxfId="0">
      <formula>AND($F80="Yes")</formula>
    </cfRule>
    <cfRule type="expression" priority="73" aboveAverage="0" equalAverage="0" bottom="0" percent="0" rank="0" text="" dxfId="1">
      <formula>AND($F80="No")</formula>
    </cfRule>
  </conditionalFormatting>
  <conditionalFormatting sqref="D147:D148 E81 E143">
    <cfRule type="expression" priority="74" aboveAverage="0" equalAverage="0" bottom="0" percent="0" rank="0" text="" dxfId="4">
      <formula>AND($F81="Yes")</formula>
    </cfRule>
    <cfRule type="expression" priority="75" aboveAverage="0" equalAverage="0" bottom="0" percent="0" rank="0" text="" dxfId="5">
      <formula>AND($F81="No")</formula>
    </cfRule>
  </conditionalFormatting>
  <conditionalFormatting sqref="E99">
    <cfRule type="expression" priority="76" aboveAverage="0" equalAverage="0" bottom="0" percent="0" rank="0" text="" dxfId="4">
      <formula>AND($F99="Yes")</formula>
    </cfRule>
    <cfRule type="expression" priority="77" aboveAverage="0" equalAverage="0" bottom="0" percent="0" rank="0" text="" dxfId="5">
      <formula>AND($F99="No")</formula>
    </cfRule>
  </conditionalFormatting>
  <conditionalFormatting sqref="G174 J32:J33 J35">
    <cfRule type="expression" priority="78" aboveAverage="0" equalAverage="0" bottom="0" percent="0" rank="0" text="" dxfId="0">
      <formula>AND(#ref!="Yes")</formula>
    </cfRule>
    <cfRule type="expression" priority="79" aboveAverage="0" equalAverage="0" bottom="0" percent="0" rank="0" text="" dxfId="1">
      <formula>AND(#ref!="No")</formula>
    </cfRule>
  </conditionalFormatting>
  <printOptions headings="false" gridLines="false" gridLinesSet="true" horizontalCentered="true" verticalCentered="false"/>
  <pageMargins left="0.25" right="0.25" top="0.75" bottom="0.75" header="0.3" footer="0.3"/>
  <pageSetup paperSize="1" scale="27" fitToWidth="1" fitToHeight="1" pageOrder="downThenOver" orientation="portrait" blackAndWhite="false" draft="false" cellComments="none" horizontalDpi="300" verticalDpi="300" copies="1"/>
  <headerFooter differentFirst="false" differentOddEven="false">
    <oddHeader>&amp;CSTRICTLY CONFIDENTIAL</oddHeader>
    <oddFooter>&amp;R&amp;P/&amp;N</oddFooter>
  </headerFooter>
  <rowBreaks count="2" manualBreakCount="2">
    <brk id="143" man="true" max="16383" min="0"/>
    <brk id="194" man="true" max="16383" min="0"/>
  </row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B2:N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12"/>
    <col collapsed="false" customWidth="true" hidden="false" outlineLevel="0" max="4" min="4" style="0" width="15"/>
    <col collapsed="false" customWidth="true" hidden="false" outlineLevel="0" max="5" min="5" style="0" width="12"/>
    <col collapsed="false" customWidth="true" hidden="false" outlineLevel="0" max="8" min="6" style="0" width="16"/>
    <col collapsed="false" customWidth="true" hidden="false" outlineLevel="0" max="9" min="9" style="0" width="60"/>
    <col collapsed="false" customWidth="true" hidden="false" outlineLevel="0" max="10" min="10" style="0" width="2"/>
    <col collapsed="false" customWidth="true" hidden="false" outlineLevel="0" max="11" min="11" style="0" width="12"/>
    <col collapsed="false" customWidth="true" hidden="false" outlineLevel="0" max="16" min="12" style="0" width="11"/>
    <col collapsed="false" customWidth="true" hidden="false" outlineLevel="0" max="17" min="17" style="0" width="2"/>
    <col collapsed="false" customWidth="true" hidden="false" outlineLevel="0" max="18" min="18" style="0" width="60"/>
    <col collapsed="false" customWidth="true" hidden="false" outlineLevel="0" max="19" min="19" style="0" width="2"/>
    <col collapsed="false" customWidth="true" hidden="false" outlineLevel="0" max="79" min="20" style="0" width="9"/>
  </cols>
  <sheetData>
    <row r="2" customFormat="false" ht="24" hidden="false" customHeight="true" outlineLevel="0" collapsed="false">
      <c r="B2" s="153" t="s">
        <v>169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15" hidden="false" customHeight="false" outlineLevel="0" collapsed="false">
      <c r="B4" s="154" t="s">
        <v>170</v>
      </c>
    </row>
    <row r="6" customFormat="false" ht="18" hidden="false" customHeight="true" outlineLevel="0" collapsed="false">
      <c r="B6" s="5" t="s">
        <v>171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8" customFormat="false" ht="158.2" hidden="false" customHeight="false" outlineLevel="0" collapsed="false">
      <c r="B8" s="3" t="s">
        <v>172</v>
      </c>
      <c r="D8" s="9" t="s">
        <v>173</v>
      </c>
      <c r="F8" s="155" t="s">
        <v>174</v>
      </c>
    </row>
    <row r="10" customFormat="false" ht="22.35" hidden="false" customHeight="false" outlineLevel="0" collapsed="false">
      <c r="B10" s="10" t="s">
        <v>175</v>
      </c>
      <c r="D10" s="156" t="n">
        <v>8</v>
      </c>
      <c r="F10" s="155" t="s">
        <v>176</v>
      </c>
    </row>
    <row r="11" customFormat="false" ht="15" hidden="false" customHeight="false" outlineLevel="0" collapsed="false">
      <c r="B11" s="10" t="s">
        <v>177</v>
      </c>
      <c r="D11" s="156" t="n">
        <v>21</v>
      </c>
    </row>
    <row r="12" customFormat="false" ht="15" hidden="false" customHeight="false" outlineLevel="0" collapsed="false">
      <c r="B12" s="10" t="s">
        <v>178</v>
      </c>
      <c r="D12" s="156" t="n">
        <v>12</v>
      </c>
    </row>
    <row r="14" customFormat="false" ht="18" hidden="false" customHeight="true" outlineLevel="0" collapsed="false">
      <c r="B14" s="5" t="s">
        <v>179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</row>
    <row r="16" customFormat="false" ht="23.85" hidden="false" customHeight="false" outlineLevel="0" collapsed="false">
      <c r="B16" s="157" t="s">
        <v>180</v>
      </c>
      <c r="C16" s="157" t="s">
        <v>181</v>
      </c>
      <c r="D16" s="157" t="s">
        <v>182</v>
      </c>
      <c r="E16" s="157" t="s">
        <v>183</v>
      </c>
      <c r="F16" s="157" t="s">
        <v>184</v>
      </c>
      <c r="G16" s="157" t="s">
        <v>185</v>
      </c>
      <c r="H16" s="157" t="s">
        <v>186</v>
      </c>
      <c r="I16" s="157" t="s">
        <v>187</v>
      </c>
    </row>
    <row r="17" customFormat="false" ht="15" hidden="false" customHeight="false" outlineLevel="0" collapsed="false">
      <c r="B17" s="9" t="s">
        <v>188</v>
      </c>
      <c r="C17" s="156" t="n">
        <v>3</v>
      </c>
      <c r="D17" s="158" t="n">
        <v>180000</v>
      </c>
      <c r="E17" s="159" t="n">
        <f aca="false">IF(D17="",0,D17/$D$12)</f>
        <v>15000</v>
      </c>
      <c r="F17" s="160" t="n">
        <f aca="false">IF(D17="",0,E17/($D$10*$D$11))</f>
        <v>89.2857142857143</v>
      </c>
      <c r="G17" s="159" t="n">
        <f aca="false">IF($D$8="Hourly",F17*$D$10*$D$11,IF($D$8="Monthly",E17,IF(D17="",0,D17/$D$12)))</f>
        <v>15000</v>
      </c>
      <c r="H17" s="159" t="n">
        <f aca="false">IF(C17="",0,C17*G17)</f>
        <v>45000</v>
      </c>
    </row>
    <row r="18" customFormat="false" ht="15" hidden="false" customHeight="false" outlineLevel="0" collapsed="false">
      <c r="B18" s="9" t="s">
        <v>189</v>
      </c>
      <c r="C18" s="156" t="n">
        <v>2</v>
      </c>
      <c r="D18" s="158" t="n">
        <v>140000</v>
      </c>
      <c r="E18" s="159" t="n">
        <f aca="false">IF(D18="",0,D18/$D$12)</f>
        <v>11666.6666666667</v>
      </c>
      <c r="F18" s="160" t="n">
        <f aca="false">IF(D18="",0,E18/($D$10*$D$11))</f>
        <v>69.4444444444444</v>
      </c>
      <c r="G18" s="159" t="n">
        <f aca="false">IF($D$8="Hourly",F18*$D$10*$D$11,IF($D$8="Monthly",E18,IF(D18="",0,D18/$D$12)))</f>
        <v>11666.6666666667</v>
      </c>
      <c r="H18" s="159" t="n">
        <f aca="false">IF(C18="",0,C18*G18)</f>
        <v>23333.3333333333</v>
      </c>
    </row>
    <row r="19" customFormat="false" ht="15" hidden="false" customHeight="false" outlineLevel="0" collapsed="false">
      <c r="B19" s="9" t="s">
        <v>190</v>
      </c>
      <c r="C19" s="156" t="n">
        <v>1</v>
      </c>
      <c r="D19" s="158" t="n">
        <v>220000</v>
      </c>
      <c r="E19" s="159" t="n">
        <f aca="false">IF(D19="",0,D19/$D$12)</f>
        <v>18333.3333333333</v>
      </c>
      <c r="F19" s="160" t="n">
        <f aca="false">IF(D19="",0,E19/($D$10*$D$11))</f>
        <v>109.126984126984</v>
      </c>
      <c r="G19" s="159" t="n">
        <f aca="false">IF($D$8="Hourly",F19*$D$10*$D$11,IF($D$8="Monthly",E19,IF(D19="",0,D19/$D$12)))</f>
        <v>18333.3333333333</v>
      </c>
      <c r="H19" s="159" t="n">
        <f aca="false">IF(C19="",0,C19*G19)</f>
        <v>18333.3333333333</v>
      </c>
    </row>
    <row r="20" customFormat="false" ht="15" hidden="false" customHeight="false" outlineLevel="0" collapsed="false">
      <c r="B20" s="9" t="s">
        <v>191</v>
      </c>
      <c r="C20" s="156" t="n">
        <v>1</v>
      </c>
      <c r="D20" s="158" t="n">
        <v>190000</v>
      </c>
      <c r="E20" s="159" t="n">
        <f aca="false">IF(D20="",0,D20/$D$12)</f>
        <v>15833.3333333333</v>
      </c>
      <c r="F20" s="160" t="n">
        <f aca="false">IF(D20="",0,E20/($D$10*$D$11))</f>
        <v>94.2460317460318</v>
      </c>
      <c r="G20" s="159" t="n">
        <f aca="false">IF($D$8="Hourly",F20*$D$10*$D$11,IF($D$8="Monthly",E20,IF(D20="",0,D20/$D$12)))</f>
        <v>15833.3333333333</v>
      </c>
      <c r="H20" s="159" t="n">
        <f aca="false">IF(C20="",0,C20*G20)</f>
        <v>15833.3333333333</v>
      </c>
    </row>
    <row r="21" customFormat="false" ht="15" hidden="false" customHeight="false" outlineLevel="0" collapsed="false">
      <c r="B21" s="9" t="s">
        <v>192</v>
      </c>
      <c r="C21" s="156" t="n">
        <v>1</v>
      </c>
      <c r="D21" s="158" t="n">
        <v>185000</v>
      </c>
      <c r="E21" s="159" t="n">
        <f aca="false">IF(D21="",0,D21/$D$12)</f>
        <v>15416.6666666667</v>
      </c>
      <c r="F21" s="160" t="n">
        <f aca="false">IF(D21="",0,E21/($D$10*$D$11))</f>
        <v>91.765873015873</v>
      </c>
      <c r="G21" s="159" t="n">
        <f aca="false">IF($D$8="Hourly",F21*$D$10*$D$11,IF($D$8="Monthly",E21,IF(D21="",0,D21/$D$12)))</f>
        <v>15416.6666666667</v>
      </c>
      <c r="H21" s="159" t="n">
        <f aca="false">IF(C21="",0,C21*G21)</f>
        <v>15416.6666666667</v>
      </c>
    </row>
    <row r="22" customFormat="false" ht="15" hidden="false" customHeight="false" outlineLevel="0" collapsed="false">
      <c r="B22" s="9" t="s">
        <v>193</v>
      </c>
      <c r="C22" s="156" t="n">
        <v>1</v>
      </c>
      <c r="D22" s="158" t="n">
        <v>210000</v>
      </c>
      <c r="E22" s="159" t="n">
        <f aca="false">IF(D22="",0,D22/$D$12)</f>
        <v>17500</v>
      </c>
      <c r="F22" s="160" t="n">
        <f aca="false">IF(D22="",0,E22/($D$10*$D$11))</f>
        <v>104.166666666667</v>
      </c>
      <c r="G22" s="159" t="n">
        <f aca="false">IF($D$8="Hourly",F22*$D$10*$D$11,IF($D$8="Monthly",E22,IF(D22="",0,D22/$D$12)))</f>
        <v>17500</v>
      </c>
      <c r="H22" s="159" t="n">
        <f aca="false">IF(C22="",0,C22*G22)</f>
        <v>17500</v>
      </c>
    </row>
    <row r="23" customFormat="false" ht="15" hidden="false" customHeight="false" outlineLevel="0" collapsed="false">
      <c r="B23" s="9" t="s">
        <v>194</v>
      </c>
      <c r="C23" s="156" t="n">
        <v>1</v>
      </c>
      <c r="D23" s="158" t="n">
        <v>170000</v>
      </c>
      <c r="E23" s="159" t="n">
        <f aca="false">IF(D23="",0,D23/$D$12)</f>
        <v>14166.6666666667</v>
      </c>
      <c r="F23" s="160" t="n">
        <f aca="false">IF(D23="",0,E23/($D$10*$D$11))</f>
        <v>84.3253968253968</v>
      </c>
      <c r="G23" s="159" t="n">
        <f aca="false">IF($D$8="Hourly",F23*$D$10*$D$11,IF($D$8="Monthly",E23,IF(D23="",0,D23/$D$12)))</f>
        <v>14166.6666666667</v>
      </c>
      <c r="H23" s="159" t="n">
        <f aca="false">IF(C23="",0,C23*G23)</f>
        <v>14166.6666666667</v>
      </c>
    </row>
    <row r="24" customFormat="false" ht="15" hidden="false" customHeight="false" outlineLevel="0" collapsed="false">
      <c r="B24" s="9"/>
      <c r="C24" s="156"/>
      <c r="D24" s="158"/>
      <c r="E24" s="159" t="n">
        <f aca="false">IF(D24="",0,D24/$D$12)</f>
        <v>0</v>
      </c>
      <c r="F24" s="160" t="n">
        <f aca="false">IF(D24="",0,E24/($D$10*$D$11))</f>
        <v>0</v>
      </c>
      <c r="G24" s="159" t="n">
        <f aca="false">IF($D$8="Hourly",F24*$D$10*$D$11,IF($D$8="Monthly",E24,IF(D24="",0,D24/$D$12)))</f>
        <v>0</v>
      </c>
      <c r="H24" s="159" t="n">
        <f aca="false">IF(C24="",0,C24*G24)</f>
        <v>0</v>
      </c>
      <c r="I24" s="161" t="s">
        <v>195</v>
      </c>
    </row>
    <row r="25" customFormat="false" ht="15" hidden="false" customHeight="false" outlineLevel="0" collapsed="false">
      <c r="B25" s="9"/>
      <c r="C25" s="156"/>
      <c r="D25" s="158"/>
      <c r="E25" s="159" t="n">
        <f aca="false">IF(D25="",0,D25/$D$12)</f>
        <v>0</v>
      </c>
      <c r="F25" s="160" t="n">
        <f aca="false">IF(D25="",0,E25/($D$10*$D$11))</f>
        <v>0</v>
      </c>
      <c r="G25" s="159" t="n">
        <f aca="false">IF($D$8="Hourly",F25*$D$10*$D$11,IF($D$8="Monthly",E25,IF(D25="",0,D25/$D$12)))</f>
        <v>0</v>
      </c>
      <c r="H25" s="159" t="n">
        <f aca="false">IF(C25="",0,C25*G25)</f>
        <v>0</v>
      </c>
      <c r="I25" s="161" t="s">
        <v>195</v>
      </c>
    </row>
    <row r="26" customFormat="false" ht="15" hidden="false" customHeight="false" outlineLevel="0" collapsed="false">
      <c r="B26" s="9"/>
      <c r="C26" s="156"/>
      <c r="D26" s="158"/>
      <c r="E26" s="159" t="n">
        <f aca="false">IF(D26="",0,D26/$D$12)</f>
        <v>0</v>
      </c>
      <c r="F26" s="160" t="n">
        <f aca="false">IF(D26="",0,E26/($D$10*$D$11))</f>
        <v>0</v>
      </c>
      <c r="G26" s="159" t="n">
        <f aca="false">IF($D$8="Hourly",F26*$D$10*$D$11,IF($D$8="Monthly",E26,IF(D26="",0,D26/$D$12)))</f>
        <v>0</v>
      </c>
      <c r="H26" s="159" t="n">
        <f aca="false">IF(C26="",0,C26*G26)</f>
        <v>0</v>
      </c>
      <c r="I26" s="161" t="s">
        <v>195</v>
      </c>
    </row>
    <row r="27" customFormat="false" ht="15" hidden="false" customHeight="false" outlineLevel="0" collapsed="false">
      <c r="B27" s="3" t="s">
        <v>196</v>
      </c>
      <c r="C27" s="162" t="n">
        <f aca="false">SUM(C17:C26)</f>
        <v>10</v>
      </c>
      <c r="H27" s="159" t="n">
        <f aca="false">SUM(H17:H26)</f>
        <v>149583.333333333</v>
      </c>
    </row>
    <row r="29" customFormat="false" ht="22.35" hidden="false" customHeight="false" outlineLevel="0" collapsed="false">
      <c r="B29" s="163" t="s">
        <v>197</v>
      </c>
      <c r="G29" s="159" t="n">
        <f aca="false">IF(C27=0,0,H27/C27)</f>
        <v>14958.3333333333</v>
      </c>
      <c r="H29" s="164" t="s">
        <v>198</v>
      </c>
      <c r="I29" s="155" t="s">
        <v>199</v>
      </c>
    </row>
    <row r="30" customFormat="false" ht="15" hidden="false" customHeight="false" outlineLevel="0" collapsed="false">
      <c r="G30" s="159" t="n">
        <f aca="false">G29*$D$12</f>
        <v>179500</v>
      </c>
      <c r="H30" s="164" t="s">
        <v>200</v>
      </c>
    </row>
    <row r="31" customFormat="false" ht="15" hidden="false" customHeight="false" outlineLevel="0" collapsed="false">
      <c r="G31" s="160" t="n">
        <f aca="false">G29/($D$10*$D$11)</f>
        <v>89.0376984126984</v>
      </c>
      <c r="H31" s="164" t="s">
        <v>201</v>
      </c>
    </row>
    <row r="33" customFormat="false" ht="18" hidden="false" customHeight="true" outlineLevel="0" collapsed="false">
      <c r="B33" s="5" t="s">
        <v>202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</row>
    <row r="35" customFormat="false" ht="15" hidden="false" customHeight="false" outlineLevel="0" collapsed="false">
      <c r="B35" s="165" t="s">
        <v>203</v>
      </c>
      <c r="C35" s="166" t="s">
        <v>204</v>
      </c>
      <c r="F35" s="167" t="s">
        <v>205</v>
      </c>
    </row>
    <row r="36" customFormat="false" ht="15" hidden="false" customHeight="false" outlineLevel="0" collapsed="false">
      <c r="B36" s="10" t="s">
        <v>206</v>
      </c>
      <c r="C36" s="168" t="n">
        <v>0.1</v>
      </c>
    </row>
    <row r="37" customFormat="false" ht="15" hidden="false" customHeight="false" outlineLevel="0" collapsed="false">
      <c r="B37" s="10" t="s">
        <v>207</v>
      </c>
      <c r="C37" s="168" t="n">
        <v>0.15</v>
      </c>
    </row>
    <row r="38" customFormat="false" ht="15" hidden="false" customHeight="false" outlineLevel="0" collapsed="false">
      <c r="B38" s="10" t="s">
        <v>208</v>
      </c>
      <c r="C38" s="168" t="n">
        <v>0.2</v>
      </c>
    </row>
    <row r="39" customFormat="false" ht="15" hidden="false" customHeight="false" outlineLevel="0" collapsed="false">
      <c r="B39" s="10" t="s">
        <v>209</v>
      </c>
      <c r="C39" s="168" t="n">
        <v>0.5</v>
      </c>
    </row>
    <row r="42" customFormat="false" ht="18" hidden="false" customHeight="true" outlineLevel="0" collapsed="false">
      <c r="B42" s="5" t="s">
        <v>210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</row>
    <row r="44" customFormat="false" ht="45" hidden="false" customHeight="true" outlineLevel="0" collapsed="false">
      <c r="B44" s="165" t="s">
        <v>211</v>
      </c>
      <c r="C44" s="166" t="s">
        <v>212</v>
      </c>
      <c r="F44" s="155" t="s">
        <v>213</v>
      </c>
    </row>
    <row r="45" customFormat="false" ht="15" hidden="false" customHeight="false" outlineLevel="0" collapsed="false">
      <c r="B45" s="10" t="s">
        <v>214</v>
      </c>
      <c r="C45" s="168" t="n">
        <v>0</v>
      </c>
    </row>
    <row r="46" customFormat="false" ht="15" hidden="false" customHeight="false" outlineLevel="0" collapsed="false">
      <c r="B46" s="10" t="s">
        <v>215</v>
      </c>
      <c r="C46" s="168" t="n">
        <v>0.8</v>
      </c>
    </row>
    <row r="47" customFormat="false" ht="15" hidden="false" customHeight="false" outlineLevel="0" collapsed="false">
      <c r="B47" s="10" t="s">
        <v>216</v>
      </c>
      <c r="C47" s="168" t="n">
        <v>0</v>
      </c>
    </row>
    <row r="48" customFormat="false" ht="15" hidden="false" customHeight="false" outlineLevel="0" collapsed="false">
      <c r="B48" s="10" t="s">
        <v>217</v>
      </c>
      <c r="C48" s="168" t="n">
        <v>0</v>
      </c>
    </row>
    <row r="49" customFormat="false" ht="15" hidden="false" customHeight="false" outlineLevel="0" collapsed="false">
      <c r="B49" s="10" t="s">
        <v>218</v>
      </c>
      <c r="C49" s="168" t="n">
        <v>0</v>
      </c>
    </row>
    <row r="51" customFormat="false" ht="18" hidden="false" customHeight="true" outlineLevel="0" collapsed="false">
      <c r="B51" s="5" t="s">
        <v>219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</row>
    <row r="52" customFormat="false" ht="68.65" hidden="false" customHeight="false" outlineLevel="0" collapsed="false">
      <c r="B52" s="8" t="s">
        <v>220</v>
      </c>
    </row>
    <row r="53" customFormat="false" ht="46.25" hidden="false" customHeight="false" outlineLevel="0" collapsed="false">
      <c r="B53" s="8" t="s">
        <v>221</v>
      </c>
    </row>
    <row r="54" customFormat="false" ht="57.45" hidden="false" customHeight="false" outlineLevel="0" collapsed="false">
      <c r="B54" s="8" t="s">
        <v>222</v>
      </c>
    </row>
  </sheetData>
  <dataValidations count="1">
    <dataValidation allowBlank="false" errorStyle="stop" operator="between" showDropDown="false" showErrorMessage="false" showInputMessage="false" sqref="D8" type="list">
      <formula1>"Yearly,Monthly,Hourly"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B2:N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4"/>
    <col collapsed="false" customWidth="true" hidden="false" outlineLevel="0" max="12" min="3" style="0" width="13"/>
  </cols>
  <sheetData>
    <row r="2" customFormat="false" ht="24" hidden="false" customHeight="true" outlineLevel="0" collapsed="false">
      <c r="B2" s="153" t="s">
        <v>223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5" hidden="false" customHeight="false" outlineLevel="0" collapsed="false">
      <c r="B3" s="167" t="s">
        <v>224</v>
      </c>
    </row>
    <row r="5" customFormat="false" ht="22.35" hidden="false" customHeight="false" outlineLevel="0" collapsed="false">
      <c r="B5" s="169" t="s">
        <v>225</v>
      </c>
      <c r="C5" s="169" t="s">
        <v>226</v>
      </c>
      <c r="D5" s="169" t="s">
        <v>227</v>
      </c>
      <c r="E5" s="169" t="s">
        <v>228</v>
      </c>
      <c r="F5" s="169" t="s">
        <v>229</v>
      </c>
      <c r="G5" s="169" t="s">
        <v>230</v>
      </c>
      <c r="H5" s="169" t="s">
        <v>231</v>
      </c>
      <c r="I5" s="169" t="s">
        <v>232</v>
      </c>
      <c r="J5" s="169" t="s">
        <v>233</v>
      </c>
      <c r="K5" s="169" t="s">
        <v>234</v>
      </c>
      <c r="L5" s="169" t="s">
        <v>235</v>
      </c>
    </row>
    <row r="6" customFormat="false" ht="15" hidden="false" customHeight="false" outlineLevel="0" collapsed="false">
      <c r="B6" s="3" t="s">
        <v>236</v>
      </c>
      <c r="C6" s="170" t="n">
        <f aca="false">'SDLC-1 WAVE'!$K$117</f>
        <v>0</v>
      </c>
      <c r="D6" s="170" t="n">
        <f aca="false">'SDLC-1 WAVE'!$L$117</f>
        <v>0</v>
      </c>
      <c r="E6" s="170" t="n">
        <f aca="false">'SDLC-1 WAVE'!$M$117</f>
        <v>0</v>
      </c>
      <c r="F6" s="170" t="n">
        <f aca="false">'SDLC-1 WAVE'!$N$117</f>
        <v>0</v>
      </c>
      <c r="G6" s="170" t="n">
        <f aca="false">'SDLC-1 WAVE'!$O$117</f>
        <v>0</v>
      </c>
      <c r="H6" s="170" t="n">
        <f aca="false">'SDLC-1 WAVE'!$P$117</f>
        <v>0</v>
      </c>
      <c r="I6" s="170" t="n">
        <f aca="false">SUM('SDLC-1 WAVE'!$L$147:$P$147)</f>
        <v>1.5247089</v>
      </c>
      <c r="J6" s="170" t="n">
        <f aca="false">'SDLC-1 WAVE'!$P$115</f>
        <v>0</v>
      </c>
      <c r="K6" s="170" t="n">
        <f aca="false">'SDLC-1 WAVE'!$G$168</f>
        <v>-1.29885522834525</v>
      </c>
      <c r="L6" s="171" t="str">
        <f aca="false">'SDLC-1 WAVE'!$G$165</f>
        <v>&gt;5</v>
      </c>
    </row>
    <row r="7" customFormat="false" ht="15" hidden="false" customHeight="false" outlineLevel="0" collapsed="false">
      <c r="B7" s="3" t="s">
        <v>237</v>
      </c>
      <c r="C7" s="170" t="n">
        <f aca="false">'SDLC-2 WAVE'!$K$117</f>
        <v>0</v>
      </c>
      <c r="D7" s="170" t="n">
        <f aca="false">'SDLC-2 WAVE'!$L$117</f>
        <v>0</v>
      </c>
      <c r="E7" s="170" t="n">
        <f aca="false">'SDLC-2 WAVE'!$M$117</f>
        <v>0</v>
      </c>
      <c r="F7" s="170" t="n">
        <f aca="false">'SDLC-2 WAVE'!$N$117</f>
        <v>0</v>
      </c>
      <c r="G7" s="170" t="n">
        <f aca="false">'SDLC-2 WAVE'!$O$117</f>
        <v>0</v>
      </c>
      <c r="H7" s="170" t="n">
        <f aca="false">'SDLC-2 WAVE'!$P$117</f>
        <v>0</v>
      </c>
      <c r="I7" s="170" t="n">
        <f aca="false">SUM('SDLC-2 WAVE'!$L$147:$P$147)</f>
        <v>1.5247089</v>
      </c>
      <c r="J7" s="170" t="n">
        <f aca="false">'SDLC-2 WAVE'!$P$115</f>
        <v>0</v>
      </c>
      <c r="K7" s="170" t="n">
        <f aca="false">'SDLC-2 WAVE'!$G$168</f>
        <v>-1.28630165166605</v>
      </c>
      <c r="L7" s="171" t="str">
        <f aca="false">'SDLC-2 WAVE'!$G$165</f>
        <v>&gt;5</v>
      </c>
    </row>
    <row r="8" customFormat="false" ht="15" hidden="false" customHeight="false" outlineLevel="0" collapsed="false">
      <c r="B8" s="172" t="s">
        <v>238</v>
      </c>
      <c r="C8" s="173" t="n">
        <f aca="false">SUM(C6:C7)</f>
        <v>0</v>
      </c>
      <c r="D8" s="173" t="n">
        <f aca="false">SUM(D6:D7)</f>
        <v>0</v>
      </c>
      <c r="E8" s="173" t="n">
        <f aca="false">SUM(E6:E7)</f>
        <v>0</v>
      </c>
      <c r="F8" s="173" t="n">
        <f aca="false">SUM(F6:F7)</f>
        <v>0</v>
      </c>
      <c r="G8" s="173" t="n">
        <f aca="false">SUM(G6:G7)</f>
        <v>0</v>
      </c>
      <c r="H8" s="173" t="n">
        <f aca="false">SUM(H6:H7)</f>
        <v>0</v>
      </c>
      <c r="I8" s="173" t="n">
        <f aca="false">SUM(I6:I7)</f>
        <v>3.0494178</v>
      </c>
      <c r="J8" s="173" t="n">
        <f aca="false">SUM(J6:J7)</f>
        <v>0</v>
      </c>
    </row>
    <row r="10" customFormat="false" ht="15" hidden="false" customHeight="false" outlineLevel="0" collapsed="false">
      <c r="B10" s="167" t="s">
        <v>239</v>
      </c>
    </row>
    <row r="11" customFormat="false" ht="15" hidden="false" customHeight="false" outlineLevel="0" collapsed="false">
      <c r="B11" s="174" t="s">
        <v>240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B2:CA1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6" topLeftCell="G7" activePane="bottomRight" state="frozen"/>
      <selection pane="topLeft" activeCell="A1" activeCellId="0" sqref="A1"/>
      <selection pane="topRight" activeCell="G1" activeCellId="0" sqref="G1"/>
      <selection pane="bottomLeft" activeCell="A7" activeCellId="0" sqref="A7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3" min="3" style="0" width="34"/>
    <col collapsed="false" customWidth="true" hidden="false" outlineLevel="0" max="4" min="4" style="0" width="15"/>
    <col collapsed="false" customWidth="true" hidden="false" outlineLevel="0" max="5" min="5" style="0" width="12"/>
    <col collapsed="false" customWidth="true" hidden="false" outlineLevel="0" max="8" min="6" style="0" width="15"/>
    <col collapsed="false" customWidth="true" hidden="false" outlineLevel="0" max="9" min="9" style="0" width="13"/>
    <col collapsed="false" customWidth="true" hidden="false" outlineLevel="0" max="10" min="10" style="0" width="2"/>
    <col collapsed="false" customWidth="true" hidden="false" outlineLevel="0" max="11" min="11" style="0" width="12"/>
    <col collapsed="false" customWidth="true" hidden="false" outlineLevel="0" max="16" min="12" style="0" width="11"/>
    <col collapsed="false" customWidth="true" hidden="false" outlineLevel="0" max="17" min="17" style="0" width="2"/>
    <col collapsed="false" customWidth="true" hidden="false" outlineLevel="0" max="18" min="18" style="0" width="60"/>
    <col collapsed="false" customWidth="true" hidden="false" outlineLevel="0" max="19" min="19" style="0" width="2"/>
    <col collapsed="false" customWidth="true" hidden="false" outlineLevel="0" max="79" min="20" style="0" width="9"/>
  </cols>
  <sheetData>
    <row r="2" customFormat="false" ht="24" hidden="false" customHeight="true" outlineLevel="0" collapsed="false">
      <c r="B2" s="153" t="s">
        <v>241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5" hidden="false" customHeight="false" outlineLevel="0" collapsed="false">
      <c r="B3" s="154" t="s">
        <v>242</v>
      </c>
    </row>
    <row r="5" customFormat="false" ht="15" hidden="false" customHeight="false" outlineLevel="0" collapsed="false">
      <c r="T5" s="175" t="n">
        <v>2026</v>
      </c>
      <c r="U5" s="175" t="n">
        <v>2026</v>
      </c>
      <c r="V5" s="175" t="n">
        <v>2026</v>
      </c>
      <c r="W5" s="175" t="n">
        <v>2026</v>
      </c>
      <c r="X5" s="175" t="n">
        <v>2026</v>
      </c>
      <c r="Y5" s="175" t="n">
        <v>2026</v>
      </c>
      <c r="Z5" s="175" t="n">
        <v>2026</v>
      </c>
      <c r="AA5" s="175" t="n">
        <v>2026</v>
      </c>
      <c r="AB5" s="175" t="n">
        <v>2026</v>
      </c>
      <c r="AC5" s="175" t="n">
        <v>2026</v>
      </c>
      <c r="AD5" s="175" t="n">
        <v>2026</v>
      </c>
      <c r="AE5" s="175" t="n">
        <v>2026</v>
      </c>
      <c r="AF5" s="175" t="n">
        <v>2027</v>
      </c>
      <c r="AG5" s="175" t="n">
        <v>2027</v>
      </c>
      <c r="AH5" s="175" t="n">
        <v>2027</v>
      </c>
      <c r="AI5" s="175" t="n">
        <v>2027</v>
      </c>
      <c r="AJ5" s="175" t="n">
        <v>2027</v>
      </c>
      <c r="AK5" s="175" t="n">
        <v>2027</v>
      </c>
      <c r="AL5" s="175" t="n">
        <v>2027</v>
      </c>
      <c r="AM5" s="175" t="n">
        <v>2027</v>
      </c>
      <c r="AN5" s="175" t="n">
        <v>2027</v>
      </c>
      <c r="AO5" s="175" t="n">
        <v>2027</v>
      </c>
      <c r="AP5" s="175" t="n">
        <v>2027</v>
      </c>
      <c r="AQ5" s="175" t="n">
        <v>2027</v>
      </c>
      <c r="AR5" s="175" t="n">
        <v>2028</v>
      </c>
      <c r="AS5" s="175" t="n">
        <v>2028</v>
      </c>
      <c r="AT5" s="175" t="n">
        <v>2028</v>
      </c>
      <c r="AU5" s="175" t="n">
        <v>2028</v>
      </c>
      <c r="AV5" s="175" t="n">
        <v>2028</v>
      </c>
      <c r="AW5" s="175" t="n">
        <v>2028</v>
      </c>
      <c r="AX5" s="175" t="n">
        <v>2028</v>
      </c>
      <c r="AY5" s="175" t="n">
        <v>2028</v>
      </c>
      <c r="AZ5" s="175" t="n">
        <v>2028</v>
      </c>
      <c r="BA5" s="175" t="n">
        <v>2028</v>
      </c>
      <c r="BB5" s="175" t="n">
        <v>2028</v>
      </c>
      <c r="BC5" s="175" t="n">
        <v>2028</v>
      </c>
      <c r="BD5" s="175" t="n">
        <v>2029</v>
      </c>
      <c r="BE5" s="175" t="n">
        <v>2029</v>
      </c>
      <c r="BF5" s="175" t="n">
        <v>2029</v>
      </c>
      <c r="BG5" s="175" t="n">
        <v>2029</v>
      </c>
      <c r="BH5" s="175" t="n">
        <v>2029</v>
      </c>
      <c r="BI5" s="175" t="n">
        <v>2029</v>
      </c>
      <c r="BJ5" s="175" t="n">
        <v>2029</v>
      </c>
      <c r="BK5" s="175" t="n">
        <v>2029</v>
      </c>
      <c r="BL5" s="175" t="n">
        <v>2029</v>
      </c>
      <c r="BM5" s="175" t="n">
        <v>2029</v>
      </c>
      <c r="BN5" s="175" t="n">
        <v>2029</v>
      </c>
      <c r="BO5" s="175" t="n">
        <v>2029</v>
      </c>
      <c r="BP5" s="175" t="n">
        <v>2030</v>
      </c>
      <c r="BQ5" s="175" t="n">
        <v>2030</v>
      </c>
      <c r="BR5" s="175" t="n">
        <v>2030</v>
      </c>
      <c r="BS5" s="175" t="n">
        <v>2030</v>
      </c>
      <c r="BT5" s="175" t="n">
        <v>2030</v>
      </c>
      <c r="BU5" s="175" t="n">
        <v>2030</v>
      </c>
      <c r="BV5" s="175" t="n">
        <v>2030</v>
      </c>
      <c r="BW5" s="175" t="n">
        <v>2030</v>
      </c>
      <c r="BX5" s="175" t="n">
        <v>2030</v>
      </c>
      <c r="BY5" s="175" t="n">
        <v>2030</v>
      </c>
      <c r="BZ5" s="175" t="n">
        <v>2030</v>
      </c>
      <c r="CA5" s="175" t="n">
        <v>2030</v>
      </c>
    </row>
    <row r="6" customFormat="false" ht="15" hidden="false" customHeight="false" outlineLevel="0" collapsed="false">
      <c r="B6" s="161" t="s">
        <v>243</v>
      </c>
      <c r="K6" s="176" t="s">
        <v>244</v>
      </c>
      <c r="L6" s="176" t="n">
        <v>2026</v>
      </c>
      <c r="M6" s="176" t="n">
        <v>2027</v>
      </c>
      <c r="N6" s="176" t="n">
        <v>2028</v>
      </c>
      <c r="O6" s="176" t="n">
        <v>2029</v>
      </c>
      <c r="P6" s="176" t="n">
        <v>2030</v>
      </c>
      <c r="T6" s="177" t="n">
        <f aca="false">DATE(2026,1,31)</f>
        <v>46053</v>
      </c>
      <c r="U6" s="177" t="n">
        <f aca="false">EOMONTH(T6,1)</f>
        <v>46081</v>
      </c>
      <c r="V6" s="177" t="n">
        <f aca="false">EOMONTH(U6,1)</f>
        <v>46112</v>
      </c>
      <c r="W6" s="177" t="n">
        <f aca="false">EOMONTH(V6,1)</f>
        <v>46142</v>
      </c>
      <c r="X6" s="177" t="n">
        <f aca="false">EOMONTH(W6,1)</f>
        <v>46173</v>
      </c>
      <c r="Y6" s="177" t="n">
        <f aca="false">EOMONTH(X6,1)</f>
        <v>46203</v>
      </c>
      <c r="Z6" s="177" t="n">
        <f aca="false">EOMONTH(Y6,1)</f>
        <v>46234</v>
      </c>
      <c r="AA6" s="177" t="n">
        <f aca="false">EOMONTH(Z6,1)</f>
        <v>46265</v>
      </c>
      <c r="AB6" s="177" t="n">
        <f aca="false">EOMONTH(AA6,1)</f>
        <v>46295</v>
      </c>
      <c r="AC6" s="177" t="n">
        <f aca="false">EOMONTH(AB6,1)</f>
        <v>46326</v>
      </c>
      <c r="AD6" s="177" t="n">
        <f aca="false">EOMONTH(AC6,1)</f>
        <v>46356</v>
      </c>
      <c r="AE6" s="177" t="n">
        <f aca="false">EOMONTH(AD6,1)</f>
        <v>46387</v>
      </c>
      <c r="AF6" s="177" t="n">
        <f aca="false">EOMONTH(AE6,1)</f>
        <v>46418</v>
      </c>
      <c r="AG6" s="177" t="n">
        <f aca="false">EOMONTH(AF6,1)</f>
        <v>46446</v>
      </c>
      <c r="AH6" s="177" t="n">
        <f aca="false">EOMONTH(AG6,1)</f>
        <v>46477</v>
      </c>
      <c r="AI6" s="177" t="n">
        <f aca="false">EOMONTH(AH6,1)</f>
        <v>46507</v>
      </c>
      <c r="AJ6" s="177" t="n">
        <f aca="false">EOMONTH(AI6,1)</f>
        <v>46538</v>
      </c>
      <c r="AK6" s="177" t="n">
        <f aca="false">EOMONTH(AJ6,1)</f>
        <v>46568</v>
      </c>
      <c r="AL6" s="177" t="n">
        <f aca="false">EOMONTH(AK6,1)</f>
        <v>46599</v>
      </c>
      <c r="AM6" s="177" t="n">
        <f aca="false">EOMONTH(AL6,1)</f>
        <v>46630</v>
      </c>
      <c r="AN6" s="177" t="n">
        <f aca="false">EOMONTH(AM6,1)</f>
        <v>46660</v>
      </c>
      <c r="AO6" s="177" t="n">
        <f aca="false">EOMONTH(AN6,1)</f>
        <v>46691</v>
      </c>
      <c r="AP6" s="177" t="n">
        <f aca="false">EOMONTH(AO6,1)</f>
        <v>46721</v>
      </c>
      <c r="AQ6" s="177" t="n">
        <f aca="false">EOMONTH(AP6,1)</f>
        <v>46752</v>
      </c>
      <c r="AR6" s="177" t="n">
        <f aca="false">EOMONTH(AQ6,1)</f>
        <v>46783</v>
      </c>
      <c r="AS6" s="177" t="n">
        <f aca="false">EOMONTH(AR6,1)</f>
        <v>46812</v>
      </c>
      <c r="AT6" s="177" t="n">
        <f aca="false">EOMONTH(AS6,1)</f>
        <v>46843</v>
      </c>
      <c r="AU6" s="177" t="n">
        <f aca="false">EOMONTH(AT6,1)</f>
        <v>46873</v>
      </c>
      <c r="AV6" s="177" t="n">
        <f aca="false">EOMONTH(AU6,1)</f>
        <v>46904</v>
      </c>
      <c r="AW6" s="177" t="n">
        <f aca="false">EOMONTH(AV6,1)</f>
        <v>46934</v>
      </c>
      <c r="AX6" s="177" t="n">
        <f aca="false">EOMONTH(AW6,1)</f>
        <v>46965</v>
      </c>
      <c r="AY6" s="177" t="n">
        <f aca="false">EOMONTH(AX6,1)</f>
        <v>46996</v>
      </c>
      <c r="AZ6" s="177" t="n">
        <f aca="false">EOMONTH(AY6,1)</f>
        <v>47026</v>
      </c>
      <c r="BA6" s="177" t="n">
        <f aca="false">EOMONTH(AZ6,1)</f>
        <v>47057</v>
      </c>
      <c r="BB6" s="177" t="n">
        <f aca="false">EOMONTH(BA6,1)</f>
        <v>47087</v>
      </c>
      <c r="BC6" s="177" t="n">
        <f aca="false">EOMONTH(BB6,1)</f>
        <v>47118</v>
      </c>
      <c r="BD6" s="177" t="n">
        <f aca="false">EOMONTH(BC6,1)</f>
        <v>47149</v>
      </c>
      <c r="BE6" s="177" t="n">
        <f aca="false">EOMONTH(BD6,1)</f>
        <v>47177</v>
      </c>
      <c r="BF6" s="177" t="n">
        <f aca="false">EOMONTH(BE6,1)</f>
        <v>47208</v>
      </c>
      <c r="BG6" s="177" t="n">
        <f aca="false">EOMONTH(BF6,1)</f>
        <v>47238</v>
      </c>
      <c r="BH6" s="177" t="n">
        <f aca="false">EOMONTH(BG6,1)</f>
        <v>47269</v>
      </c>
      <c r="BI6" s="177" t="n">
        <f aca="false">EOMONTH(BH6,1)</f>
        <v>47299</v>
      </c>
      <c r="BJ6" s="177" t="n">
        <f aca="false">EOMONTH(BI6,1)</f>
        <v>47330</v>
      </c>
      <c r="BK6" s="177" t="n">
        <f aca="false">EOMONTH(BJ6,1)</f>
        <v>47361</v>
      </c>
      <c r="BL6" s="177" t="n">
        <f aca="false">EOMONTH(BK6,1)</f>
        <v>47391</v>
      </c>
      <c r="BM6" s="177" t="n">
        <f aca="false">EOMONTH(BL6,1)</f>
        <v>47422</v>
      </c>
      <c r="BN6" s="177" t="n">
        <f aca="false">EOMONTH(BM6,1)</f>
        <v>47452</v>
      </c>
      <c r="BO6" s="177" t="n">
        <f aca="false">EOMONTH(BN6,1)</f>
        <v>47483</v>
      </c>
      <c r="BP6" s="177" t="n">
        <f aca="false">EOMONTH(BO6,1)</f>
        <v>47514</v>
      </c>
      <c r="BQ6" s="177" t="n">
        <f aca="false">EOMONTH(BP6,1)</f>
        <v>47542</v>
      </c>
      <c r="BR6" s="177" t="n">
        <f aca="false">EOMONTH(BQ6,1)</f>
        <v>47573</v>
      </c>
      <c r="BS6" s="177" t="n">
        <f aca="false">EOMONTH(BR6,1)</f>
        <v>47603</v>
      </c>
      <c r="BT6" s="177" t="n">
        <f aca="false">EOMONTH(BS6,1)</f>
        <v>47634</v>
      </c>
      <c r="BU6" s="177" t="n">
        <f aca="false">EOMONTH(BT6,1)</f>
        <v>47664</v>
      </c>
      <c r="BV6" s="177" t="n">
        <f aca="false">EOMONTH(BU6,1)</f>
        <v>47695</v>
      </c>
      <c r="BW6" s="177" t="n">
        <f aca="false">EOMONTH(BV6,1)</f>
        <v>47726</v>
      </c>
      <c r="BX6" s="177" t="n">
        <f aca="false">EOMONTH(BW6,1)</f>
        <v>47756</v>
      </c>
      <c r="BY6" s="177" t="n">
        <f aca="false">EOMONTH(BX6,1)</f>
        <v>47787</v>
      </c>
      <c r="BZ6" s="177" t="n">
        <f aca="false">EOMONTH(BY6,1)</f>
        <v>47817</v>
      </c>
      <c r="CA6" s="177" t="n">
        <f aca="false">EOMONTH(BZ6,1)</f>
        <v>47848</v>
      </c>
    </row>
    <row r="8" customFormat="false" ht="18" hidden="false" customHeight="true" outlineLevel="0" collapsed="false">
      <c r="B8" s="5" t="s">
        <v>245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10" customFormat="false" ht="15" hidden="false" customHeight="false" outlineLevel="0" collapsed="false">
      <c r="B10" s="10" t="s">
        <v>246</v>
      </c>
      <c r="D10" s="9" t="s">
        <v>247</v>
      </c>
      <c r="E10" s="9"/>
      <c r="F10" s="9"/>
      <c r="G10" s="9"/>
      <c r="H10" s="9"/>
    </row>
    <row r="11" customFormat="false" ht="22.35" hidden="false" customHeight="false" outlineLevel="0" collapsed="false">
      <c r="B11" s="10" t="s">
        <v>248</v>
      </c>
      <c r="D11" s="9" t="s">
        <v>249</v>
      </c>
      <c r="E11" s="9"/>
      <c r="F11" s="9"/>
      <c r="G11" s="9"/>
      <c r="H11" s="9"/>
      <c r="I11" s="155" t="s">
        <v>250</v>
      </c>
    </row>
    <row r="12" customFormat="false" ht="15" hidden="false" customHeight="false" outlineLevel="0" collapsed="false">
      <c r="B12" s="10" t="s">
        <v>122</v>
      </c>
      <c r="D12" s="9" t="s">
        <v>251</v>
      </c>
      <c r="E12" s="9"/>
      <c r="F12" s="9"/>
      <c r="G12" s="9"/>
      <c r="H12" s="9"/>
    </row>
    <row r="13" customFormat="false" ht="22.35" hidden="false" customHeight="false" outlineLevel="0" collapsed="false">
      <c r="B13" s="3" t="s">
        <v>252</v>
      </c>
      <c r="D13" s="178" t="n">
        <f aca="false">DATE(2027,5,1)</f>
        <v>46508</v>
      </c>
      <c r="I13" s="155" t="s">
        <v>253</v>
      </c>
    </row>
    <row r="15" customFormat="false" ht="15" hidden="false" customHeight="false" outlineLevel="0" collapsed="false">
      <c r="B15" s="167" t="s">
        <v>254</v>
      </c>
    </row>
    <row r="16" customFormat="false" ht="15" hidden="false" customHeight="false" outlineLevel="0" collapsed="false">
      <c r="B16" s="167" t="s">
        <v>255</v>
      </c>
    </row>
    <row r="17" customFormat="false" ht="15" hidden="false" customHeight="false" outlineLevel="0" collapsed="false">
      <c r="B17" s="179" t="s">
        <v>256</v>
      </c>
    </row>
    <row r="18" customFormat="false" ht="15" hidden="false" customHeight="false" outlineLevel="0" collapsed="false">
      <c r="B18" s="180" t="s">
        <v>257</v>
      </c>
    </row>
    <row r="19" customFormat="false" ht="15" hidden="false" customHeight="false" outlineLevel="0" collapsed="false">
      <c r="B19" s="180" t="s">
        <v>258</v>
      </c>
    </row>
    <row r="20" customFormat="false" ht="15" hidden="false" customHeight="false" outlineLevel="0" collapsed="false">
      <c r="B20" s="180" t="s">
        <v>259</v>
      </c>
    </row>
    <row r="21" customFormat="false" ht="15" hidden="false" customHeight="false" outlineLevel="0" collapsed="false">
      <c r="B21" s="180" t="s">
        <v>260</v>
      </c>
    </row>
    <row r="22" customFormat="false" ht="15" hidden="false" customHeight="false" outlineLevel="0" collapsed="false">
      <c r="B22" s="180" t="s">
        <v>261</v>
      </c>
    </row>
    <row r="24" customFormat="false" ht="18" hidden="false" customHeight="true" outlineLevel="0" collapsed="false">
      <c r="B24" s="5" t="s">
        <v>262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</row>
    <row r="26" customFormat="false" ht="15" hidden="false" customHeight="false" outlineLevel="0" collapsed="false">
      <c r="B26" s="181" t="s">
        <v>263</v>
      </c>
    </row>
    <row r="27" customFormat="false" ht="43.25" hidden="false" customHeight="false" outlineLevel="0" collapsed="false">
      <c r="B27" s="182" t="s">
        <v>264</v>
      </c>
      <c r="D27" s="156" t="n">
        <v>0</v>
      </c>
      <c r="E27" s="167" t="s">
        <v>265</v>
      </c>
      <c r="F27" s="155" t="s">
        <v>266</v>
      </c>
    </row>
    <row r="28" customFormat="false" ht="43.25" hidden="false" customHeight="false" outlineLevel="0" collapsed="false">
      <c r="B28" s="182" t="s">
        <v>267</v>
      </c>
      <c r="D28" s="156" t="n">
        <v>0</v>
      </c>
      <c r="E28" s="167" t="s">
        <v>268</v>
      </c>
      <c r="F28" s="155" t="s">
        <v>269</v>
      </c>
    </row>
    <row r="29" customFormat="false" ht="43.25" hidden="false" customHeight="false" outlineLevel="0" collapsed="false">
      <c r="B29" s="182" t="s">
        <v>270</v>
      </c>
      <c r="D29" s="158" t="n">
        <v>0</v>
      </c>
      <c r="E29" s="167" t="s">
        <v>271</v>
      </c>
      <c r="F29" s="155" t="s">
        <v>269</v>
      </c>
    </row>
    <row r="30" customFormat="false" ht="43.25" hidden="false" customHeight="false" outlineLevel="0" collapsed="false">
      <c r="B30" s="182" t="s">
        <v>272</v>
      </c>
      <c r="D30" s="158" t="n">
        <v>0</v>
      </c>
      <c r="E30" s="167" t="s">
        <v>271</v>
      </c>
      <c r="F30" s="155" t="s">
        <v>269</v>
      </c>
    </row>
    <row r="31" customFormat="false" ht="74.6" hidden="false" customHeight="false" outlineLevel="0" collapsed="false">
      <c r="B31" s="182" t="s">
        <v>273</v>
      </c>
      <c r="D31" s="158" t="n">
        <v>0</v>
      </c>
      <c r="E31" s="167" t="s">
        <v>271</v>
      </c>
      <c r="F31" s="155" t="s">
        <v>274</v>
      </c>
    </row>
    <row r="32" customFormat="false" ht="15" hidden="false" customHeight="false" outlineLevel="0" collapsed="false">
      <c r="B32" s="181" t="s">
        <v>275</v>
      </c>
    </row>
    <row r="33" customFormat="false" ht="53.7" hidden="false" customHeight="false" outlineLevel="0" collapsed="false">
      <c r="B33" s="182" t="s">
        <v>276</v>
      </c>
      <c r="D33" s="168" t="n">
        <v>0.15</v>
      </c>
      <c r="E33" s="167" t="s">
        <v>277</v>
      </c>
      <c r="F33" s="155" t="s">
        <v>278</v>
      </c>
    </row>
    <row r="34" customFormat="false" ht="43.25" hidden="false" customHeight="false" outlineLevel="0" collapsed="false">
      <c r="B34" s="182" t="s">
        <v>279</v>
      </c>
      <c r="D34" s="168" t="n">
        <v>0.8</v>
      </c>
      <c r="E34" s="167" t="s">
        <v>277</v>
      </c>
      <c r="F34" s="155" t="s">
        <v>280</v>
      </c>
    </row>
    <row r="35" customFormat="false" ht="53.7" hidden="false" customHeight="false" outlineLevel="0" collapsed="false">
      <c r="B35" s="182" t="s">
        <v>281</v>
      </c>
      <c r="D35" s="168" t="n">
        <v>0.65</v>
      </c>
      <c r="E35" s="167" t="s">
        <v>277</v>
      </c>
      <c r="F35" s="155" t="s">
        <v>282</v>
      </c>
    </row>
    <row r="36" customFormat="false" ht="15" hidden="false" customHeight="false" outlineLevel="0" collapsed="false">
      <c r="B36" s="181" t="s">
        <v>283</v>
      </c>
    </row>
    <row r="37" customFormat="false" ht="22.35" hidden="false" customHeight="false" outlineLevel="0" collapsed="false">
      <c r="B37" s="182" t="s">
        <v>284</v>
      </c>
      <c r="D37" s="168" t="n">
        <v>0.08</v>
      </c>
      <c r="E37" s="167" t="s">
        <v>277</v>
      </c>
      <c r="F37" s="155" t="s">
        <v>285</v>
      </c>
    </row>
    <row r="38" customFormat="false" ht="22.35" hidden="false" customHeight="false" outlineLevel="0" collapsed="false">
      <c r="B38" s="182" t="s">
        <v>286</v>
      </c>
      <c r="D38" s="168" t="n">
        <v>0.1</v>
      </c>
      <c r="E38" s="167" t="s">
        <v>277</v>
      </c>
      <c r="F38" s="155" t="s">
        <v>287</v>
      </c>
    </row>
    <row r="39" customFormat="false" ht="15" hidden="false" customHeight="false" outlineLevel="0" collapsed="false">
      <c r="B39" s="182" t="s">
        <v>288</v>
      </c>
      <c r="D39" s="9"/>
    </row>
    <row r="40" customFormat="false" ht="15" hidden="false" customHeight="false" outlineLevel="0" collapsed="false">
      <c r="B40" s="182" t="s">
        <v>288</v>
      </c>
      <c r="D40" s="9"/>
    </row>
    <row r="42" customFormat="false" ht="18" hidden="false" customHeight="true" outlineLevel="0" collapsed="false">
      <c r="B42" s="5" t="s">
        <v>289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</row>
    <row r="44" customFormat="false" ht="22.35" hidden="false" customHeight="false" outlineLevel="0" collapsed="false">
      <c r="B44" s="182" t="s">
        <v>290</v>
      </c>
      <c r="D44" s="159" t="n">
        <f aca="false">($D$27*$D$29+$D$28*$D$30)</f>
        <v>0</v>
      </c>
      <c r="E44" s="167" t="s">
        <v>271</v>
      </c>
      <c r="F44" s="155" t="s">
        <v>291</v>
      </c>
    </row>
    <row r="45" customFormat="false" ht="15" hidden="false" customHeight="false" outlineLevel="0" collapsed="false">
      <c r="B45" s="182" t="s">
        <v>292</v>
      </c>
      <c r="D45" s="159" t="n">
        <f aca="false">MAX($D$44-$D$31,0)</f>
        <v>0</v>
      </c>
      <c r="E45" s="167" t="s">
        <v>271</v>
      </c>
    </row>
    <row r="46" customFormat="false" ht="32.8" hidden="false" customHeight="false" outlineLevel="0" collapsed="false">
      <c r="B46" s="182" t="s">
        <v>293</v>
      </c>
      <c r="D46" s="159" t="n">
        <f aca="false">$D$45*$D$33*$D$34</f>
        <v>0</v>
      </c>
      <c r="E46" s="167" t="s">
        <v>271</v>
      </c>
      <c r="F46" s="155" t="s">
        <v>294</v>
      </c>
    </row>
    <row r="47" customFormat="false" ht="32.8" hidden="false" customHeight="false" outlineLevel="0" collapsed="false">
      <c r="B47" s="182" t="s">
        <v>295</v>
      </c>
      <c r="D47" s="159" t="n">
        <f aca="false">$D$46*$D$35</f>
        <v>0</v>
      </c>
      <c r="E47" s="167" t="s">
        <v>271</v>
      </c>
      <c r="F47" s="155" t="s">
        <v>296</v>
      </c>
    </row>
    <row r="49" customFormat="false" ht="18" hidden="false" customHeight="true" outlineLevel="0" collapsed="false">
      <c r="B49" s="5" t="s">
        <v>297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</row>
    <row r="51" customFormat="false" ht="53.7" hidden="false" customHeight="false" outlineLevel="0" collapsed="false">
      <c r="B51" s="3" t="s">
        <v>298</v>
      </c>
      <c r="D51" s="156" t="n">
        <v>12</v>
      </c>
      <c r="F51" s="155" t="s">
        <v>299</v>
      </c>
    </row>
    <row r="52" customFormat="false" ht="15" hidden="false" customHeight="false" outlineLevel="0" collapsed="false">
      <c r="B52" s="10" t="s">
        <v>300</v>
      </c>
      <c r="T52" s="183" t="n">
        <f aca="false">MIN(1,MAX(0,((YEAR(T$6)-YEAR($D$13))*12+MONTH(T$6)-MONTH($D$13)+0.5)/MAX($D$51,0.5)))</f>
        <v>0</v>
      </c>
      <c r="U52" s="183" t="n">
        <f aca="false">MIN(1,MAX(0,((YEAR(U$6)-YEAR($D$13))*12+MONTH(U$6)-MONTH($D$13)+0.5)/MAX($D$51,0.5)))</f>
        <v>0</v>
      </c>
      <c r="V52" s="183" t="n">
        <f aca="false">MIN(1,MAX(0,((YEAR(V$6)-YEAR($D$13))*12+MONTH(V$6)-MONTH($D$13)+0.5)/MAX($D$51,0.5)))</f>
        <v>0</v>
      </c>
      <c r="W52" s="183" t="n">
        <f aca="false">MIN(1,MAX(0,((YEAR(W$6)-YEAR($D$13))*12+MONTH(W$6)-MONTH($D$13)+0.5)/MAX($D$51,0.5)))</f>
        <v>0</v>
      </c>
      <c r="X52" s="183" t="n">
        <f aca="false">MIN(1,MAX(0,((YEAR(X$6)-YEAR($D$13))*12+MONTH(X$6)-MONTH($D$13)+0.5)/MAX($D$51,0.5)))</f>
        <v>0</v>
      </c>
      <c r="Y52" s="183" t="n">
        <f aca="false">MIN(1,MAX(0,((YEAR(Y$6)-YEAR($D$13))*12+MONTH(Y$6)-MONTH($D$13)+0.5)/MAX($D$51,0.5)))</f>
        <v>0</v>
      </c>
      <c r="Z52" s="183" t="n">
        <f aca="false">MIN(1,MAX(0,((YEAR(Z$6)-YEAR($D$13))*12+MONTH(Z$6)-MONTH($D$13)+0.5)/MAX($D$51,0.5)))</f>
        <v>0</v>
      </c>
      <c r="AA52" s="183" t="n">
        <f aca="false">MIN(1,MAX(0,((YEAR(AA$6)-YEAR($D$13))*12+MONTH(AA$6)-MONTH($D$13)+0.5)/MAX($D$51,0.5)))</f>
        <v>0</v>
      </c>
      <c r="AB52" s="183" t="n">
        <f aca="false">MIN(1,MAX(0,((YEAR(AB$6)-YEAR($D$13))*12+MONTH(AB$6)-MONTH($D$13)+0.5)/MAX($D$51,0.5)))</f>
        <v>0</v>
      </c>
      <c r="AC52" s="183" t="n">
        <f aca="false">MIN(1,MAX(0,((YEAR(AC$6)-YEAR($D$13))*12+MONTH(AC$6)-MONTH($D$13)+0.5)/MAX($D$51,0.5)))</f>
        <v>0</v>
      </c>
      <c r="AD52" s="183" t="n">
        <f aca="false">MIN(1,MAX(0,((YEAR(AD$6)-YEAR($D$13))*12+MONTH(AD$6)-MONTH($D$13)+0.5)/MAX($D$51,0.5)))</f>
        <v>0</v>
      </c>
      <c r="AE52" s="183" t="n">
        <f aca="false">MIN(1,MAX(0,((YEAR(AE$6)-YEAR($D$13))*12+MONTH(AE$6)-MONTH($D$13)+0.5)/MAX($D$51,0.5)))</f>
        <v>0</v>
      </c>
      <c r="AF52" s="183" t="n">
        <f aca="false">MIN(1,MAX(0,((YEAR(AF$6)-YEAR($D$13))*12+MONTH(AF$6)-MONTH($D$13)+0.5)/MAX($D$51,0.5)))</f>
        <v>0</v>
      </c>
      <c r="AG52" s="183" t="n">
        <f aca="false">MIN(1,MAX(0,((YEAR(AG$6)-YEAR($D$13))*12+MONTH(AG$6)-MONTH($D$13)+0.5)/MAX($D$51,0.5)))</f>
        <v>0</v>
      </c>
      <c r="AH52" s="183" t="n">
        <f aca="false">MIN(1,MAX(0,((YEAR(AH$6)-YEAR($D$13))*12+MONTH(AH$6)-MONTH($D$13)+0.5)/MAX($D$51,0.5)))</f>
        <v>0</v>
      </c>
      <c r="AI52" s="183" t="n">
        <f aca="false">MIN(1,MAX(0,((YEAR(AI$6)-YEAR($D$13))*12+MONTH(AI$6)-MONTH($D$13)+0.5)/MAX($D$51,0.5)))</f>
        <v>0</v>
      </c>
      <c r="AJ52" s="183" t="n">
        <f aca="false">MIN(1,MAX(0,((YEAR(AJ$6)-YEAR($D$13))*12+MONTH(AJ$6)-MONTH($D$13)+0.5)/MAX($D$51,0.5)))</f>
        <v>0.0416666666666667</v>
      </c>
      <c r="AK52" s="183" t="n">
        <f aca="false">MIN(1,MAX(0,((YEAR(AK$6)-YEAR($D$13))*12+MONTH(AK$6)-MONTH($D$13)+0.5)/MAX($D$51,0.5)))</f>
        <v>0.125</v>
      </c>
      <c r="AL52" s="183" t="n">
        <f aca="false">MIN(1,MAX(0,((YEAR(AL$6)-YEAR($D$13))*12+MONTH(AL$6)-MONTH($D$13)+0.5)/MAX($D$51,0.5)))</f>
        <v>0.208333333333333</v>
      </c>
      <c r="AM52" s="183" t="n">
        <f aca="false">MIN(1,MAX(0,((YEAR(AM$6)-YEAR($D$13))*12+MONTH(AM$6)-MONTH($D$13)+0.5)/MAX($D$51,0.5)))</f>
        <v>0.291666666666667</v>
      </c>
      <c r="AN52" s="183" t="n">
        <f aca="false">MIN(1,MAX(0,((YEAR(AN$6)-YEAR($D$13))*12+MONTH(AN$6)-MONTH($D$13)+0.5)/MAX($D$51,0.5)))</f>
        <v>0.375</v>
      </c>
      <c r="AO52" s="183" t="n">
        <f aca="false">MIN(1,MAX(0,((YEAR(AO$6)-YEAR($D$13))*12+MONTH(AO$6)-MONTH($D$13)+0.5)/MAX($D$51,0.5)))</f>
        <v>0.458333333333333</v>
      </c>
      <c r="AP52" s="183" t="n">
        <f aca="false">MIN(1,MAX(0,((YEAR(AP$6)-YEAR($D$13))*12+MONTH(AP$6)-MONTH($D$13)+0.5)/MAX($D$51,0.5)))</f>
        <v>0.541666666666667</v>
      </c>
      <c r="AQ52" s="183" t="n">
        <f aca="false">MIN(1,MAX(0,((YEAR(AQ$6)-YEAR($D$13))*12+MONTH(AQ$6)-MONTH($D$13)+0.5)/MAX($D$51,0.5)))</f>
        <v>0.625</v>
      </c>
      <c r="AR52" s="183" t="n">
        <f aca="false">MIN(1,MAX(0,((YEAR(AR$6)-YEAR($D$13))*12+MONTH(AR$6)-MONTH($D$13)+0.5)/MAX($D$51,0.5)))</f>
        <v>0.708333333333333</v>
      </c>
      <c r="AS52" s="183" t="n">
        <f aca="false">MIN(1,MAX(0,((YEAR(AS$6)-YEAR($D$13))*12+MONTH(AS$6)-MONTH($D$13)+0.5)/MAX($D$51,0.5)))</f>
        <v>0.791666666666667</v>
      </c>
      <c r="AT52" s="183" t="n">
        <f aca="false">MIN(1,MAX(0,((YEAR(AT$6)-YEAR($D$13))*12+MONTH(AT$6)-MONTH($D$13)+0.5)/MAX($D$51,0.5)))</f>
        <v>0.875</v>
      </c>
      <c r="AU52" s="183" t="n">
        <f aca="false">MIN(1,MAX(0,((YEAR(AU$6)-YEAR($D$13))*12+MONTH(AU$6)-MONTH($D$13)+0.5)/MAX($D$51,0.5)))</f>
        <v>0.958333333333333</v>
      </c>
      <c r="AV52" s="183" t="n">
        <f aca="false">MIN(1,MAX(0,((YEAR(AV$6)-YEAR($D$13))*12+MONTH(AV$6)-MONTH($D$13)+0.5)/MAX($D$51,0.5)))</f>
        <v>1</v>
      </c>
      <c r="AW52" s="183" t="n">
        <f aca="false">MIN(1,MAX(0,((YEAR(AW$6)-YEAR($D$13))*12+MONTH(AW$6)-MONTH($D$13)+0.5)/MAX($D$51,0.5)))</f>
        <v>1</v>
      </c>
      <c r="AX52" s="183" t="n">
        <f aca="false">MIN(1,MAX(0,((YEAR(AX$6)-YEAR($D$13))*12+MONTH(AX$6)-MONTH($D$13)+0.5)/MAX($D$51,0.5)))</f>
        <v>1</v>
      </c>
      <c r="AY52" s="183" t="n">
        <f aca="false">MIN(1,MAX(0,((YEAR(AY$6)-YEAR($D$13))*12+MONTH(AY$6)-MONTH($D$13)+0.5)/MAX($D$51,0.5)))</f>
        <v>1</v>
      </c>
      <c r="AZ52" s="183" t="n">
        <f aca="false">MIN(1,MAX(0,((YEAR(AZ$6)-YEAR($D$13))*12+MONTH(AZ$6)-MONTH($D$13)+0.5)/MAX($D$51,0.5)))</f>
        <v>1</v>
      </c>
      <c r="BA52" s="183" t="n">
        <f aca="false">MIN(1,MAX(0,((YEAR(BA$6)-YEAR($D$13))*12+MONTH(BA$6)-MONTH($D$13)+0.5)/MAX($D$51,0.5)))</f>
        <v>1</v>
      </c>
      <c r="BB52" s="183" t="n">
        <f aca="false">MIN(1,MAX(0,((YEAR(BB$6)-YEAR($D$13))*12+MONTH(BB$6)-MONTH($D$13)+0.5)/MAX($D$51,0.5)))</f>
        <v>1</v>
      </c>
      <c r="BC52" s="183" t="n">
        <f aca="false">MIN(1,MAX(0,((YEAR(BC$6)-YEAR($D$13))*12+MONTH(BC$6)-MONTH($D$13)+0.5)/MAX($D$51,0.5)))</f>
        <v>1</v>
      </c>
      <c r="BD52" s="183" t="n">
        <f aca="false">MIN(1,MAX(0,((YEAR(BD$6)-YEAR($D$13))*12+MONTH(BD$6)-MONTH($D$13)+0.5)/MAX($D$51,0.5)))</f>
        <v>1</v>
      </c>
      <c r="BE52" s="183" t="n">
        <f aca="false">MIN(1,MAX(0,((YEAR(BE$6)-YEAR($D$13))*12+MONTH(BE$6)-MONTH($D$13)+0.5)/MAX($D$51,0.5)))</f>
        <v>1</v>
      </c>
      <c r="BF52" s="183" t="n">
        <f aca="false">MIN(1,MAX(0,((YEAR(BF$6)-YEAR($D$13))*12+MONTH(BF$6)-MONTH($D$13)+0.5)/MAX($D$51,0.5)))</f>
        <v>1</v>
      </c>
      <c r="BG52" s="183" t="n">
        <f aca="false">MIN(1,MAX(0,((YEAR(BG$6)-YEAR($D$13))*12+MONTH(BG$6)-MONTH($D$13)+0.5)/MAX($D$51,0.5)))</f>
        <v>1</v>
      </c>
      <c r="BH52" s="183" t="n">
        <f aca="false">MIN(1,MAX(0,((YEAR(BH$6)-YEAR($D$13))*12+MONTH(BH$6)-MONTH($D$13)+0.5)/MAX($D$51,0.5)))</f>
        <v>1</v>
      </c>
      <c r="BI52" s="183" t="n">
        <f aca="false">MIN(1,MAX(0,((YEAR(BI$6)-YEAR($D$13))*12+MONTH(BI$6)-MONTH($D$13)+0.5)/MAX($D$51,0.5)))</f>
        <v>1</v>
      </c>
      <c r="BJ52" s="183" t="n">
        <f aca="false">MIN(1,MAX(0,((YEAR(BJ$6)-YEAR($D$13))*12+MONTH(BJ$6)-MONTH($D$13)+0.5)/MAX($D$51,0.5)))</f>
        <v>1</v>
      </c>
      <c r="BK52" s="183" t="n">
        <f aca="false">MIN(1,MAX(0,((YEAR(BK$6)-YEAR($D$13))*12+MONTH(BK$6)-MONTH($D$13)+0.5)/MAX($D$51,0.5)))</f>
        <v>1</v>
      </c>
      <c r="BL52" s="183" t="n">
        <f aca="false">MIN(1,MAX(0,((YEAR(BL$6)-YEAR($D$13))*12+MONTH(BL$6)-MONTH($D$13)+0.5)/MAX($D$51,0.5)))</f>
        <v>1</v>
      </c>
      <c r="BM52" s="183" t="n">
        <f aca="false">MIN(1,MAX(0,((YEAR(BM$6)-YEAR($D$13))*12+MONTH(BM$6)-MONTH($D$13)+0.5)/MAX($D$51,0.5)))</f>
        <v>1</v>
      </c>
      <c r="BN52" s="183" t="n">
        <f aca="false">MIN(1,MAX(0,((YEAR(BN$6)-YEAR($D$13))*12+MONTH(BN$6)-MONTH($D$13)+0.5)/MAX($D$51,0.5)))</f>
        <v>1</v>
      </c>
      <c r="BO52" s="183" t="n">
        <f aca="false">MIN(1,MAX(0,((YEAR(BO$6)-YEAR($D$13))*12+MONTH(BO$6)-MONTH($D$13)+0.5)/MAX($D$51,0.5)))</f>
        <v>1</v>
      </c>
      <c r="BP52" s="183" t="n">
        <f aca="false">MIN(1,MAX(0,((YEAR(BP$6)-YEAR($D$13))*12+MONTH(BP$6)-MONTH($D$13)+0.5)/MAX($D$51,0.5)))</f>
        <v>1</v>
      </c>
      <c r="BQ52" s="183" t="n">
        <f aca="false">MIN(1,MAX(0,((YEAR(BQ$6)-YEAR($D$13))*12+MONTH(BQ$6)-MONTH($D$13)+0.5)/MAX($D$51,0.5)))</f>
        <v>1</v>
      </c>
      <c r="BR52" s="183" t="n">
        <f aca="false">MIN(1,MAX(0,((YEAR(BR$6)-YEAR($D$13))*12+MONTH(BR$6)-MONTH($D$13)+0.5)/MAX($D$51,0.5)))</f>
        <v>1</v>
      </c>
      <c r="BS52" s="183" t="n">
        <f aca="false">MIN(1,MAX(0,((YEAR(BS$6)-YEAR($D$13))*12+MONTH(BS$6)-MONTH($D$13)+0.5)/MAX($D$51,0.5)))</f>
        <v>1</v>
      </c>
      <c r="BT52" s="183" t="n">
        <f aca="false">MIN(1,MAX(0,((YEAR(BT$6)-YEAR($D$13))*12+MONTH(BT$6)-MONTH($D$13)+0.5)/MAX($D$51,0.5)))</f>
        <v>1</v>
      </c>
      <c r="BU52" s="183" t="n">
        <f aca="false">MIN(1,MAX(0,((YEAR(BU$6)-YEAR($D$13))*12+MONTH(BU$6)-MONTH($D$13)+0.5)/MAX($D$51,0.5)))</f>
        <v>1</v>
      </c>
      <c r="BV52" s="183" t="n">
        <f aca="false">MIN(1,MAX(0,((YEAR(BV$6)-YEAR($D$13))*12+MONTH(BV$6)-MONTH($D$13)+0.5)/MAX($D$51,0.5)))</f>
        <v>1</v>
      </c>
      <c r="BW52" s="183" t="n">
        <f aca="false">MIN(1,MAX(0,((YEAR(BW$6)-YEAR($D$13))*12+MONTH(BW$6)-MONTH($D$13)+0.5)/MAX($D$51,0.5)))</f>
        <v>1</v>
      </c>
      <c r="BX52" s="183" t="n">
        <f aca="false">MIN(1,MAX(0,((YEAR(BX$6)-YEAR($D$13))*12+MONTH(BX$6)-MONTH($D$13)+0.5)/MAX($D$51,0.5)))</f>
        <v>1</v>
      </c>
      <c r="BY52" s="183" t="n">
        <f aca="false">MIN(1,MAX(0,((YEAR(BY$6)-YEAR($D$13))*12+MONTH(BY$6)-MONTH($D$13)+0.5)/MAX($D$51,0.5)))</f>
        <v>1</v>
      </c>
      <c r="BZ52" s="183" t="n">
        <f aca="false">MIN(1,MAX(0,((YEAR(BZ$6)-YEAR($D$13))*12+MONTH(BZ$6)-MONTH($D$13)+0.5)/MAX($D$51,0.5)))</f>
        <v>1</v>
      </c>
      <c r="CA52" s="183" t="n">
        <f aca="false">MIN(1,MAX(0,((YEAR(CA$6)-YEAR($D$13))*12+MONTH(CA$6)-MONTH($D$13)+0.5)/MAX($D$51,0.5)))</f>
        <v>1</v>
      </c>
    </row>
    <row r="53" customFormat="false" ht="15" hidden="false" customHeight="false" outlineLevel="0" collapsed="false">
      <c r="B53" s="10" t="s">
        <v>301</v>
      </c>
      <c r="L53" s="183" t="n">
        <f aca="false">SUMIFS($T52:$CA52,$T$5:$CA$5,2026)/12</f>
        <v>0</v>
      </c>
      <c r="M53" s="183" t="n">
        <f aca="false">SUMIFS($T52:$CA52,$T$5:$CA$5,2027)/12</f>
        <v>0.222222222222222</v>
      </c>
      <c r="N53" s="183" t="n">
        <f aca="false">SUMIFS($T52:$CA52,$T$5:$CA$5,2028)/12</f>
        <v>0.944444444444445</v>
      </c>
      <c r="O53" s="183" t="n">
        <f aca="false">SUMIFS($T52:$CA52,$T$5:$CA$5,2029)/12</f>
        <v>1</v>
      </c>
      <c r="P53" s="183" t="n">
        <f aca="false">SUMIFS($T52:$CA52,$T$5:$CA$5,2030)/12</f>
        <v>1</v>
      </c>
    </row>
    <row r="55" customFormat="false" ht="18" hidden="false" customHeight="true" outlineLevel="0" collapsed="false">
      <c r="B55" s="5" t="s">
        <v>302</v>
      </c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</row>
    <row r="57" customFormat="false" ht="15" hidden="false" customHeight="false" outlineLevel="0" collapsed="false">
      <c r="B57" s="184" t="s">
        <v>303</v>
      </c>
      <c r="D57" s="169" t="s">
        <v>304</v>
      </c>
      <c r="K57" s="185" t="s">
        <v>244</v>
      </c>
    </row>
    <row r="58" customFormat="false" ht="15" hidden="false" customHeight="false" outlineLevel="0" collapsed="false">
      <c r="B58" s="10" t="s">
        <v>305</v>
      </c>
      <c r="D58" s="186" t="n">
        <f aca="false">$D$44/1000000</f>
        <v>0</v>
      </c>
      <c r="K58" s="186" t="n">
        <f aca="false">SUMIFS($T58:$CA58,$T$5:$CA$5,2030)</f>
        <v>0</v>
      </c>
      <c r="L58" s="186" t="n">
        <f aca="false">SUMIFS($T58:$CA58,$T$5:$CA$5,2026)</f>
        <v>0</v>
      </c>
      <c r="M58" s="186" t="n">
        <f aca="false">SUMIFS($T58:$CA58,$T$5:$CA$5,2027)</f>
        <v>0</v>
      </c>
      <c r="N58" s="186" t="n">
        <f aca="false">SUMIFS($T58:$CA58,$T$5:$CA$5,2028)</f>
        <v>0</v>
      </c>
      <c r="O58" s="186" t="n">
        <f aca="false">SUMIFS($T58:$CA58,$T$5:$CA$5,2029)</f>
        <v>0</v>
      </c>
      <c r="P58" s="186" t="n">
        <f aca="false">SUMIFS($T58:$CA58,$T$5:$CA$5,2030)</f>
        <v>0</v>
      </c>
      <c r="R58" s="10"/>
      <c r="T58" s="186" t="n">
        <f aca="false">($D$47)/1000000/12*T$52</f>
        <v>0</v>
      </c>
      <c r="U58" s="186" t="n">
        <f aca="false">($D$47)/1000000/12*U$52</f>
        <v>0</v>
      </c>
      <c r="V58" s="186" t="n">
        <f aca="false">($D$47)/1000000/12*V$52</f>
        <v>0</v>
      </c>
      <c r="W58" s="186" t="n">
        <f aca="false">($D$47)/1000000/12*W$52</f>
        <v>0</v>
      </c>
      <c r="X58" s="186" t="n">
        <f aca="false">($D$47)/1000000/12*X$52</f>
        <v>0</v>
      </c>
      <c r="Y58" s="186" t="n">
        <f aca="false">($D$47)/1000000/12*Y$52</f>
        <v>0</v>
      </c>
      <c r="Z58" s="186" t="n">
        <f aca="false">($D$47)/1000000/12*Z$52</f>
        <v>0</v>
      </c>
      <c r="AA58" s="186" t="n">
        <f aca="false">($D$47)/1000000/12*AA$52</f>
        <v>0</v>
      </c>
      <c r="AB58" s="186" t="n">
        <f aca="false">($D$47)/1000000/12*AB$52</f>
        <v>0</v>
      </c>
      <c r="AC58" s="186" t="n">
        <f aca="false">($D$47)/1000000/12*AC$52</f>
        <v>0</v>
      </c>
      <c r="AD58" s="186" t="n">
        <f aca="false">($D$47)/1000000/12*AD$52</f>
        <v>0</v>
      </c>
      <c r="AE58" s="186" t="n">
        <f aca="false">($D$47)/1000000/12*AE$52</f>
        <v>0</v>
      </c>
      <c r="AF58" s="186" t="n">
        <f aca="false">($D$47)/1000000/12*AF$52</f>
        <v>0</v>
      </c>
      <c r="AG58" s="186" t="n">
        <f aca="false">($D$47)/1000000/12*AG$52</f>
        <v>0</v>
      </c>
      <c r="AH58" s="186" t="n">
        <f aca="false">($D$47)/1000000/12*AH$52</f>
        <v>0</v>
      </c>
      <c r="AI58" s="186" t="n">
        <f aca="false">($D$47)/1000000/12*AI$52</f>
        <v>0</v>
      </c>
      <c r="AJ58" s="186" t="n">
        <f aca="false">($D$47)/1000000/12*AJ$52</f>
        <v>0</v>
      </c>
      <c r="AK58" s="186" t="n">
        <f aca="false">($D$47)/1000000/12*AK$52</f>
        <v>0</v>
      </c>
      <c r="AL58" s="186" t="n">
        <f aca="false">($D$47)/1000000/12*AL$52</f>
        <v>0</v>
      </c>
      <c r="AM58" s="186" t="n">
        <f aca="false">($D$47)/1000000/12*AM$52</f>
        <v>0</v>
      </c>
      <c r="AN58" s="186" t="n">
        <f aca="false">($D$47)/1000000/12*AN$52</f>
        <v>0</v>
      </c>
      <c r="AO58" s="186" t="n">
        <f aca="false">($D$47)/1000000/12*AO$52</f>
        <v>0</v>
      </c>
      <c r="AP58" s="186" t="n">
        <f aca="false">($D$47)/1000000/12*AP$52</f>
        <v>0</v>
      </c>
      <c r="AQ58" s="186" t="n">
        <f aca="false">($D$47)/1000000/12*AQ$52</f>
        <v>0</v>
      </c>
      <c r="AR58" s="186" t="n">
        <f aca="false">($D$47)/1000000/12*AR$52</f>
        <v>0</v>
      </c>
      <c r="AS58" s="186" t="n">
        <f aca="false">($D$47)/1000000/12*AS$52</f>
        <v>0</v>
      </c>
      <c r="AT58" s="186" t="n">
        <f aca="false">($D$47)/1000000/12*AT$52</f>
        <v>0</v>
      </c>
      <c r="AU58" s="186" t="n">
        <f aca="false">($D$47)/1000000/12*AU$52</f>
        <v>0</v>
      </c>
      <c r="AV58" s="186" t="n">
        <f aca="false">($D$47)/1000000/12*AV$52</f>
        <v>0</v>
      </c>
      <c r="AW58" s="186" t="n">
        <f aca="false">($D$47)/1000000/12*AW$52</f>
        <v>0</v>
      </c>
      <c r="AX58" s="186" t="n">
        <f aca="false">($D$47)/1000000/12*AX$52</f>
        <v>0</v>
      </c>
      <c r="AY58" s="186" t="n">
        <f aca="false">($D$47)/1000000/12*AY$52</f>
        <v>0</v>
      </c>
      <c r="AZ58" s="186" t="n">
        <f aca="false">($D$47)/1000000/12*AZ$52</f>
        <v>0</v>
      </c>
      <c r="BA58" s="186" t="n">
        <f aca="false">($D$47)/1000000/12*BA$52</f>
        <v>0</v>
      </c>
      <c r="BB58" s="186" t="n">
        <f aca="false">($D$47)/1000000/12*BB$52</f>
        <v>0</v>
      </c>
      <c r="BC58" s="186" t="n">
        <f aca="false">($D$47)/1000000/12*BC$52</f>
        <v>0</v>
      </c>
      <c r="BD58" s="186" t="n">
        <f aca="false">($D$47)/1000000/12*BD$52</f>
        <v>0</v>
      </c>
      <c r="BE58" s="186" t="n">
        <f aca="false">($D$47)/1000000/12*BE$52</f>
        <v>0</v>
      </c>
      <c r="BF58" s="186" t="n">
        <f aca="false">($D$47)/1000000/12*BF$52</f>
        <v>0</v>
      </c>
      <c r="BG58" s="186" t="n">
        <f aca="false">($D$47)/1000000/12*BG$52</f>
        <v>0</v>
      </c>
      <c r="BH58" s="186" t="n">
        <f aca="false">($D$47)/1000000/12*BH$52</f>
        <v>0</v>
      </c>
      <c r="BI58" s="186" t="n">
        <f aca="false">($D$47)/1000000/12*BI$52</f>
        <v>0</v>
      </c>
      <c r="BJ58" s="186" t="n">
        <f aca="false">($D$47)/1000000/12*BJ$52</f>
        <v>0</v>
      </c>
      <c r="BK58" s="186" t="n">
        <f aca="false">($D$47)/1000000/12*BK$52</f>
        <v>0</v>
      </c>
      <c r="BL58" s="186" t="n">
        <f aca="false">($D$47)/1000000/12*BL$52</f>
        <v>0</v>
      </c>
      <c r="BM58" s="186" t="n">
        <f aca="false">($D$47)/1000000/12*BM$52</f>
        <v>0</v>
      </c>
      <c r="BN58" s="186" t="n">
        <f aca="false">($D$47)/1000000/12*BN$52</f>
        <v>0</v>
      </c>
      <c r="BO58" s="186" t="n">
        <f aca="false">($D$47)/1000000/12*BO$52</f>
        <v>0</v>
      </c>
      <c r="BP58" s="186" t="n">
        <f aca="false">($D$47)/1000000/12*BP$52</f>
        <v>0</v>
      </c>
      <c r="BQ58" s="186" t="n">
        <f aca="false">($D$47)/1000000/12*BQ$52</f>
        <v>0</v>
      </c>
      <c r="BR58" s="186" t="n">
        <f aca="false">($D$47)/1000000/12*BR$52</f>
        <v>0</v>
      </c>
      <c r="BS58" s="186" t="n">
        <f aca="false">($D$47)/1000000/12*BS$52</f>
        <v>0</v>
      </c>
      <c r="BT58" s="186" t="n">
        <f aca="false">($D$47)/1000000/12*BT$52</f>
        <v>0</v>
      </c>
      <c r="BU58" s="186" t="n">
        <f aca="false">($D$47)/1000000/12*BU$52</f>
        <v>0</v>
      </c>
      <c r="BV58" s="186" t="n">
        <f aca="false">($D$47)/1000000/12*BV$52</f>
        <v>0</v>
      </c>
      <c r="BW58" s="186" t="n">
        <f aca="false">($D$47)/1000000/12*BW$52</f>
        <v>0</v>
      </c>
      <c r="BX58" s="186" t="n">
        <f aca="false">($D$47)/1000000/12*BX$52</f>
        <v>0</v>
      </c>
      <c r="BY58" s="186" t="n">
        <f aca="false">($D$47)/1000000/12*BY$52</f>
        <v>0</v>
      </c>
      <c r="BZ58" s="186" t="n">
        <f aca="false">($D$47)/1000000/12*BZ$52</f>
        <v>0</v>
      </c>
      <c r="CA58" s="186" t="n">
        <f aca="false">($D$47)/1000000/12*CA$52</f>
        <v>0</v>
      </c>
    </row>
    <row r="59" customFormat="false" ht="15" hidden="false" customHeight="false" outlineLevel="0" collapsed="false">
      <c r="B59" s="3" t="s">
        <v>306</v>
      </c>
      <c r="K59" s="186" t="n">
        <f aca="false">SUM(K58:K58)</f>
        <v>0</v>
      </c>
      <c r="L59" s="186" t="n">
        <f aca="false">SUM(L58:L58)</f>
        <v>0</v>
      </c>
      <c r="M59" s="186" t="n">
        <f aca="false">SUM(M58:M58)</f>
        <v>0</v>
      </c>
      <c r="N59" s="186" t="n">
        <f aca="false">SUM(N58:N58)</f>
        <v>0</v>
      </c>
      <c r="O59" s="186" t="n">
        <f aca="false">SUM(O58:O58)</f>
        <v>0</v>
      </c>
      <c r="P59" s="186" t="n">
        <f aca="false">SUM(P58:P58)</f>
        <v>0</v>
      </c>
    </row>
    <row r="61" customFormat="false" ht="18" hidden="false" customHeight="true" outlineLevel="0" collapsed="false">
      <c r="B61" s="5" t="s">
        <v>307</v>
      </c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</row>
    <row r="63" customFormat="false" ht="22.35" hidden="false" customHeight="false" outlineLevel="0" collapsed="false">
      <c r="B63" s="169" t="s">
        <v>211</v>
      </c>
      <c r="C63" s="169" t="s">
        <v>308</v>
      </c>
      <c r="D63" s="169" t="s">
        <v>309</v>
      </c>
      <c r="E63" s="169" t="s">
        <v>310</v>
      </c>
      <c r="F63" s="169" t="s">
        <v>311</v>
      </c>
      <c r="G63" s="169" t="s">
        <v>312</v>
      </c>
      <c r="H63" s="169" t="s">
        <v>313</v>
      </c>
      <c r="I63" s="169" t="s">
        <v>314</v>
      </c>
      <c r="K63" s="169" t="s">
        <v>315</v>
      </c>
    </row>
    <row r="64" customFormat="false" ht="30" hidden="false" customHeight="true" outlineLevel="0" collapsed="false">
      <c r="C64" s="187" t="s">
        <v>316</v>
      </c>
      <c r="E64" s="187" t="s">
        <v>317</v>
      </c>
      <c r="F64" s="187" t="s">
        <v>318</v>
      </c>
      <c r="G64" s="187" t="s">
        <v>319</v>
      </c>
      <c r="I64" s="187" t="s">
        <v>320</v>
      </c>
    </row>
    <row r="65" customFormat="false" ht="42" hidden="false" customHeight="true" outlineLevel="0" collapsed="false">
      <c r="B65" s="188" t="s">
        <v>214</v>
      </c>
      <c r="C65" s="189" t="s">
        <v>321</v>
      </c>
      <c r="D65" s="190" t="n">
        <v>4</v>
      </c>
      <c r="E65" s="190" t="n">
        <v>2</v>
      </c>
      <c r="F65" s="168" t="n">
        <v>0.1</v>
      </c>
      <c r="G65" s="159" t="n">
        <f aca="false">D65*E65*IF(K65="",'Rate Card'!$G$29,K65)*(1+F65)</f>
        <v>131633.333333333</v>
      </c>
      <c r="H65" s="178" t="n">
        <f aca="false">DATE(2026,10,1)</f>
        <v>46296</v>
      </c>
      <c r="I65" s="191" t="n">
        <f aca="false">'Rate Card'!$C$45</f>
        <v>0</v>
      </c>
      <c r="K65" s="158"/>
    </row>
    <row r="66" customFormat="false" ht="42" hidden="false" customHeight="true" outlineLevel="0" collapsed="false">
      <c r="B66" s="188" t="s">
        <v>215</v>
      </c>
      <c r="C66" s="189" t="s">
        <v>322</v>
      </c>
      <c r="D66" s="190" t="n">
        <v>8</v>
      </c>
      <c r="E66" s="190" t="n">
        <v>5</v>
      </c>
      <c r="F66" s="168" t="n">
        <v>0.1</v>
      </c>
      <c r="G66" s="159" t="n">
        <f aca="false">D66*E66*IF(K66="",'Rate Card'!$G$29,K66)*(1+F66)</f>
        <v>658166.666666667</v>
      </c>
      <c r="H66" s="178" t="n">
        <f aca="false">DATE(2026,12,1)</f>
        <v>46357</v>
      </c>
      <c r="I66" s="191" t="n">
        <f aca="false">'Rate Card'!$C$46</f>
        <v>0.8</v>
      </c>
      <c r="K66" s="158"/>
    </row>
    <row r="67" customFormat="false" ht="42" hidden="false" customHeight="true" outlineLevel="0" collapsed="false">
      <c r="B67" s="188" t="s">
        <v>216</v>
      </c>
      <c r="C67" s="189" t="s">
        <v>323</v>
      </c>
      <c r="D67" s="190" t="n">
        <v>5</v>
      </c>
      <c r="E67" s="190" t="n">
        <v>6</v>
      </c>
      <c r="F67" s="168" t="n">
        <v>0.1</v>
      </c>
      <c r="G67" s="159" t="n">
        <f aca="false">D67*E67*IF(K67="",'Rate Card'!$G$29,K67)*(1+F67)</f>
        <v>493625</v>
      </c>
      <c r="H67" s="178" t="n">
        <f aca="false">DATE(2027,5,1)</f>
        <v>46508</v>
      </c>
      <c r="I67" s="191" t="n">
        <f aca="false">'Rate Card'!$C$47</f>
        <v>0</v>
      </c>
      <c r="K67" s="158"/>
    </row>
    <row r="68" customFormat="false" ht="42" hidden="false" customHeight="true" outlineLevel="0" collapsed="false">
      <c r="B68" s="188" t="s">
        <v>217</v>
      </c>
      <c r="C68" s="189" t="s">
        <v>324</v>
      </c>
      <c r="D68" s="190" t="n">
        <v>0</v>
      </c>
      <c r="E68" s="190" t="n">
        <v>0</v>
      </c>
      <c r="F68" s="168" t="n">
        <v>0.1</v>
      </c>
      <c r="G68" s="159" t="n">
        <f aca="false">D68*E68*IF(K68="",'Rate Card'!$G$29,K68)*(1+F68)</f>
        <v>0</v>
      </c>
      <c r="H68" s="178" t="n">
        <f aca="false">DATE(2027,11,1)</f>
        <v>46692</v>
      </c>
      <c r="I68" s="191" t="n">
        <f aca="false">'Rate Card'!$C$48</f>
        <v>0</v>
      </c>
      <c r="K68" s="158"/>
    </row>
    <row r="70" customFormat="false" ht="15" hidden="false" customHeight="false" outlineLevel="0" collapsed="false">
      <c r="B70" s="167" t="s">
        <v>325</v>
      </c>
    </row>
    <row r="71" customFormat="false" ht="15" hidden="false" customHeight="false" outlineLevel="0" collapsed="false">
      <c r="B71" s="192" t="s">
        <v>326</v>
      </c>
      <c r="T71" s="159" t="n">
        <f aca="false">IF(AND(T$6&gt;=EOMONTH($H$65,0),T$6&lt;=EOMONTH(EDATE($H$65,$E$65-1),0)),$G$65/MAX($E$65,1),0)</f>
        <v>0</v>
      </c>
      <c r="U71" s="159" t="n">
        <f aca="false">IF(AND(U$6&gt;=EOMONTH($H$65,0),U$6&lt;=EOMONTH(EDATE($H$65,$E$65-1),0)),$G$65/MAX($E$65,1),0)</f>
        <v>0</v>
      </c>
      <c r="V71" s="159" t="n">
        <f aca="false">IF(AND(V$6&gt;=EOMONTH($H$65,0),V$6&lt;=EOMONTH(EDATE($H$65,$E$65-1),0)),$G$65/MAX($E$65,1),0)</f>
        <v>0</v>
      </c>
      <c r="W71" s="159" t="n">
        <f aca="false">IF(AND(W$6&gt;=EOMONTH($H$65,0),W$6&lt;=EOMONTH(EDATE($H$65,$E$65-1),0)),$G$65/MAX($E$65,1),0)</f>
        <v>0</v>
      </c>
      <c r="X71" s="159" t="n">
        <f aca="false">IF(AND(X$6&gt;=EOMONTH($H$65,0),X$6&lt;=EOMONTH(EDATE($H$65,$E$65-1),0)),$G$65/MAX($E$65,1),0)</f>
        <v>0</v>
      </c>
      <c r="Y71" s="159" t="n">
        <f aca="false">IF(AND(Y$6&gt;=EOMONTH($H$65,0),Y$6&lt;=EOMONTH(EDATE($H$65,$E$65-1),0)),$G$65/MAX($E$65,1),0)</f>
        <v>0</v>
      </c>
      <c r="Z71" s="159" t="n">
        <f aca="false">IF(AND(Z$6&gt;=EOMONTH($H$65,0),Z$6&lt;=EOMONTH(EDATE($H$65,$E$65-1),0)),$G$65/MAX($E$65,1),0)</f>
        <v>0</v>
      </c>
      <c r="AA71" s="159" t="n">
        <f aca="false">IF(AND(AA$6&gt;=EOMONTH($H$65,0),AA$6&lt;=EOMONTH(EDATE($H$65,$E$65-1),0)),$G$65/MAX($E$65,1),0)</f>
        <v>0</v>
      </c>
      <c r="AB71" s="159" t="n">
        <f aca="false">IF(AND(AB$6&gt;=EOMONTH($H$65,0),AB$6&lt;=EOMONTH(EDATE($H$65,$E$65-1),0)),$G$65/MAX($E$65,1),0)</f>
        <v>0</v>
      </c>
      <c r="AC71" s="159" t="n">
        <f aca="false">IF(AND(AC$6&gt;=EOMONTH($H$65,0),AC$6&lt;=EOMONTH(EDATE($H$65,$E$65-1),0)),$G$65/MAX($E$65,1),0)</f>
        <v>65816.6666666667</v>
      </c>
      <c r="AD71" s="159" t="n">
        <f aca="false">IF(AND(AD$6&gt;=EOMONTH($H$65,0),AD$6&lt;=EOMONTH(EDATE($H$65,$E$65-1),0)),$G$65/MAX($E$65,1),0)</f>
        <v>65816.6666666667</v>
      </c>
      <c r="AE71" s="159" t="n">
        <f aca="false">IF(AND(AE$6&gt;=EOMONTH($H$65,0),AE$6&lt;=EOMONTH(EDATE($H$65,$E$65-1),0)),$G$65/MAX($E$65,1),0)</f>
        <v>0</v>
      </c>
      <c r="AF71" s="159" t="n">
        <f aca="false">IF(AND(AF$6&gt;=EOMONTH($H$65,0),AF$6&lt;=EOMONTH(EDATE($H$65,$E$65-1),0)),$G$65/MAX($E$65,1),0)</f>
        <v>0</v>
      </c>
      <c r="AG71" s="159" t="n">
        <f aca="false">IF(AND(AG$6&gt;=EOMONTH($H$65,0),AG$6&lt;=EOMONTH(EDATE($H$65,$E$65-1),0)),$G$65/MAX($E$65,1),0)</f>
        <v>0</v>
      </c>
      <c r="AH71" s="159" t="n">
        <f aca="false">IF(AND(AH$6&gt;=EOMONTH($H$65,0),AH$6&lt;=EOMONTH(EDATE($H$65,$E$65-1),0)),$G$65/MAX($E$65,1),0)</f>
        <v>0</v>
      </c>
      <c r="AI71" s="159" t="n">
        <f aca="false">IF(AND(AI$6&gt;=EOMONTH($H$65,0),AI$6&lt;=EOMONTH(EDATE($H$65,$E$65-1),0)),$G$65/MAX($E$65,1),0)</f>
        <v>0</v>
      </c>
      <c r="AJ71" s="159" t="n">
        <f aca="false">IF(AND(AJ$6&gt;=EOMONTH($H$65,0),AJ$6&lt;=EOMONTH(EDATE($H$65,$E$65-1),0)),$G$65/MAX($E$65,1),0)</f>
        <v>0</v>
      </c>
      <c r="AK71" s="159" t="n">
        <f aca="false">IF(AND(AK$6&gt;=EOMONTH($H$65,0),AK$6&lt;=EOMONTH(EDATE($H$65,$E$65-1),0)),$G$65/MAX($E$65,1),0)</f>
        <v>0</v>
      </c>
      <c r="AL71" s="159" t="n">
        <f aca="false">IF(AND(AL$6&gt;=EOMONTH($H$65,0),AL$6&lt;=EOMONTH(EDATE($H$65,$E$65-1),0)),$G$65/MAX($E$65,1),0)</f>
        <v>0</v>
      </c>
      <c r="AM71" s="159" t="n">
        <f aca="false">IF(AND(AM$6&gt;=EOMONTH($H$65,0),AM$6&lt;=EOMONTH(EDATE($H$65,$E$65-1),0)),$G$65/MAX($E$65,1),0)</f>
        <v>0</v>
      </c>
      <c r="AN71" s="159" t="n">
        <f aca="false">IF(AND(AN$6&gt;=EOMONTH($H$65,0),AN$6&lt;=EOMONTH(EDATE($H$65,$E$65-1),0)),$G$65/MAX($E$65,1),0)</f>
        <v>0</v>
      </c>
      <c r="AO71" s="159" t="n">
        <f aca="false">IF(AND(AO$6&gt;=EOMONTH($H$65,0),AO$6&lt;=EOMONTH(EDATE($H$65,$E$65-1),0)),$G$65/MAX($E$65,1),0)</f>
        <v>0</v>
      </c>
      <c r="AP71" s="159" t="n">
        <f aca="false">IF(AND(AP$6&gt;=EOMONTH($H$65,0),AP$6&lt;=EOMONTH(EDATE($H$65,$E$65-1),0)),$G$65/MAX($E$65,1),0)</f>
        <v>0</v>
      </c>
      <c r="AQ71" s="159" t="n">
        <f aca="false">IF(AND(AQ$6&gt;=EOMONTH($H$65,0),AQ$6&lt;=EOMONTH(EDATE($H$65,$E$65-1),0)),$G$65/MAX($E$65,1),0)</f>
        <v>0</v>
      </c>
      <c r="AR71" s="159" t="n">
        <f aca="false">IF(AND(AR$6&gt;=EOMONTH($H$65,0),AR$6&lt;=EOMONTH(EDATE($H$65,$E$65-1),0)),$G$65/MAX($E$65,1),0)</f>
        <v>0</v>
      </c>
      <c r="AS71" s="159" t="n">
        <f aca="false">IF(AND(AS$6&gt;=EOMONTH($H$65,0),AS$6&lt;=EOMONTH(EDATE($H$65,$E$65-1),0)),$G$65/MAX($E$65,1),0)</f>
        <v>0</v>
      </c>
      <c r="AT71" s="159" t="n">
        <f aca="false">IF(AND(AT$6&gt;=EOMONTH($H$65,0),AT$6&lt;=EOMONTH(EDATE($H$65,$E$65-1),0)),$G$65/MAX($E$65,1),0)</f>
        <v>0</v>
      </c>
      <c r="AU71" s="159" t="n">
        <f aca="false">IF(AND(AU$6&gt;=EOMONTH($H$65,0),AU$6&lt;=EOMONTH(EDATE($H$65,$E$65-1),0)),$G$65/MAX($E$65,1),0)</f>
        <v>0</v>
      </c>
      <c r="AV71" s="159" t="n">
        <f aca="false">IF(AND(AV$6&gt;=EOMONTH($H$65,0),AV$6&lt;=EOMONTH(EDATE($H$65,$E$65-1),0)),$G$65/MAX($E$65,1),0)</f>
        <v>0</v>
      </c>
      <c r="AW71" s="159" t="n">
        <f aca="false">IF(AND(AW$6&gt;=EOMONTH($H$65,0),AW$6&lt;=EOMONTH(EDATE($H$65,$E$65-1),0)),$G$65/MAX($E$65,1),0)</f>
        <v>0</v>
      </c>
      <c r="AX71" s="159" t="n">
        <f aca="false">IF(AND(AX$6&gt;=EOMONTH($H$65,0),AX$6&lt;=EOMONTH(EDATE($H$65,$E$65-1),0)),$G$65/MAX($E$65,1),0)</f>
        <v>0</v>
      </c>
      <c r="AY71" s="159" t="n">
        <f aca="false">IF(AND(AY$6&gt;=EOMONTH($H$65,0),AY$6&lt;=EOMONTH(EDATE($H$65,$E$65-1),0)),$G$65/MAX($E$65,1),0)</f>
        <v>0</v>
      </c>
      <c r="AZ71" s="159" t="n">
        <f aca="false">IF(AND(AZ$6&gt;=EOMONTH($H$65,0),AZ$6&lt;=EOMONTH(EDATE($H$65,$E$65-1),0)),$G$65/MAX($E$65,1),0)</f>
        <v>0</v>
      </c>
      <c r="BA71" s="159" t="n">
        <f aca="false">IF(AND(BA$6&gt;=EOMONTH($H$65,0),BA$6&lt;=EOMONTH(EDATE($H$65,$E$65-1),0)),$G$65/MAX($E$65,1),0)</f>
        <v>0</v>
      </c>
      <c r="BB71" s="159" t="n">
        <f aca="false">IF(AND(BB$6&gt;=EOMONTH($H$65,0),BB$6&lt;=EOMONTH(EDATE($H$65,$E$65-1),0)),$G$65/MAX($E$65,1),0)</f>
        <v>0</v>
      </c>
      <c r="BC71" s="159" t="n">
        <f aca="false">IF(AND(BC$6&gt;=EOMONTH($H$65,0),BC$6&lt;=EOMONTH(EDATE($H$65,$E$65-1),0)),$G$65/MAX($E$65,1),0)</f>
        <v>0</v>
      </c>
      <c r="BD71" s="159" t="n">
        <f aca="false">IF(AND(BD$6&gt;=EOMONTH($H$65,0),BD$6&lt;=EOMONTH(EDATE($H$65,$E$65-1),0)),$G$65/MAX($E$65,1),0)</f>
        <v>0</v>
      </c>
      <c r="BE71" s="159" t="n">
        <f aca="false">IF(AND(BE$6&gt;=EOMONTH($H$65,0),BE$6&lt;=EOMONTH(EDATE($H$65,$E$65-1),0)),$G$65/MAX($E$65,1),0)</f>
        <v>0</v>
      </c>
      <c r="BF71" s="159" t="n">
        <f aca="false">IF(AND(BF$6&gt;=EOMONTH($H$65,0),BF$6&lt;=EOMONTH(EDATE($H$65,$E$65-1),0)),$G$65/MAX($E$65,1),0)</f>
        <v>0</v>
      </c>
      <c r="BG71" s="159" t="n">
        <f aca="false">IF(AND(BG$6&gt;=EOMONTH($H$65,0),BG$6&lt;=EOMONTH(EDATE($H$65,$E$65-1),0)),$G$65/MAX($E$65,1),0)</f>
        <v>0</v>
      </c>
      <c r="BH71" s="159" t="n">
        <f aca="false">IF(AND(BH$6&gt;=EOMONTH($H$65,0),BH$6&lt;=EOMONTH(EDATE($H$65,$E$65-1),0)),$G$65/MAX($E$65,1),0)</f>
        <v>0</v>
      </c>
      <c r="BI71" s="159" t="n">
        <f aca="false">IF(AND(BI$6&gt;=EOMONTH($H$65,0),BI$6&lt;=EOMONTH(EDATE($H$65,$E$65-1),0)),$G$65/MAX($E$65,1),0)</f>
        <v>0</v>
      </c>
      <c r="BJ71" s="159" t="n">
        <f aca="false">IF(AND(BJ$6&gt;=EOMONTH($H$65,0),BJ$6&lt;=EOMONTH(EDATE($H$65,$E$65-1),0)),$G$65/MAX($E$65,1),0)</f>
        <v>0</v>
      </c>
      <c r="BK71" s="159" t="n">
        <f aca="false">IF(AND(BK$6&gt;=EOMONTH($H$65,0),BK$6&lt;=EOMONTH(EDATE($H$65,$E$65-1),0)),$G$65/MAX($E$65,1),0)</f>
        <v>0</v>
      </c>
      <c r="BL71" s="159" t="n">
        <f aca="false">IF(AND(BL$6&gt;=EOMONTH($H$65,0),BL$6&lt;=EOMONTH(EDATE($H$65,$E$65-1),0)),$G$65/MAX($E$65,1),0)</f>
        <v>0</v>
      </c>
      <c r="BM71" s="159" t="n">
        <f aca="false">IF(AND(BM$6&gt;=EOMONTH($H$65,0),BM$6&lt;=EOMONTH(EDATE($H$65,$E$65-1),0)),$G$65/MAX($E$65,1),0)</f>
        <v>0</v>
      </c>
      <c r="BN71" s="159" t="n">
        <f aca="false">IF(AND(BN$6&gt;=EOMONTH($H$65,0),BN$6&lt;=EOMONTH(EDATE($H$65,$E$65-1),0)),$G$65/MAX($E$65,1),0)</f>
        <v>0</v>
      </c>
      <c r="BO71" s="159" t="n">
        <f aca="false">IF(AND(BO$6&gt;=EOMONTH($H$65,0),BO$6&lt;=EOMONTH(EDATE($H$65,$E$65-1),0)),$G$65/MAX($E$65,1),0)</f>
        <v>0</v>
      </c>
      <c r="BP71" s="159" t="n">
        <f aca="false">IF(AND(BP$6&gt;=EOMONTH($H$65,0),BP$6&lt;=EOMONTH(EDATE($H$65,$E$65-1),0)),$G$65/MAX($E$65,1),0)</f>
        <v>0</v>
      </c>
      <c r="BQ71" s="159" t="n">
        <f aca="false">IF(AND(BQ$6&gt;=EOMONTH($H$65,0),BQ$6&lt;=EOMONTH(EDATE($H$65,$E$65-1),0)),$G$65/MAX($E$65,1),0)</f>
        <v>0</v>
      </c>
      <c r="BR71" s="159" t="n">
        <f aca="false">IF(AND(BR$6&gt;=EOMONTH($H$65,0),BR$6&lt;=EOMONTH(EDATE($H$65,$E$65-1),0)),$G$65/MAX($E$65,1),0)</f>
        <v>0</v>
      </c>
      <c r="BS71" s="159" t="n">
        <f aca="false">IF(AND(BS$6&gt;=EOMONTH($H$65,0),BS$6&lt;=EOMONTH(EDATE($H$65,$E$65-1),0)),$G$65/MAX($E$65,1),0)</f>
        <v>0</v>
      </c>
      <c r="BT71" s="159" t="n">
        <f aca="false">IF(AND(BT$6&gt;=EOMONTH($H$65,0),BT$6&lt;=EOMONTH(EDATE($H$65,$E$65-1),0)),$G$65/MAX($E$65,1),0)</f>
        <v>0</v>
      </c>
      <c r="BU71" s="159" t="n">
        <f aca="false">IF(AND(BU$6&gt;=EOMONTH($H$65,0),BU$6&lt;=EOMONTH(EDATE($H$65,$E$65-1),0)),$G$65/MAX($E$65,1),0)</f>
        <v>0</v>
      </c>
      <c r="BV71" s="159" t="n">
        <f aca="false">IF(AND(BV$6&gt;=EOMONTH($H$65,0),BV$6&lt;=EOMONTH(EDATE($H$65,$E$65-1),0)),$G$65/MAX($E$65,1),0)</f>
        <v>0</v>
      </c>
      <c r="BW71" s="159" t="n">
        <f aca="false">IF(AND(BW$6&gt;=EOMONTH($H$65,0),BW$6&lt;=EOMONTH(EDATE($H$65,$E$65-1),0)),$G$65/MAX($E$65,1),0)</f>
        <v>0</v>
      </c>
      <c r="BX71" s="159" t="n">
        <f aca="false">IF(AND(BX$6&gt;=EOMONTH($H$65,0),BX$6&lt;=EOMONTH(EDATE($H$65,$E$65-1),0)),$G$65/MAX($E$65,1),0)</f>
        <v>0</v>
      </c>
      <c r="BY71" s="159" t="n">
        <f aca="false">IF(AND(BY$6&gt;=EOMONTH($H$65,0),BY$6&lt;=EOMONTH(EDATE($H$65,$E$65-1),0)),$G$65/MAX($E$65,1),0)</f>
        <v>0</v>
      </c>
      <c r="BZ71" s="159" t="n">
        <f aca="false">IF(AND(BZ$6&gt;=EOMONTH($H$65,0),BZ$6&lt;=EOMONTH(EDATE($H$65,$E$65-1),0)),$G$65/MAX($E$65,1),0)</f>
        <v>0</v>
      </c>
      <c r="CA71" s="159" t="n">
        <f aca="false">IF(AND(CA$6&gt;=EOMONTH($H$65,0),CA$6&lt;=EOMONTH(EDATE($H$65,$E$65-1),0)),$G$65/MAX($E$65,1),0)</f>
        <v>0</v>
      </c>
    </row>
    <row r="72" customFormat="false" ht="15" hidden="false" customHeight="false" outlineLevel="0" collapsed="false">
      <c r="B72" s="192" t="s">
        <v>327</v>
      </c>
      <c r="T72" s="159" t="n">
        <f aca="false">IF(AND(T$6&gt;=EOMONTH($H$66,0),T$6&lt;=EOMONTH(EDATE($H$66,$E$66-1),0)),$G$66/MAX($E$66,1),0)</f>
        <v>0</v>
      </c>
      <c r="U72" s="159" t="n">
        <f aca="false">IF(AND(U$6&gt;=EOMONTH($H$66,0),U$6&lt;=EOMONTH(EDATE($H$66,$E$66-1),0)),$G$66/MAX($E$66,1),0)</f>
        <v>0</v>
      </c>
      <c r="V72" s="159" t="n">
        <f aca="false">IF(AND(V$6&gt;=EOMONTH($H$66,0),V$6&lt;=EOMONTH(EDATE($H$66,$E$66-1),0)),$G$66/MAX($E$66,1),0)</f>
        <v>0</v>
      </c>
      <c r="W72" s="159" t="n">
        <f aca="false">IF(AND(W$6&gt;=EOMONTH($H$66,0),W$6&lt;=EOMONTH(EDATE($H$66,$E$66-1),0)),$G$66/MAX($E$66,1),0)</f>
        <v>0</v>
      </c>
      <c r="X72" s="159" t="n">
        <f aca="false">IF(AND(X$6&gt;=EOMONTH($H$66,0),X$6&lt;=EOMONTH(EDATE($H$66,$E$66-1),0)),$G$66/MAX($E$66,1),0)</f>
        <v>0</v>
      </c>
      <c r="Y72" s="159" t="n">
        <f aca="false">IF(AND(Y$6&gt;=EOMONTH($H$66,0),Y$6&lt;=EOMONTH(EDATE($H$66,$E$66-1),0)),$G$66/MAX($E$66,1),0)</f>
        <v>0</v>
      </c>
      <c r="Z72" s="159" t="n">
        <f aca="false">IF(AND(Z$6&gt;=EOMONTH($H$66,0),Z$6&lt;=EOMONTH(EDATE($H$66,$E$66-1),0)),$G$66/MAX($E$66,1),0)</f>
        <v>0</v>
      </c>
      <c r="AA72" s="159" t="n">
        <f aca="false">IF(AND(AA$6&gt;=EOMONTH($H$66,0),AA$6&lt;=EOMONTH(EDATE($H$66,$E$66-1),0)),$G$66/MAX($E$66,1),0)</f>
        <v>0</v>
      </c>
      <c r="AB72" s="159" t="n">
        <f aca="false">IF(AND(AB$6&gt;=EOMONTH($H$66,0),AB$6&lt;=EOMONTH(EDATE($H$66,$E$66-1),0)),$G$66/MAX($E$66,1),0)</f>
        <v>0</v>
      </c>
      <c r="AC72" s="159" t="n">
        <f aca="false">IF(AND(AC$6&gt;=EOMONTH($H$66,0),AC$6&lt;=EOMONTH(EDATE($H$66,$E$66-1),0)),$G$66/MAX($E$66,1),0)</f>
        <v>0</v>
      </c>
      <c r="AD72" s="159" t="n">
        <f aca="false">IF(AND(AD$6&gt;=EOMONTH($H$66,0),AD$6&lt;=EOMONTH(EDATE($H$66,$E$66-1),0)),$G$66/MAX($E$66,1),0)</f>
        <v>0</v>
      </c>
      <c r="AE72" s="159" t="n">
        <f aca="false">IF(AND(AE$6&gt;=EOMONTH($H$66,0),AE$6&lt;=EOMONTH(EDATE($H$66,$E$66-1),0)),$G$66/MAX($E$66,1),0)</f>
        <v>131633.333333333</v>
      </c>
      <c r="AF72" s="159" t="n">
        <f aca="false">IF(AND(AF$6&gt;=EOMONTH($H$66,0),AF$6&lt;=EOMONTH(EDATE($H$66,$E$66-1),0)),$G$66/MAX($E$66,1),0)</f>
        <v>131633.333333333</v>
      </c>
      <c r="AG72" s="159" t="n">
        <f aca="false">IF(AND(AG$6&gt;=EOMONTH($H$66,0),AG$6&lt;=EOMONTH(EDATE($H$66,$E$66-1),0)),$G$66/MAX($E$66,1),0)</f>
        <v>131633.333333333</v>
      </c>
      <c r="AH72" s="159" t="n">
        <f aca="false">IF(AND(AH$6&gt;=EOMONTH($H$66,0),AH$6&lt;=EOMONTH(EDATE($H$66,$E$66-1),0)),$G$66/MAX($E$66,1),0)</f>
        <v>131633.333333333</v>
      </c>
      <c r="AI72" s="159" t="n">
        <f aca="false">IF(AND(AI$6&gt;=EOMONTH($H$66,0),AI$6&lt;=EOMONTH(EDATE($H$66,$E$66-1),0)),$G$66/MAX($E$66,1),0)</f>
        <v>131633.333333333</v>
      </c>
      <c r="AJ72" s="159" t="n">
        <f aca="false">IF(AND(AJ$6&gt;=EOMONTH($H$66,0),AJ$6&lt;=EOMONTH(EDATE($H$66,$E$66-1),0)),$G$66/MAX($E$66,1),0)</f>
        <v>0</v>
      </c>
      <c r="AK72" s="159" t="n">
        <f aca="false">IF(AND(AK$6&gt;=EOMONTH($H$66,0),AK$6&lt;=EOMONTH(EDATE($H$66,$E$66-1),0)),$G$66/MAX($E$66,1),0)</f>
        <v>0</v>
      </c>
      <c r="AL72" s="159" t="n">
        <f aca="false">IF(AND(AL$6&gt;=EOMONTH($H$66,0),AL$6&lt;=EOMONTH(EDATE($H$66,$E$66-1),0)),$G$66/MAX($E$66,1),0)</f>
        <v>0</v>
      </c>
      <c r="AM72" s="159" t="n">
        <f aca="false">IF(AND(AM$6&gt;=EOMONTH($H$66,0),AM$6&lt;=EOMONTH(EDATE($H$66,$E$66-1),0)),$G$66/MAX($E$66,1),0)</f>
        <v>0</v>
      </c>
      <c r="AN72" s="159" t="n">
        <f aca="false">IF(AND(AN$6&gt;=EOMONTH($H$66,0),AN$6&lt;=EOMONTH(EDATE($H$66,$E$66-1),0)),$G$66/MAX($E$66,1),0)</f>
        <v>0</v>
      </c>
      <c r="AO72" s="159" t="n">
        <f aca="false">IF(AND(AO$6&gt;=EOMONTH($H$66,0),AO$6&lt;=EOMONTH(EDATE($H$66,$E$66-1),0)),$G$66/MAX($E$66,1),0)</f>
        <v>0</v>
      </c>
      <c r="AP72" s="159" t="n">
        <f aca="false">IF(AND(AP$6&gt;=EOMONTH($H$66,0),AP$6&lt;=EOMONTH(EDATE($H$66,$E$66-1),0)),$G$66/MAX($E$66,1),0)</f>
        <v>0</v>
      </c>
      <c r="AQ72" s="159" t="n">
        <f aca="false">IF(AND(AQ$6&gt;=EOMONTH($H$66,0),AQ$6&lt;=EOMONTH(EDATE($H$66,$E$66-1),0)),$G$66/MAX($E$66,1),0)</f>
        <v>0</v>
      </c>
      <c r="AR72" s="159" t="n">
        <f aca="false">IF(AND(AR$6&gt;=EOMONTH($H$66,0),AR$6&lt;=EOMONTH(EDATE($H$66,$E$66-1),0)),$G$66/MAX($E$66,1),0)</f>
        <v>0</v>
      </c>
      <c r="AS72" s="159" t="n">
        <f aca="false">IF(AND(AS$6&gt;=EOMONTH($H$66,0),AS$6&lt;=EOMONTH(EDATE($H$66,$E$66-1),0)),$G$66/MAX($E$66,1),0)</f>
        <v>0</v>
      </c>
      <c r="AT72" s="159" t="n">
        <f aca="false">IF(AND(AT$6&gt;=EOMONTH($H$66,0),AT$6&lt;=EOMONTH(EDATE($H$66,$E$66-1),0)),$G$66/MAX($E$66,1),0)</f>
        <v>0</v>
      </c>
      <c r="AU72" s="159" t="n">
        <f aca="false">IF(AND(AU$6&gt;=EOMONTH($H$66,0),AU$6&lt;=EOMONTH(EDATE($H$66,$E$66-1),0)),$G$66/MAX($E$66,1),0)</f>
        <v>0</v>
      </c>
      <c r="AV72" s="159" t="n">
        <f aca="false">IF(AND(AV$6&gt;=EOMONTH($H$66,0),AV$6&lt;=EOMONTH(EDATE($H$66,$E$66-1),0)),$G$66/MAX($E$66,1),0)</f>
        <v>0</v>
      </c>
      <c r="AW72" s="159" t="n">
        <f aca="false">IF(AND(AW$6&gt;=EOMONTH($H$66,0),AW$6&lt;=EOMONTH(EDATE($H$66,$E$66-1),0)),$G$66/MAX($E$66,1),0)</f>
        <v>0</v>
      </c>
      <c r="AX72" s="159" t="n">
        <f aca="false">IF(AND(AX$6&gt;=EOMONTH($H$66,0),AX$6&lt;=EOMONTH(EDATE($H$66,$E$66-1),0)),$G$66/MAX($E$66,1),0)</f>
        <v>0</v>
      </c>
      <c r="AY72" s="159" t="n">
        <f aca="false">IF(AND(AY$6&gt;=EOMONTH($H$66,0),AY$6&lt;=EOMONTH(EDATE($H$66,$E$66-1),0)),$G$66/MAX($E$66,1),0)</f>
        <v>0</v>
      </c>
      <c r="AZ72" s="159" t="n">
        <f aca="false">IF(AND(AZ$6&gt;=EOMONTH($H$66,0),AZ$6&lt;=EOMONTH(EDATE($H$66,$E$66-1),0)),$G$66/MAX($E$66,1),0)</f>
        <v>0</v>
      </c>
      <c r="BA72" s="159" t="n">
        <f aca="false">IF(AND(BA$6&gt;=EOMONTH($H$66,0),BA$6&lt;=EOMONTH(EDATE($H$66,$E$66-1),0)),$G$66/MAX($E$66,1),0)</f>
        <v>0</v>
      </c>
      <c r="BB72" s="159" t="n">
        <f aca="false">IF(AND(BB$6&gt;=EOMONTH($H$66,0),BB$6&lt;=EOMONTH(EDATE($H$66,$E$66-1),0)),$G$66/MAX($E$66,1),0)</f>
        <v>0</v>
      </c>
      <c r="BC72" s="159" t="n">
        <f aca="false">IF(AND(BC$6&gt;=EOMONTH($H$66,0),BC$6&lt;=EOMONTH(EDATE($H$66,$E$66-1),0)),$G$66/MAX($E$66,1),0)</f>
        <v>0</v>
      </c>
      <c r="BD72" s="159" t="n">
        <f aca="false">IF(AND(BD$6&gt;=EOMONTH($H$66,0),BD$6&lt;=EOMONTH(EDATE($H$66,$E$66-1),0)),$G$66/MAX($E$66,1),0)</f>
        <v>0</v>
      </c>
      <c r="BE72" s="159" t="n">
        <f aca="false">IF(AND(BE$6&gt;=EOMONTH($H$66,0),BE$6&lt;=EOMONTH(EDATE($H$66,$E$66-1),0)),$G$66/MAX($E$66,1),0)</f>
        <v>0</v>
      </c>
      <c r="BF72" s="159" t="n">
        <f aca="false">IF(AND(BF$6&gt;=EOMONTH($H$66,0),BF$6&lt;=EOMONTH(EDATE($H$66,$E$66-1),0)),$G$66/MAX($E$66,1),0)</f>
        <v>0</v>
      </c>
      <c r="BG72" s="159" t="n">
        <f aca="false">IF(AND(BG$6&gt;=EOMONTH($H$66,0),BG$6&lt;=EOMONTH(EDATE($H$66,$E$66-1),0)),$G$66/MAX($E$66,1),0)</f>
        <v>0</v>
      </c>
      <c r="BH72" s="159" t="n">
        <f aca="false">IF(AND(BH$6&gt;=EOMONTH($H$66,0),BH$6&lt;=EOMONTH(EDATE($H$66,$E$66-1),0)),$G$66/MAX($E$66,1),0)</f>
        <v>0</v>
      </c>
      <c r="BI72" s="159" t="n">
        <f aca="false">IF(AND(BI$6&gt;=EOMONTH($H$66,0),BI$6&lt;=EOMONTH(EDATE($H$66,$E$66-1),0)),$G$66/MAX($E$66,1),0)</f>
        <v>0</v>
      </c>
      <c r="BJ72" s="159" t="n">
        <f aca="false">IF(AND(BJ$6&gt;=EOMONTH($H$66,0),BJ$6&lt;=EOMONTH(EDATE($H$66,$E$66-1),0)),$G$66/MAX($E$66,1),0)</f>
        <v>0</v>
      </c>
      <c r="BK72" s="159" t="n">
        <f aca="false">IF(AND(BK$6&gt;=EOMONTH($H$66,0),BK$6&lt;=EOMONTH(EDATE($H$66,$E$66-1),0)),$G$66/MAX($E$66,1),0)</f>
        <v>0</v>
      </c>
      <c r="BL72" s="159" t="n">
        <f aca="false">IF(AND(BL$6&gt;=EOMONTH($H$66,0),BL$6&lt;=EOMONTH(EDATE($H$66,$E$66-1),0)),$G$66/MAX($E$66,1),0)</f>
        <v>0</v>
      </c>
      <c r="BM72" s="159" t="n">
        <f aca="false">IF(AND(BM$6&gt;=EOMONTH($H$66,0),BM$6&lt;=EOMONTH(EDATE($H$66,$E$66-1),0)),$G$66/MAX($E$66,1),0)</f>
        <v>0</v>
      </c>
      <c r="BN72" s="159" t="n">
        <f aca="false">IF(AND(BN$6&gt;=EOMONTH($H$66,0),BN$6&lt;=EOMONTH(EDATE($H$66,$E$66-1),0)),$G$66/MAX($E$66,1),0)</f>
        <v>0</v>
      </c>
      <c r="BO72" s="159" t="n">
        <f aca="false">IF(AND(BO$6&gt;=EOMONTH($H$66,0),BO$6&lt;=EOMONTH(EDATE($H$66,$E$66-1),0)),$G$66/MAX($E$66,1),0)</f>
        <v>0</v>
      </c>
      <c r="BP72" s="159" t="n">
        <f aca="false">IF(AND(BP$6&gt;=EOMONTH($H$66,0),BP$6&lt;=EOMONTH(EDATE($H$66,$E$66-1),0)),$G$66/MAX($E$66,1),0)</f>
        <v>0</v>
      </c>
      <c r="BQ72" s="159" t="n">
        <f aca="false">IF(AND(BQ$6&gt;=EOMONTH($H$66,0),BQ$6&lt;=EOMONTH(EDATE($H$66,$E$66-1),0)),$G$66/MAX($E$66,1),0)</f>
        <v>0</v>
      </c>
      <c r="BR72" s="159" t="n">
        <f aca="false">IF(AND(BR$6&gt;=EOMONTH($H$66,0),BR$6&lt;=EOMONTH(EDATE($H$66,$E$66-1),0)),$G$66/MAX($E$66,1),0)</f>
        <v>0</v>
      </c>
      <c r="BS72" s="159" t="n">
        <f aca="false">IF(AND(BS$6&gt;=EOMONTH($H$66,0),BS$6&lt;=EOMONTH(EDATE($H$66,$E$66-1),0)),$G$66/MAX($E$66,1),0)</f>
        <v>0</v>
      </c>
      <c r="BT72" s="159" t="n">
        <f aca="false">IF(AND(BT$6&gt;=EOMONTH($H$66,0),BT$6&lt;=EOMONTH(EDATE($H$66,$E$66-1),0)),$G$66/MAX($E$66,1),0)</f>
        <v>0</v>
      </c>
      <c r="BU72" s="159" t="n">
        <f aca="false">IF(AND(BU$6&gt;=EOMONTH($H$66,0),BU$6&lt;=EOMONTH(EDATE($H$66,$E$66-1),0)),$G$66/MAX($E$66,1),0)</f>
        <v>0</v>
      </c>
      <c r="BV72" s="159" t="n">
        <f aca="false">IF(AND(BV$6&gt;=EOMONTH($H$66,0),BV$6&lt;=EOMONTH(EDATE($H$66,$E$66-1),0)),$G$66/MAX($E$66,1),0)</f>
        <v>0</v>
      </c>
      <c r="BW72" s="159" t="n">
        <f aca="false">IF(AND(BW$6&gt;=EOMONTH($H$66,0),BW$6&lt;=EOMONTH(EDATE($H$66,$E$66-1),0)),$G$66/MAX($E$66,1),0)</f>
        <v>0</v>
      </c>
      <c r="BX72" s="159" t="n">
        <f aca="false">IF(AND(BX$6&gt;=EOMONTH($H$66,0),BX$6&lt;=EOMONTH(EDATE($H$66,$E$66-1),0)),$G$66/MAX($E$66,1),0)</f>
        <v>0</v>
      </c>
      <c r="BY72" s="159" t="n">
        <f aca="false">IF(AND(BY$6&gt;=EOMONTH($H$66,0),BY$6&lt;=EOMONTH(EDATE($H$66,$E$66-1),0)),$G$66/MAX($E$66,1),0)</f>
        <v>0</v>
      </c>
      <c r="BZ72" s="159" t="n">
        <f aca="false">IF(AND(BZ$6&gt;=EOMONTH($H$66,0),BZ$6&lt;=EOMONTH(EDATE($H$66,$E$66-1),0)),$G$66/MAX($E$66,1),0)</f>
        <v>0</v>
      </c>
      <c r="CA72" s="159" t="n">
        <f aca="false">IF(AND(CA$6&gt;=EOMONTH($H$66,0),CA$6&lt;=EOMONTH(EDATE($H$66,$E$66-1),0)),$G$66/MAX($E$66,1),0)</f>
        <v>0</v>
      </c>
    </row>
    <row r="73" customFormat="false" ht="15" hidden="false" customHeight="false" outlineLevel="0" collapsed="false">
      <c r="B73" s="192" t="s">
        <v>328</v>
      </c>
      <c r="T73" s="159" t="n">
        <f aca="false">IF(AND(T$6&gt;=EOMONTH($H$67,0),T$6&lt;=EOMONTH(EDATE($H$67,$E$67-1),0)),$G$67/MAX($E$67,1),0)</f>
        <v>0</v>
      </c>
      <c r="U73" s="159" t="n">
        <f aca="false">IF(AND(U$6&gt;=EOMONTH($H$67,0),U$6&lt;=EOMONTH(EDATE($H$67,$E$67-1),0)),$G$67/MAX($E$67,1),0)</f>
        <v>0</v>
      </c>
      <c r="V73" s="159" t="n">
        <f aca="false">IF(AND(V$6&gt;=EOMONTH($H$67,0),V$6&lt;=EOMONTH(EDATE($H$67,$E$67-1),0)),$G$67/MAX($E$67,1),0)</f>
        <v>0</v>
      </c>
      <c r="W73" s="159" t="n">
        <f aca="false">IF(AND(W$6&gt;=EOMONTH($H$67,0),W$6&lt;=EOMONTH(EDATE($H$67,$E$67-1),0)),$G$67/MAX($E$67,1),0)</f>
        <v>0</v>
      </c>
      <c r="X73" s="159" t="n">
        <f aca="false">IF(AND(X$6&gt;=EOMONTH($H$67,0),X$6&lt;=EOMONTH(EDATE($H$67,$E$67-1),0)),$G$67/MAX($E$67,1),0)</f>
        <v>0</v>
      </c>
      <c r="Y73" s="159" t="n">
        <f aca="false">IF(AND(Y$6&gt;=EOMONTH($H$67,0),Y$6&lt;=EOMONTH(EDATE($H$67,$E$67-1),0)),$G$67/MAX($E$67,1),0)</f>
        <v>0</v>
      </c>
      <c r="Z73" s="159" t="n">
        <f aca="false">IF(AND(Z$6&gt;=EOMONTH($H$67,0),Z$6&lt;=EOMONTH(EDATE($H$67,$E$67-1),0)),$G$67/MAX($E$67,1),0)</f>
        <v>0</v>
      </c>
      <c r="AA73" s="159" t="n">
        <f aca="false">IF(AND(AA$6&gt;=EOMONTH($H$67,0),AA$6&lt;=EOMONTH(EDATE($H$67,$E$67-1),0)),$G$67/MAX($E$67,1),0)</f>
        <v>0</v>
      </c>
      <c r="AB73" s="159" t="n">
        <f aca="false">IF(AND(AB$6&gt;=EOMONTH($H$67,0),AB$6&lt;=EOMONTH(EDATE($H$67,$E$67-1),0)),$G$67/MAX($E$67,1),0)</f>
        <v>0</v>
      </c>
      <c r="AC73" s="159" t="n">
        <f aca="false">IF(AND(AC$6&gt;=EOMONTH($H$67,0),AC$6&lt;=EOMONTH(EDATE($H$67,$E$67-1),0)),$G$67/MAX($E$67,1),0)</f>
        <v>0</v>
      </c>
      <c r="AD73" s="159" t="n">
        <f aca="false">IF(AND(AD$6&gt;=EOMONTH($H$67,0),AD$6&lt;=EOMONTH(EDATE($H$67,$E$67-1),0)),$G$67/MAX($E$67,1),0)</f>
        <v>0</v>
      </c>
      <c r="AE73" s="159" t="n">
        <f aca="false">IF(AND(AE$6&gt;=EOMONTH($H$67,0),AE$6&lt;=EOMONTH(EDATE($H$67,$E$67-1),0)),$G$67/MAX($E$67,1),0)</f>
        <v>0</v>
      </c>
      <c r="AF73" s="159" t="n">
        <f aca="false">IF(AND(AF$6&gt;=EOMONTH($H$67,0),AF$6&lt;=EOMONTH(EDATE($H$67,$E$67-1),0)),$G$67/MAX($E$67,1),0)</f>
        <v>0</v>
      </c>
      <c r="AG73" s="159" t="n">
        <f aca="false">IF(AND(AG$6&gt;=EOMONTH($H$67,0),AG$6&lt;=EOMONTH(EDATE($H$67,$E$67-1),0)),$G$67/MAX($E$67,1),0)</f>
        <v>0</v>
      </c>
      <c r="AH73" s="159" t="n">
        <f aca="false">IF(AND(AH$6&gt;=EOMONTH($H$67,0),AH$6&lt;=EOMONTH(EDATE($H$67,$E$67-1),0)),$G$67/MAX($E$67,1),0)</f>
        <v>0</v>
      </c>
      <c r="AI73" s="159" t="n">
        <f aca="false">IF(AND(AI$6&gt;=EOMONTH($H$67,0),AI$6&lt;=EOMONTH(EDATE($H$67,$E$67-1),0)),$G$67/MAX($E$67,1),0)</f>
        <v>0</v>
      </c>
      <c r="AJ73" s="159" t="n">
        <f aca="false">IF(AND(AJ$6&gt;=EOMONTH($H$67,0),AJ$6&lt;=EOMONTH(EDATE($H$67,$E$67-1),0)),$G$67/MAX($E$67,1),0)</f>
        <v>82270.8333333333</v>
      </c>
      <c r="AK73" s="159" t="n">
        <f aca="false">IF(AND(AK$6&gt;=EOMONTH($H$67,0),AK$6&lt;=EOMONTH(EDATE($H$67,$E$67-1),0)),$G$67/MAX($E$67,1),0)</f>
        <v>82270.8333333333</v>
      </c>
      <c r="AL73" s="159" t="n">
        <f aca="false">IF(AND(AL$6&gt;=EOMONTH($H$67,0),AL$6&lt;=EOMONTH(EDATE($H$67,$E$67-1),0)),$G$67/MAX($E$67,1),0)</f>
        <v>82270.8333333333</v>
      </c>
      <c r="AM73" s="159" t="n">
        <f aca="false">IF(AND(AM$6&gt;=EOMONTH($H$67,0),AM$6&lt;=EOMONTH(EDATE($H$67,$E$67-1),0)),$G$67/MAX($E$67,1),0)</f>
        <v>82270.8333333333</v>
      </c>
      <c r="AN73" s="159" t="n">
        <f aca="false">IF(AND(AN$6&gt;=EOMONTH($H$67,0),AN$6&lt;=EOMONTH(EDATE($H$67,$E$67-1),0)),$G$67/MAX($E$67,1),0)</f>
        <v>82270.8333333333</v>
      </c>
      <c r="AO73" s="159" t="n">
        <f aca="false">IF(AND(AO$6&gt;=EOMONTH($H$67,0),AO$6&lt;=EOMONTH(EDATE($H$67,$E$67-1),0)),$G$67/MAX($E$67,1),0)</f>
        <v>82270.8333333333</v>
      </c>
      <c r="AP73" s="159" t="n">
        <f aca="false">IF(AND(AP$6&gt;=EOMONTH($H$67,0),AP$6&lt;=EOMONTH(EDATE($H$67,$E$67-1),0)),$G$67/MAX($E$67,1),0)</f>
        <v>0</v>
      </c>
      <c r="AQ73" s="159" t="n">
        <f aca="false">IF(AND(AQ$6&gt;=EOMONTH($H$67,0),AQ$6&lt;=EOMONTH(EDATE($H$67,$E$67-1),0)),$G$67/MAX($E$67,1),0)</f>
        <v>0</v>
      </c>
      <c r="AR73" s="159" t="n">
        <f aca="false">IF(AND(AR$6&gt;=EOMONTH($H$67,0),AR$6&lt;=EOMONTH(EDATE($H$67,$E$67-1),0)),$G$67/MAX($E$67,1),0)</f>
        <v>0</v>
      </c>
      <c r="AS73" s="159" t="n">
        <f aca="false">IF(AND(AS$6&gt;=EOMONTH($H$67,0),AS$6&lt;=EOMONTH(EDATE($H$67,$E$67-1),0)),$G$67/MAX($E$67,1),0)</f>
        <v>0</v>
      </c>
      <c r="AT73" s="159" t="n">
        <f aca="false">IF(AND(AT$6&gt;=EOMONTH($H$67,0),AT$6&lt;=EOMONTH(EDATE($H$67,$E$67-1),0)),$G$67/MAX($E$67,1),0)</f>
        <v>0</v>
      </c>
      <c r="AU73" s="159" t="n">
        <f aca="false">IF(AND(AU$6&gt;=EOMONTH($H$67,0),AU$6&lt;=EOMONTH(EDATE($H$67,$E$67-1),0)),$G$67/MAX($E$67,1),0)</f>
        <v>0</v>
      </c>
      <c r="AV73" s="159" t="n">
        <f aca="false">IF(AND(AV$6&gt;=EOMONTH($H$67,0),AV$6&lt;=EOMONTH(EDATE($H$67,$E$67-1),0)),$G$67/MAX($E$67,1),0)</f>
        <v>0</v>
      </c>
      <c r="AW73" s="159" t="n">
        <f aca="false">IF(AND(AW$6&gt;=EOMONTH($H$67,0),AW$6&lt;=EOMONTH(EDATE($H$67,$E$67-1),0)),$G$67/MAX($E$67,1),0)</f>
        <v>0</v>
      </c>
      <c r="AX73" s="159" t="n">
        <f aca="false">IF(AND(AX$6&gt;=EOMONTH($H$67,0),AX$6&lt;=EOMONTH(EDATE($H$67,$E$67-1),0)),$G$67/MAX($E$67,1),0)</f>
        <v>0</v>
      </c>
      <c r="AY73" s="159" t="n">
        <f aca="false">IF(AND(AY$6&gt;=EOMONTH($H$67,0),AY$6&lt;=EOMONTH(EDATE($H$67,$E$67-1),0)),$G$67/MAX($E$67,1),0)</f>
        <v>0</v>
      </c>
      <c r="AZ73" s="159" t="n">
        <f aca="false">IF(AND(AZ$6&gt;=EOMONTH($H$67,0),AZ$6&lt;=EOMONTH(EDATE($H$67,$E$67-1),0)),$G$67/MAX($E$67,1),0)</f>
        <v>0</v>
      </c>
      <c r="BA73" s="159" t="n">
        <f aca="false">IF(AND(BA$6&gt;=EOMONTH($H$67,0),BA$6&lt;=EOMONTH(EDATE($H$67,$E$67-1),0)),$G$67/MAX($E$67,1),0)</f>
        <v>0</v>
      </c>
      <c r="BB73" s="159" t="n">
        <f aca="false">IF(AND(BB$6&gt;=EOMONTH($H$67,0),BB$6&lt;=EOMONTH(EDATE($H$67,$E$67-1),0)),$G$67/MAX($E$67,1),0)</f>
        <v>0</v>
      </c>
      <c r="BC73" s="159" t="n">
        <f aca="false">IF(AND(BC$6&gt;=EOMONTH($H$67,0),BC$6&lt;=EOMONTH(EDATE($H$67,$E$67-1),0)),$G$67/MAX($E$67,1),0)</f>
        <v>0</v>
      </c>
      <c r="BD73" s="159" t="n">
        <f aca="false">IF(AND(BD$6&gt;=EOMONTH($H$67,0),BD$6&lt;=EOMONTH(EDATE($H$67,$E$67-1),0)),$G$67/MAX($E$67,1),0)</f>
        <v>0</v>
      </c>
      <c r="BE73" s="159" t="n">
        <f aca="false">IF(AND(BE$6&gt;=EOMONTH($H$67,0),BE$6&lt;=EOMONTH(EDATE($H$67,$E$67-1),0)),$G$67/MAX($E$67,1),0)</f>
        <v>0</v>
      </c>
      <c r="BF73" s="159" t="n">
        <f aca="false">IF(AND(BF$6&gt;=EOMONTH($H$67,0),BF$6&lt;=EOMONTH(EDATE($H$67,$E$67-1),0)),$G$67/MAX($E$67,1),0)</f>
        <v>0</v>
      </c>
      <c r="BG73" s="159" t="n">
        <f aca="false">IF(AND(BG$6&gt;=EOMONTH($H$67,0),BG$6&lt;=EOMONTH(EDATE($H$67,$E$67-1),0)),$G$67/MAX($E$67,1),0)</f>
        <v>0</v>
      </c>
      <c r="BH73" s="159" t="n">
        <f aca="false">IF(AND(BH$6&gt;=EOMONTH($H$67,0),BH$6&lt;=EOMONTH(EDATE($H$67,$E$67-1),0)),$G$67/MAX($E$67,1),0)</f>
        <v>0</v>
      </c>
      <c r="BI73" s="159" t="n">
        <f aca="false">IF(AND(BI$6&gt;=EOMONTH($H$67,0),BI$6&lt;=EOMONTH(EDATE($H$67,$E$67-1),0)),$G$67/MAX($E$67,1),0)</f>
        <v>0</v>
      </c>
      <c r="BJ73" s="159" t="n">
        <f aca="false">IF(AND(BJ$6&gt;=EOMONTH($H$67,0),BJ$6&lt;=EOMONTH(EDATE($H$67,$E$67-1),0)),$G$67/MAX($E$67,1),0)</f>
        <v>0</v>
      </c>
      <c r="BK73" s="159" t="n">
        <f aca="false">IF(AND(BK$6&gt;=EOMONTH($H$67,0),BK$6&lt;=EOMONTH(EDATE($H$67,$E$67-1),0)),$G$67/MAX($E$67,1),0)</f>
        <v>0</v>
      </c>
      <c r="BL73" s="159" t="n">
        <f aca="false">IF(AND(BL$6&gt;=EOMONTH($H$67,0),BL$6&lt;=EOMONTH(EDATE($H$67,$E$67-1),0)),$G$67/MAX($E$67,1),0)</f>
        <v>0</v>
      </c>
      <c r="BM73" s="159" t="n">
        <f aca="false">IF(AND(BM$6&gt;=EOMONTH($H$67,0),BM$6&lt;=EOMONTH(EDATE($H$67,$E$67-1),0)),$G$67/MAX($E$67,1),0)</f>
        <v>0</v>
      </c>
      <c r="BN73" s="159" t="n">
        <f aca="false">IF(AND(BN$6&gt;=EOMONTH($H$67,0),BN$6&lt;=EOMONTH(EDATE($H$67,$E$67-1),0)),$G$67/MAX($E$67,1),0)</f>
        <v>0</v>
      </c>
      <c r="BO73" s="159" t="n">
        <f aca="false">IF(AND(BO$6&gt;=EOMONTH($H$67,0),BO$6&lt;=EOMONTH(EDATE($H$67,$E$67-1),0)),$G$67/MAX($E$67,1),0)</f>
        <v>0</v>
      </c>
      <c r="BP73" s="159" t="n">
        <f aca="false">IF(AND(BP$6&gt;=EOMONTH($H$67,0),BP$6&lt;=EOMONTH(EDATE($H$67,$E$67-1),0)),$G$67/MAX($E$67,1),0)</f>
        <v>0</v>
      </c>
      <c r="BQ73" s="159" t="n">
        <f aca="false">IF(AND(BQ$6&gt;=EOMONTH($H$67,0),BQ$6&lt;=EOMONTH(EDATE($H$67,$E$67-1),0)),$G$67/MAX($E$67,1),0)</f>
        <v>0</v>
      </c>
      <c r="BR73" s="159" t="n">
        <f aca="false">IF(AND(BR$6&gt;=EOMONTH($H$67,0),BR$6&lt;=EOMONTH(EDATE($H$67,$E$67-1),0)),$G$67/MAX($E$67,1),0)</f>
        <v>0</v>
      </c>
      <c r="BS73" s="159" t="n">
        <f aca="false">IF(AND(BS$6&gt;=EOMONTH($H$67,0),BS$6&lt;=EOMONTH(EDATE($H$67,$E$67-1),0)),$G$67/MAX($E$67,1),0)</f>
        <v>0</v>
      </c>
      <c r="BT73" s="159" t="n">
        <f aca="false">IF(AND(BT$6&gt;=EOMONTH($H$67,0),BT$6&lt;=EOMONTH(EDATE($H$67,$E$67-1),0)),$G$67/MAX($E$67,1),0)</f>
        <v>0</v>
      </c>
      <c r="BU73" s="159" t="n">
        <f aca="false">IF(AND(BU$6&gt;=EOMONTH($H$67,0),BU$6&lt;=EOMONTH(EDATE($H$67,$E$67-1),0)),$G$67/MAX($E$67,1),0)</f>
        <v>0</v>
      </c>
      <c r="BV73" s="159" t="n">
        <f aca="false">IF(AND(BV$6&gt;=EOMONTH($H$67,0),BV$6&lt;=EOMONTH(EDATE($H$67,$E$67-1),0)),$G$67/MAX($E$67,1),0)</f>
        <v>0</v>
      </c>
      <c r="BW73" s="159" t="n">
        <f aca="false">IF(AND(BW$6&gt;=EOMONTH($H$67,0),BW$6&lt;=EOMONTH(EDATE($H$67,$E$67-1),0)),$G$67/MAX($E$67,1),0)</f>
        <v>0</v>
      </c>
      <c r="BX73" s="159" t="n">
        <f aca="false">IF(AND(BX$6&gt;=EOMONTH($H$67,0),BX$6&lt;=EOMONTH(EDATE($H$67,$E$67-1),0)),$G$67/MAX($E$67,1),0)</f>
        <v>0</v>
      </c>
      <c r="BY73" s="159" t="n">
        <f aca="false">IF(AND(BY$6&gt;=EOMONTH($H$67,0),BY$6&lt;=EOMONTH(EDATE($H$67,$E$67-1),0)),$G$67/MAX($E$67,1),0)</f>
        <v>0</v>
      </c>
      <c r="BZ73" s="159" t="n">
        <f aca="false">IF(AND(BZ$6&gt;=EOMONTH($H$67,0),BZ$6&lt;=EOMONTH(EDATE($H$67,$E$67-1),0)),$G$67/MAX($E$67,1),0)</f>
        <v>0</v>
      </c>
      <c r="CA73" s="159" t="n">
        <f aca="false">IF(AND(CA$6&gt;=EOMONTH($H$67,0),CA$6&lt;=EOMONTH(EDATE($H$67,$E$67-1),0)),$G$67/MAX($E$67,1),0)</f>
        <v>0</v>
      </c>
    </row>
    <row r="74" customFormat="false" ht="15" hidden="false" customHeight="false" outlineLevel="0" collapsed="false">
      <c r="B74" s="192" t="s">
        <v>329</v>
      </c>
      <c r="T74" s="159" t="n">
        <f aca="false">IF(AND(T$6&gt;=EOMONTH($H$68,0),T$6&lt;=EOMONTH(EDATE($H$68,$E$68-1),0)),$G$68/MAX($E$68,1),0)</f>
        <v>0</v>
      </c>
      <c r="U74" s="159" t="n">
        <f aca="false">IF(AND(U$6&gt;=EOMONTH($H$68,0),U$6&lt;=EOMONTH(EDATE($H$68,$E$68-1),0)),$G$68/MAX($E$68,1),0)</f>
        <v>0</v>
      </c>
      <c r="V74" s="159" t="n">
        <f aca="false">IF(AND(V$6&gt;=EOMONTH($H$68,0),V$6&lt;=EOMONTH(EDATE($H$68,$E$68-1),0)),$G$68/MAX($E$68,1),0)</f>
        <v>0</v>
      </c>
      <c r="W74" s="159" t="n">
        <f aca="false">IF(AND(W$6&gt;=EOMONTH($H$68,0),W$6&lt;=EOMONTH(EDATE($H$68,$E$68-1),0)),$G$68/MAX($E$68,1),0)</f>
        <v>0</v>
      </c>
      <c r="X74" s="159" t="n">
        <f aca="false">IF(AND(X$6&gt;=EOMONTH($H$68,0),X$6&lt;=EOMONTH(EDATE($H$68,$E$68-1),0)),$G$68/MAX($E$68,1),0)</f>
        <v>0</v>
      </c>
      <c r="Y74" s="159" t="n">
        <f aca="false">IF(AND(Y$6&gt;=EOMONTH($H$68,0),Y$6&lt;=EOMONTH(EDATE($H$68,$E$68-1),0)),$G$68/MAX($E$68,1),0)</f>
        <v>0</v>
      </c>
      <c r="Z74" s="159" t="n">
        <f aca="false">IF(AND(Z$6&gt;=EOMONTH($H$68,0),Z$6&lt;=EOMONTH(EDATE($H$68,$E$68-1),0)),$G$68/MAX($E$68,1),0)</f>
        <v>0</v>
      </c>
      <c r="AA74" s="159" t="n">
        <f aca="false">IF(AND(AA$6&gt;=EOMONTH($H$68,0),AA$6&lt;=EOMONTH(EDATE($H$68,$E$68-1),0)),$G$68/MAX($E$68,1),0)</f>
        <v>0</v>
      </c>
      <c r="AB74" s="159" t="n">
        <f aca="false">IF(AND(AB$6&gt;=EOMONTH($H$68,0),AB$6&lt;=EOMONTH(EDATE($H$68,$E$68-1),0)),$G$68/MAX($E$68,1),0)</f>
        <v>0</v>
      </c>
      <c r="AC74" s="159" t="n">
        <f aca="false">IF(AND(AC$6&gt;=EOMONTH($H$68,0),AC$6&lt;=EOMONTH(EDATE($H$68,$E$68-1),0)),$G$68/MAX($E$68,1),0)</f>
        <v>0</v>
      </c>
      <c r="AD74" s="159" t="n">
        <f aca="false">IF(AND(AD$6&gt;=EOMONTH($H$68,0),AD$6&lt;=EOMONTH(EDATE($H$68,$E$68-1),0)),$G$68/MAX($E$68,1),0)</f>
        <v>0</v>
      </c>
      <c r="AE74" s="159" t="n">
        <f aca="false">IF(AND(AE$6&gt;=EOMONTH($H$68,0),AE$6&lt;=EOMONTH(EDATE($H$68,$E$68-1),0)),$G$68/MAX($E$68,1),0)</f>
        <v>0</v>
      </c>
      <c r="AF74" s="159" t="n">
        <f aca="false">IF(AND(AF$6&gt;=EOMONTH($H$68,0),AF$6&lt;=EOMONTH(EDATE($H$68,$E$68-1),0)),$G$68/MAX($E$68,1),0)</f>
        <v>0</v>
      </c>
      <c r="AG74" s="159" t="n">
        <f aca="false">IF(AND(AG$6&gt;=EOMONTH($H$68,0),AG$6&lt;=EOMONTH(EDATE($H$68,$E$68-1),0)),$G$68/MAX($E$68,1),0)</f>
        <v>0</v>
      </c>
      <c r="AH74" s="159" t="n">
        <f aca="false">IF(AND(AH$6&gt;=EOMONTH($H$68,0),AH$6&lt;=EOMONTH(EDATE($H$68,$E$68-1),0)),$G$68/MAX($E$68,1),0)</f>
        <v>0</v>
      </c>
      <c r="AI74" s="159" t="n">
        <f aca="false">IF(AND(AI$6&gt;=EOMONTH($H$68,0),AI$6&lt;=EOMONTH(EDATE($H$68,$E$68-1),0)),$G$68/MAX($E$68,1),0)</f>
        <v>0</v>
      </c>
      <c r="AJ74" s="159" t="n">
        <f aca="false">IF(AND(AJ$6&gt;=EOMONTH($H$68,0),AJ$6&lt;=EOMONTH(EDATE($H$68,$E$68-1),0)),$G$68/MAX($E$68,1),0)</f>
        <v>0</v>
      </c>
      <c r="AK74" s="159" t="n">
        <f aca="false">IF(AND(AK$6&gt;=EOMONTH($H$68,0),AK$6&lt;=EOMONTH(EDATE($H$68,$E$68-1),0)),$G$68/MAX($E$68,1),0)</f>
        <v>0</v>
      </c>
      <c r="AL74" s="159" t="n">
        <f aca="false">IF(AND(AL$6&gt;=EOMONTH($H$68,0),AL$6&lt;=EOMONTH(EDATE($H$68,$E$68-1),0)),$G$68/MAX($E$68,1),0)</f>
        <v>0</v>
      </c>
      <c r="AM74" s="159" t="n">
        <f aca="false">IF(AND(AM$6&gt;=EOMONTH($H$68,0),AM$6&lt;=EOMONTH(EDATE($H$68,$E$68-1),0)),$G$68/MAX($E$68,1),0)</f>
        <v>0</v>
      </c>
      <c r="AN74" s="159" t="n">
        <f aca="false">IF(AND(AN$6&gt;=EOMONTH($H$68,0),AN$6&lt;=EOMONTH(EDATE($H$68,$E$68-1),0)),$G$68/MAX($E$68,1),0)</f>
        <v>0</v>
      </c>
      <c r="AO74" s="159" t="n">
        <f aca="false">IF(AND(AO$6&gt;=EOMONTH($H$68,0),AO$6&lt;=EOMONTH(EDATE($H$68,$E$68-1),0)),$G$68/MAX($E$68,1),0)</f>
        <v>0</v>
      </c>
      <c r="AP74" s="159" t="n">
        <f aca="false">IF(AND(AP$6&gt;=EOMONTH($H$68,0),AP$6&lt;=EOMONTH(EDATE($H$68,$E$68-1),0)),$G$68/MAX($E$68,1),0)</f>
        <v>0</v>
      </c>
      <c r="AQ74" s="159" t="n">
        <f aca="false">IF(AND(AQ$6&gt;=EOMONTH($H$68,0),AQ$6&lt;=EOMONTH(EDATE($H$68,$E$68-1),0)),$G$68/MAX($E$68,1),0)</f>
        <v>0</v>
      </c>
      <c r="AR74" s="159" t="n">
        <f aca="false">IF(AND(AR$6&gt;=EOMONTH($H$68,0),AR$6&lt;=EOMONTH(EDATE($H$68,$E$68-1),0)),$G$68/MAX($E$68,1),0)</f>
        <v>0</v>
      </c>
      <c r="AS74" s="159" t="n">
        <f aca="false">IF(AND(AS$6&gt;=EOMONTH($H$68,0),AS$6&lt;=EOMONTH(EDATE($H$68,$E$68-1),0)),$G$68/MAX($E$68,1),0)</f>
        <v>0</v>
      </c>
      <c r="AT74" s="159" t="n">
        <f aca="false">IF(AND(AT$6&gt;=EOMONTH($H$68,0),AT$6&lt;=EOMONTH(EDATE($H$68,$E$68-1),0)),$G$68/MAX($E$68,1),0)</f>
        <v>0</v>
      </c>
      <c r="AU74" s="159" t="n">
        <f aca="false">IF(AND(AU$6&gt;=EOMONTH($H$68,0),AU$6&lt;=EOMONTH(EDATE($H$68,$E$68-1),0)),$G$68/MAX($E$68,1),0)</f>
        <v>0</v>
      </c>
      <c r="AV74" s="159" t="n">
        <f aca="false">IF(AND(AV$6&gt;=EOMONTH($H$68,0),AV$6&lt;=EOMONTH(EDATE($H$68,$E$68-1),0)),$G$68/MAX($E$68,1),0)</f>
        <v>0</v>
      </c>
      <c r="AW74" s="159" t="n">
        <f aca="false">IF(AND(AW$6&gt;=EOMONTH($H$68,0),AW$6&lt;=EOMONTH(EDATE($H$68,$E$68-1),0)),$G$68/MAX($E$68,1),0)</f>
        <v>0</v>
      </c>
      <c r="AX74" s="159" t="n">
        <f aca="false">IF(AND(AX$6&gt;=EOMONTH($H$68,0),AX$6&lt;=EOMONTH(EDATE($H$68,$E$68-1),0)),$G$68/MAX($E$68,1),0)</f>
        <v>0</v>
      </c>
      <c r="AY74" s="159" t="n">
        <f aca="false">IF(AND(AY$6&gt;=EOMONTH($H$68,0),AY$6&lt;=EOMONTH(EDATE($H$68,$E$68-1),0)),$G$68/MAX($E$68,1),0)</f>
        <v>0</v>
      </c>
      <c r="AZ74" s="159" t="n">
        <f aca="false">IF(AND(AZ$6&gt;=EOMONTH($H$68,0),AZ$6&lt;=EOMONTH(EDATE($H$68,$E$68-1),0)),$G$68/MAX($E$68,1),0)</f>
        <v>0</v>
      </c>
      <c r="BA74" s="159" t="n">
        <f aca="false">IF(AND(BA$6&gt;=EOMONTH($H$68,0),BA$6&lt;=EOMONTH(EDATE($H$68,$E$68-1),0)),$G$68/MAX($E$68,1),0)</f>
        <v>0</v>
      </c>
      <c r="BB74" s="159" t="n">
        <f aca="false">IF(AND(BB$6&gt;=EOMONTH($H$68,0),BB$6&lt;=EOMONTH(EDATE($H$68,$E$68-1),0)),$G$68/MAX($E$68,1),0)</f>
        <v>0</v>
      </c>
      <c r="BC74" s="159" t="n">
        <f aca="false">IF(AND(BC$6&gt;=EOMONTH($H$68,0),BC$6&lt;=EOMONTH(EDATE($H$68,$E$68-1),0)),$G$68/MAX($E$68,1),0)</f>
        <v>0</v>
      </c>
      <c r="BD74" s="159" t="n">
        <f aca="false">IF(AND(BD$6&gt;=EOMONTH($H$68,0),BD$6&lt;=EOMONTH(EDATE($H$68,$E$68-1),0)),$G$68/MAX($E$68,1),0)</f>
        <v>0</v>
      </c>
      <c r="BE74" s="159" t="n">
        <f aca="false">IF(AND(BE$6&gt;=EOMONTH($H$68,0),BE$6&lt;=EOMONTH(EDATE($H$68,$E$68-1),0)),$G$68/MAX($E$68,1),0)</f>
        <v>0</v>
      </c>
      <c r="BF74" s="159" t="n">
        <f aca="false">IF(AND(BF$6&gt;=EOMONTH($H$68,0),BF$6&lt;=EOMONTH(EDATE($H$68,$E$68-1),0)),$G$68/MAX($E$68,1),0)</f>
        <v>0</v>
      </c>
      <c r="BG74" s="159" t="n">
        <f aca="false">IF(AND(BG$6&gt;=EOMONTH($H$68,0),BG$6&lt;=EOMONTH(EDATE($H$68,$E$68-1),0)),$G$68/MAX($E$68,1),0)</f>
        <v>0</v>
      </c>
      <c r="BH74" s="159" t="n">
        <f aca="false">IF(AND(BH$6&gt;=EOMONTH($H$68,0),BH$6&lt;=EOMONTH(EDATE($H$68,$E$68-1),0)),$G$68/MAX($E$68,1),0)</f>
        <v>0</v>
      </c>
      <c r="BI74" s="159" t="n">
        <f aca="false">IF(AND(BI$6&gt;=EOMONTH($H$68,0),BI$6&lt;=EOMONTH(EDATE($H$68,$E$68-1),0)),$G$68/MAX($E$68,1),0)</f>
        <v>0</v>
      </c>
      <c r="BJ74" s="159" t="n">
        <f aca="false">IF(AND(BJ$6&gt;=EOMONTH($H$68,0),BJ$6&lt;=EOMONTH(EDATE($H$68,$E$68-1),0)),$G$68/MAX($E$68,1),0)</f>
        <v>0</v>
      </c>
      <c r="BK74" s="159" t="n">
        <f aca="false">IF(AND(BK$6&gt;=EOMONTH($H$68,0),BK$6&lt;=EOMONTH(EDATE($H$68,$E$68-1),0)),$G$68/MAX($E$68,1),0)</f>
        <v>0</v>
      </c>
      <c r="BL74" s="159" t="n">
        <f aca="false">IF(AND(BL$6&gt;=EOMONTH($H$68,0),BL$6&lt;=EOMONTH(EDATE($H$68,$E$68-1),0)),$G$68/MAX($E$68,1),0)</f>
        <v>0</v>
      </c>
      <c r="BM74" s="159" t="n">
        <f aca="false">IF(AND(BM$6&gt;=EOMONTH($H$68,0),BM$6&lt;=EOMONTH(EDATE($H$68,$E$68-1),0)),$G$68/MAX($E$68,1),0)</f>
        <v>0</v>
      </c>
      <c r="BN74" s="159" t="n">
        <f aca="false">IF(AND(BN$6&gt;=EOMONTH($H$68,0),BN$6&lt;=EOMONTH(EDATE($H$68,$E$68-1),0)),$G$68/MAX($E$68,1),0)</f>
        <v>0</v>
      </c>
      <c r="BO74" s="159" t="n">
        <f aca="false">IF(AND(BO$6&gt;=EOMONTH($H$68,0),BO$6&lt;=EOMONTH(EDATE($H$68,$E$68-1),0)),$G$68/MAX($E$68,1),0)</f>
        <v>0</v>
      </c>
      <c r="BP74" s="159" t="n">
        <f aca="false">IF(AND(BP$6&gt;=EOMONTH($H$68,0),BP$6&lt;=EOMONTH(EDATE($H$68,$E$68-1),0)),$G$68/MAX($E$68,1),0)</f>
        <v>0</v>
      </c>
      <c r="BQ74" s="159" t="n">
        <f aca="false">IF(AND(BQ$6&gt;=EOMONTH($H$68,0),BQ$6&lt;=EOMONTH(EDATE($H$68,$E$68-1),0)),$G$68/MAX($E$68,1),0)</f>
        <v>0</v>
      </c>
      <c r="BR74" s="159" t="n">
        <f aca="false">IF(AND(BR$6&gt;=EOMONTH($H$68,0),BR$6&lt;=EOMONTH(EDATE($H$68,$E$68-1),0)),$G$68/MAX($E$68,1),0)</f>
        <v>0</v>
      </c>
      <c r="BS74" s="159" t="n">
        <f aca="false">IF(AND(BS$6&gt;=EOMONTH($H$68,0),BS$6&lt;=EOMONTH(EDATE($H$68,$E$68-1),0)),$G$68/MAX($E$68,1),0)</f>
        <v>0</v>
      </c>
      <c r="BT74" s="159" t="n">
        <f aca="false">IF(AND(BT$6&gt;=EOMONTH($H$68,0),BT$6&lt;=EOMONTH(EDATE($H$68,$E$68-1),0)),$G$68/MAX($E$68,1),0)</f>
        <v>0</v>
      </c>
      <c r="BU74" s="159" t="n">
        <f aca="false">IF(AND(BU$6&gt;=EOMONTH($H$68,0),BU$6&lt;=EOMONTH(EDATE($H$68,$E$68-1),0)),$G$68/MAX($E$68,1),0)</f>
        <v>0</v>
      </c>
      <c r="BV74" s="159" t="n">
        <f aca="false">IF(AND(BV$6&gt;=EOMONTH($H$68,0),BV$6&lt;=EOMONTH(EDATE($H$68,$E$68-1),0)),$G$68/MAX($E$68,1),0)</f>
        <v>0</v>
      </c>
      <c r="BW74" s="159" t="n">
        <f aca="false">IF(AND(BW$6&gt;=EOMONTH($H$68,0),BW$6&lt;=EOMONTH(EDATE($H$68,$E$68-1),0)),$G$68/MAX($E$68,1),0)</f>
        <v>0</v>
      </c>
      <c r="BX74" s="159" t="n">
        <f aca="false">IF(AND(BX$6&gt;=EOMONTH($H$68,0),BX$6&lt;=EOMONTH(EDATE($H$68,$E$68-1),0)),$G$68/MAX($E$68,1),0)</f>
        <v>0</v>
      </c>
      <c r="BY74" s="159" t="n">
        <f aca="false">IF(AND(BY$6&gt;=EOMONTH($H$68,0),BY$6&lt;=EOMONTH(EDATE($H$68,$E$68-1),0)),$G$68/MAX($E$68,1),0)</f>
        <v>0</v>
      </c>
      <c r="BZ74" s="159" t="n">
        <f aca="false">IF(AND(BZ$6&gt;=EOMONTH($H$68,0),BZ$6&lt;=EOMONTH(EDATE($H$68,$E$68-1),0)),$G$68/MAX($E$68,1),0)</f>
        <v>0</v>
      </c>
      <c r="CA74" s="159" t="n">
        <f aca="false">IF(AND(CA$6&gt;=EOMONTH($H$68,0),CA$6&lt;=EOMONTH(EDATE($H$68,$E$68-1),0)),$G$68/MAX($E$68,1),0)</f>
        <v>0</v>
      </c>
    </row>
    <row r="75" customFormat="false" ht="15" hidden="false" customHeight="false" outlineLevel="0" collapsed="false">
      <c r="B75" s="3" t="s">
        <v>330</v>
      </c>
      <c r="G75" s="159" t="n">
        <f aca="false">SUM(G65:G68)</f>
        <v>1283425</v>
      </c>
    </row>
    <row r="77" customFormat="false" ht="15" hidden="false" customHeight="false" outlineLevel="0" collapsed="false">
      <c r="B77" s="193" t="s">
        <v>331</v>
      </c>
    </row>
    <row r="78" customFormat="false" ht="15" hidden="false" customHeight="false" outlineLevel="0" collapsed="false">
      <c r="B78" s="169" t="s">
        <v>332</v>
      </c>
      <c r="C78" s="169" t="s">
        <v>333</v>
      </c>
      <c r="D78" s="169" t="s">
        <v>334</v>
      </c>
      <c r="E78" s="169" t="s">
        <v>335</v>
      </c>
      <c r="H78" s="169" t="s">
        <v>313</v>
      </c>
      <c r="I78" s="169" t="s">
        <v>212</v>
      </c>
    </row>
    <row r="79" customFormat="false" ht="41.75" hidden="false" customHeight="false" outlineLevel="0" collapsed="false">
      <c r="B79" s="9" t="s">
        <v>336</v>
      </c>
      <c r="C79" s="189" t="s">
        <v>337</v>
      </c>
      <c r="D79" s="158" t="n">
        <v>0</v>
      </c>
      <c r="E79" s="156" t="n">
        <v>3</v>
      </c>
      <c r="H79" s="178" t="n">
        <f aca="false">DATE(2026,12,1)</f>
        <v>46357</v>
      </c>
      <c r="I79" s="168" t="n">
        <v>0</v>
      </c>
    </row>
    <row r="80" customFormat="false" ht="41.75" hidden="false" customHeight="false" outlineLevel="0" collapsed="false">
      <c r="B80" s="9" t="s">
        <v>338</v>
      </c>
      <c r="C80" s="189" t="s">
        <v>339</v>
      </c>
      <c r="D80" s="159" t="n">
        <f aca="false">$D$37*($G$75+$D$79)</f>
        <v>102674</v>
      </c>
      <c r="E80" s="156" t="n">
        <v>9</v>
      </c>
      <c r="H80" s="178" t="n">
        <f aca="false">DATE(2026,10,1)</f>
        <v>46296</v>
      </c>
      <c r="I80" s="168" t="n">
        <v>0</v>
      </c>
    </row>
    <row r="81" customFormat="false" ht="28.35" hidden="false" customHeight="false" outlineLevel="0" collapsed="false">
      <c r="B81" s="9" t="s">
        <v>340</v>
      </c>
      <c r="C81" s="189" t="s">
        <v>341</v>
      </c>
      <c r="D81" s="159" t="n">
        <f aca="false">$D$38*($G$75+$D$79+$D$80)</f>
        <v>138609.9</v>
      </c>
      <c r="E81" s="156" t="n">
        <v>9</v>
      </c>
      <c r="H81" s="178" t="n">
        <f aca="false">DATE(2026,10,1)</f>
        <v>46296</v>
      </c>
      <c r="I81" s="168" t="n">
        <v>0</v>
      </c>
    </row>
    <row r="82" customFormat="false" ht="15" hidden="false" customHeight="false" outlineLevel="0" collapsed="false">
      <c r="B82" s="9" t="s">
        <v>342</v>
      </c>
      <c r="C82" s="189"/>
      <c r="D82" s="158" t="n">
        <v>0</v>
      </c>
      <c r="E82" s="156" t="n">
        <v>1</v>
      </c>
      <c r="H82" s="178" t="n">
        <f aca="false">DATE(2027,5,1)</f>
        <v>46508</v>
      </c>
      <c r="I82" s="168" t="n">
        <v>0</v>
      </c>
    </row>
    <row r="84" customFormat="false" ht="15" hidden="false" customHeight="false" outlineLevel="0" collapsed="false">
      <c r="B84" s="167" t="s">
        <v>343</v>
      </c>
    </row>
    <row r="85" customFormat="false" ht="15" hidden="false" customHeight="false" outlineLevel="0" collapsed="false">
      <c r="B85" s="192" t="s">
        <v>344</v>
      </c>
      <c r="T85" s="159" t="n">
        <f aca="false">IF(AND(T$6&gt;=EOMONTH($H$79,0),T$6&lt;=EOMONTH(EDATE($H$79,$E$79-1),0)),$D$79/MAX($E$79,1),0)</f>
        <v>0</v>
      </c>
      <c r="U85" s="159" t="n">
        <f aca="false">IF(AND(U$6&gt;=EOMONTH($H$79,0),U$6&lt;=EOMONTH(EDATE($H$79,$E$79-1),0)),$D$79/MAX($E$79,1),0)</f>
        <v>0</v>
      </c>
      <c r="V85" s="159" t="n">
        <f aca="false">IF(AND(V$6&gt;=EOMONTH($H$79,0),V$6&lt;=EOMONTH(EDATE($H$79,$E$79-1),0)),$D$79/MAX($E$79,1),0)</f>
        <v>0</v>
      </c>
      <c r="W85" s="159" t="n">
        <f aca="false">IF(AND(W$6&gt;=EOMONTH($H$79,0),W$6&lt;=EOMONTH(EDATE($H$79,$E$79-1),0)),$D$79/MAX($E$79,1),0)</f>
        <v>0</v>
      </c>
      <c r="X85" s="159" t="n">
        <f aca="false">IF(AND(X$6&gt;=EOMONTH($H$79,0),X$6&lt;=EOMONTH(EDATE($H$79,$E$79-1),0)),$D$79/MAX($E$79,1),0)</f>
        <v>0</v>
      </c>
      <c r="Y85" s="159" t="n">
        <f aca="false">IF(AND(Y$6&gt;=EOMONTH($H$79,0),Y$6&lt;=EOMONTH(EDATE($H$79,$E$79-1),0)),$D$79/MAX($E$79,1),0)</f>
        <v>0</v>
      </c>
      <c r="Z85" s="159" t="n">
        <f aca="false">IF(AND(Z$6&gt;=EOMONTH($H$79,0),Z$6&lt;=EOMONTH(EDATE($H$79,$E$79-1),0)),$D$79/MAX($E$79,1),0)</f>
        <v>0</v>
      </c>
      <c r="AA85" s="159" t="n">
        <f aca="false">IF(AND(AA$6&gt;=EOMONTH($H$79,0),AA$6&lt;=EOMONTH(EDATE($H$79,$E$79-1),0)),$D$79/MAX($E$79,1),0)</f>
        <v>0</v>
      </c>
      <c r="AB85" s="159" t="n">
        <f aca="false">IF(AND(AB$6&gt;=EOMONTH($H$79,0),AB$6&lt;=EOMONTH(EDATE($H$79,$E$79-1),0)),$D$79/MAX($E$79,1),0)</f>
        <v>0</v>
      </c>
      <c r="AC85" s="159" t="n">
        <f aca="false">IF(AND(AC$6&gt;=EOMONTH($H$79,0),AC$6&lt;=EOMONTH(EDATE($H$79,$E$79-1),0)),$D$79/MAX($E$79,1),0)</f>
        <v>0</v>
      </c>
      <c r="AD85" s="159" t="n">
        <f aca="false">IF(AND(AD$6&gt;=EOMONTH($H$79,0),AD$6&lt;=EOMONTH(EDATE($H$79,$E$79-1),0)),$D$79/MAX($E$79,1),0)</f>
        <v>0</v>
      </c>
      <c r="AE85" s="159" t="n">
        <f aca="false">IF(AND(AE$6&gt;=EOMONTH($H$79,0),AE$6&lt;=EOMONTH(EDATE($H$79,$E$79-1),0)),$D$79/MAX($E$79,1),0)</f>
        <v>0</v>
      </c>
      <c r="AF85" s="159" t="n">
        <f aca="false">IF(AND(AF$6&gt;=EOMONTH($H$79,0),AF$6&lt;=EOMONTH(EDATE($H$79,$E$79-1),0)),$D$79/MAX($E$79,1),0)</f>
        <v>0</v>
      </c>
      <c r="AG85" s="159" t="n">
        <f aca="false">IF(AND(AG$6&gt;=EOMONTH($H$79,0),AG$6&lt;=EOMONTH(EDATE($H$79,$E$79-1),0)),$D$79/MAX($E$79,1),0)</f>
        <v>0</v>
      </c>
      <c r="AH85" s="159" t="n">
        <f aca="false">IF(AND(AH$6&gt;=EOMONTH($H$79,0),AH$6&lt;=EOMONTH(EDATE($H$79,$E$79-1),0)),$D$79/MAX($E$79,1),0)</f>
        <v>0</v>
      </c>
      <c r="AI85" s="159" t="n">
        <f aca="false">IF(AND(AI$6&gt;=EOMONTH($H$79,0),AI$6&lt;=EOMONTH(EDATE($H$79,$E$79-1),0)),$D$79/MAX($E$79,1),0)</f>
        <v>0</v>
      </c>
      <c r="AJ85" s="159" t="n">
        <f aca="false">IF(AND(AJ$6&gt;=EOMONTH($H$79,0),AJ$6&lt;=EOMONTH(EDATE($H$79,$E$79-1),0)),$D$79/MAX($E$79,1),0)</f>
        <v>0</v>
      </c>
      <c r="AK85" s="159" t="n">
        <f aca="false">IF(AND(AK$6&gt;=EOMONTH($H$79,0),AK$6&lt;=EOMONTH(EDATE($H$79,$E$79-1),0)),$D$79/MAX($E$79,1),0)</f>
        <v>0</v>
      </c>
      <c r="AL85" s="159" t="n">
        <f aca="false">IF(AND(AL$6&gt;=EOMONTH($H$79,0),AL$6&lt;=EOMONTH(EDATE($H$79,$E$79-1),0)),$D$79/MAX($E$79,1),0)</f>
        <v>0</v>
      </c>
      <c r="AM85" s="159" t="n">
        <f aca="false">IF(AND(AM$6&gt;=EOMONTH($H$79,0),AM$6&lt;=EOMONTH(EDATE($H$79,$E$79-1),0)),$D$79/MAX($E$79,1),0)</f>
        <v>0</v>
      </c>
      <c r="AN85" s="159" t="n">
        <f aca="false">IF(AND(AN$6&gt;=EOMONTH($H$79,0),AN$6&lt;=EOMONTH(EDATE($H$79,$E$79-1),0)),$D$79/MAX($E$79,1),0)</f>
        <v>0</v>
      </c>
      <c r="AO85" s="159" t="n">
        <f aca="false">IF(AND(AO$6&gt;=EOMONTH($H$79,0),AO$6&lt;=EOMONTH(EDATE($H$79,$E$79-1),0)),$D$79/MAX($E$79,1),0)</f>
        <v>0</v>
      </c>
      <c r="AP85" s="159" t="n">
        <f aca="false">IF(AND(AP$6&gt;=EOMONTH($H$79,0),AP$6&lt;=EOMONTH(EDATE($H$79,$E$79-1),0)),$D$79/MAX($E$79,1),0)</f>
        <v>0</v>
      </c>
      <c r="AQ85" s="159" t="n">
        <f aca="false">IF(AND(AQ$6&gt;=EOMONTH($H$79,0),AQ$6&lt;=EOMONTH(EDATE($H$79,$E$79-1),0)),$D$79/MAX($E$79,1),0)</f>
        <v>0</v>
      </c>
      <c r="AR85" s="159" t="n">
        <f aca="false">IF(AND(AR$6&gt;=EOMONTH($H$79,0),AR$6&lt;=EOMONTH(EDATE($H$79,$E$79-1),0)),$D$79/MAX($E$79,1),0)</f>
        <v>0</v>
      </c>
      <c r="AS85" s="159" t="n">
        <f aca="false">IF(AND(AS$6&gt;=EOMONTH($H$79,0),AS$6&lt;=EOMONTH(EDATE($H$79,$E$79-1),0)),$D$79/MAX($E$79,1),0)</f>
        <v>0</v>
      </c>
      <c r="AT85" s="159" t="n">
        <f aca="false">IF(AND(AT$6&gt;=EOMONTH($H$79,0),AT$6&lt;=EOMONTH(EDATE($H$79,$E$79-1),0)),$D$79/MAX($E$79,1),0)</f>
        <v>0</v>
      </c>
      <c r="AU85" s="159" t="n">
        <f aca="false">IF(AND(AU$6&gt;=EOMONTH($H$79,0),AU$6&lt;=EOMONTH(EDATE($H$79,$E$79-1),0)),$D$79/MAX($E$79,1),0)</f>
        <v>0</v>
      </c>
      <c r="AV85" s="159" t="n">
        <f aca="false">IF(AND(AV$6&gt;=EOMONTH($H$79,0),AV$6&lt;=EOMONTH(EDATE($H$79,$E$79-1),0)),$D$79/MAX($E$79,1),0)</f>
        <v>0</v>
      </c>
      <c r="AW85" s="159" t="n">
        <f aca="false">IF(AND(AW$6&gt;=EOMONTH($H$79,0),AW$6&lt;=EOMONTH(EDATE($H$79,$E$79-1),0)),$D$79/MAX($E$79,1),0)</f>
        <v>0</v>
      </c>
      <c r="AX85" s="159" t="n">
        <f aca="false">IF(AND(AX$6&gt;=EOMONTH($H$79,0),AX$6&lt;=EOMONTH(EDATE($H$79,$E$79-1),0)),$D$79/MAX($E$79,1),0)</f>
        <v>0</v>
      </c>
      <c r="AY85" s="159" t="n">
        <f aca="false">IF(AND(AY$6&gt;=EOMONTH($H$79,0),AY$6&lt;=EOMONTH(EDATE($H$79,$E$79-1),0)),$D$79/MAX($E$79,1),0)</f>
        <v>0</v>
      </c>
      <c r="AZ85" s="159" t="n">
        <f aca="false">IF(AND(AZ$6&gt;=EOMONTH($H$79,0),AZ$6&lt;=EOMONTH(EDATE($H$79,$E$79-1),0)),$D$79/MAX($E$79,1),0)</f>
        <v>0</v>
      </c>
      <c r="BA85" s="159" t="n">
        <f aca="false">IF(AND(BA$6&gt;=EOMONTH($H$79,0),BA$6&lt;=EOMONTH(EDATE($H$79,$E$79-1),0)),$D$79/MAX($E$79,1),0)</f>
        <v>0</v>
      </c>
      <c r="BB85" s="159" t="n">
        <f aca="false">IF(AND(BB$6&gt;=EOMONTH($H$79,0),BB$6&lt;=EOMONTH(EDATE($H$79,$E$79-1),0)),$D$79/MAX($E$79,1),0)</f>
        <v>0</v>
      </c>
      <c r="BC85" s="159" t="n">
        <f aca="false">IF(AND(BC$6&gt;=EOMONTH($H$79,0),BC$6&lt;=EOMONTH(EDATE($H$79,$E$79-1),0)),$D$79/MAX($E$79,1),0)</f>
        <v>0</v>
      </c>
      <c r="BD85" s="159" t="n">
        <f aca="false">IF(AND(BD$6&gt;=EOMONTH($H$79,0),BD$6&lt;=EOMONTH(EDATE($H$79,$E$79-1),0)),$D$79/MAX($E$79,1),0)</f>
        <v>0</v>
      </c>
      <c r="BE85" s="159" t="n">
        <f aca="false">IF(AND(BE$6&gt;=EOMONTH($H$79,0),BE$6&lt;=EOMONTH(EDATE($H$79,$E$79-1),0)),$D$79/MAX($E$79,1),0)</f>
        <v>0</v>
      </c>
      <c r="BF85" s="159" t="n">
        <f aca="false">IF(AND(BF$6&gt;=EOMONTH($H$79,0),BF$6&lt;=EOMONTH(EDATE($H$79,$E$79-1),0)),$D$79/MAX($E$79,1),0)</f>
        <v>0</v>
      </c>
      <c r="BG85" s="159" t="n">
        <f aca="false">IF(AND(BG$6&gt;=EOMONTH($H$79,0),BG$6&lt;=EOMONTH(EDATE($H$79,$E$79-1),0)),$D$79/MAX($E$79,1),0)</f>
        <v>0</v>
      </c>
      <c r="BH85" s="159" t="n">
        <f aca="false">IF(AND(BH$6&gt;=EOMONTH($H$79,0),BH$6&lt;=EOMONTH(EDATE($H$79,$E$79-1),0)),$D$79/MAX($E$79,1),0)</f>
        <v>0</v>
      </c>
      <c r="BI85" s="159" t="n">
        <f aca="false">IF(AND(BI$6&gt;=EOMONTH($H$79,0),BI$6&lt;=EOMONTH(EDATE($H$79,$E$79-1),0)),$D$79/MAX($E$79,1),0)</f>
        <v>0</v>
      </c>
      <c r="BJ85" s="159" t="n">
        <f aca="false">IF(AND(BJ$6&gt;=EOMONTH($H$79,0),BJ$6&lt;=EOMONTH(EDATE($H$79,$E$79-1),0)),$D$79/MAX($E$79,1),0)</f>
        <v>0</v>
      </c>
      <c r="BK85" s="159" t="n">
        <f aca="false">IF(AND(BK$6&gt;=EOMONTH($H$79,0),BK$6&lt;=EOMONTH(EDATE($H$79,$E$79-1),0)),$D$79/MAX($E$79,1),0)</f>
        <v>0</v>
      </c>
      <c r="BL85" s="159" t="n">
        <f aca="false">IF(AND(BL$6&gt;=EOMONTH($H$79,0),BL$6&lt;=EOMONTH(EDATE($H$79,$E$79-1),0)),$D$79/MAX($E$79,1),0)</f>
        <v>0</v>
      </c>
      <c r="BM85" s="159" t="n">
        <f aca="false">IF(AND(BM$6&gt;=EOMONTH($H$79,0),BM$6&lt;=EOMONTH(EDATE($H$79,$E$79-1),0)),$D$79/MAX($E$79,1),0)</f>
        <v>0</v>
      </c>
      <c r="BN85" s="159" t="n">
        <f aca="false">IF(AND(BN$6&gt;=EOMONTH($H$79,0),BN$6&lt;=EOMONTH(EDATE($H$79,$E$79-1),0)),$D$79/MAX($E$79,1),0)</f>
        <v>0</v>
      </c>
      <c r="BO85" s="159" t="n">
        <f aca="false">IF(AND(BO$6&gt;=EOMONTH($H$79,0),BO$6&lt;=EOMONTH(EDATE($H$79,$E$79-1),0)),$D$79/MAX($E$79,1),0)</f>
        <v>0</v>
      </c>
      <c r="BP85" s="159" t="n">
        <f aca="false">IF(AND(BP$6&gt;=EOMONTH($H$79,0),BP$6&lt;=EOMONTH(EDATE($H$79,$E$79-1),0)),$D$79/MAX($E$79,1),0)</f>
        <v>0</v>
      </c>
      <c r="BQ85" s="159" t="n">
        <f aca="false">IF(AND(BQ$6&gt;=EOMONTH($H$79,0),BQ$6&lt;=EOMONTH(EDATE($H$79,$E$79-1),0)),$D$79/MAX($E$79,1),0)</f>
        <v>0</v>
      </c>
      <c r="BR85" s="159" t="n">
        <f aca="false">IF(AND(BR$6&gt;=EOMONTH($H$79,0),BR$6&lt;=EOMONTH(EDATE($H$79,$E$79-1),0)),$D$79/MAX($E$79,1),0)</f>
        <v>0</v>
      </c>
      <c r="BS85" s="159" t="n">
        <f aca="false">IF(AND(BS$6&gt;=EOMONTH($H$79,0),BS$6&lt;=EOMONTH(EDATE($H$79,$E$79-1),0)),$D$79/MAX($E$79,1),0)</f>
        <v>0</v>
      </c>
      <c r="BT85" s="159" t="n">
        <f aca="false">IF(AND(BT$6&gt;=EOMONTH($H$79,0),BT$6&lt;=EOMONTH(EDATE($H$79,$E$79-1),0)),$D$79/MAX($E$79,1),0)</f>
        <v>0</v>
      </c>
      <c r="BU85" s="159" t="n">
        <f aca="false">IF(AND(BU$6&gt;=EOMONTH($H$79,0),BU$6&lt;=EOMONTH(EDATE($H$79,$E$79-1),0)),$D$79/MAX($E$79,1),0)</f>
        <v>0</v>
      </c>
      <c r="BV85" s="159" t="n">
        <f aca="false">IF(AND(BV$6&gt;=EOMONTH($H$79,0),BV$6&lt;=EOMONTH(EDATE($H$79,$E$79-1),0)),$D$79/MAX($E$79,1),0)</f>
        <v>0</v>
      </c>
      <c r="BW85" s="159" t="n">
        <f aca="false">IF(AND(BW$6&gt;=EOMONTH($H$79,0),BW$6&lt;=EOMONTH(EDATE($H$79,$E$79-1),0)),$D$79/MAX($E$79,1),0)</f>
        <v>0</v>
      </c>
      <c r="BX85" s="159" t="n">
        <f aca="false">IF(AND(BX$6&gt;=EOMONTH($H$79,0),BX$6&lt;=EOMONTH(EDATE($H$79,$E$79-1),0)),$D$79/MAX($E$79,1),0)</f>
        <v>0</v>
      </c>
      <c r="BY85" s="159" t="n">
        <f aca="false">IF(AND(BY$6&gt;=EOMONTH($H$79,0),BY$6&lt;=EOMONTH(EDATE($H$79,$E$79-1),0)),$D$79/MAX($E$79,1),0)</f>
        <v>0</v>
      </c>
      <c r="BZ85" s="159" t="n">
        <f aca="false">IF(AND(BZ$6&gt;=EOMONTH($H$79,0),BZ$6&lt;=EOMONTH(EDATE($H$79,$E$79-1),0)),$D$79/MAX($E$79,1),0)</f>
        <v>0</v>
      </c>
      <c r="CA85" s="159" t="n">
        <f aca="false">IF(AND(CA$6&gt;=EOMONTH($H$79,0),CA$6&lt;=EOMONTH(EDATE($H$79,$E$79-1),0)),$D$79/MAX($E$79,1),0)</f>
        <v>0</v>
      </c>
    </row>
    <row r="86" customFormat="false" ht="15" hidden="false" customHeight="false" outlineLevel="0" collapsed="false">
      <c r="B86" s="192" t="s">
        <v>345</v>
      </c>
      <c r="T86" s="159" t="n">
        <f aca="false">IF(AND(T$6&gt;=EOMONTH($H$80,0),T$6&lt;=EOMONTH(EDATE($H$80,$E$80-1),0)),$D$80/MAX($E$80,1),0)</f>
        <v>0</v>
      </c>
      <c r="U86" s="159" t="n">
        <f aca="false">IF(AND(U$6&gt;=EOMONTH($H$80,0),U$6&lt;=EOMONTH(EDATE($H$80,$E$80-1),0)),$D$80/MAX($E$80,1),0)</f>
        <v>0</v>
      </c>
      <c r="V86" s="159" t="n">
        <f aca="false">IF(AND(V$6&gt;=EOMONTH($H$80,0),V$6&lt;=EOMONTH(EDATE($H$80,$E$80-1),0)),$D$80/MAX($E$80,1),0)</f>
        <v>0</v>
      </c>
      <c r="W86" s="159" t="n">
        <f aca="false">IF(AND(W$6&gt;=EOMONTH($H$80,0),W$6&lt;=EOMONTH(EDATE($H$80,$E$80-1),0)),$D$80/MAX($E$80,1),0)</f>
        <v>0</v>
      </c>
      <c r="X86" s="159" t="n">
        <f aca="false">IF(AND(X$6&gt;=EOMONTH($H$80,0),X$6&lt;=EOMONTH(EDATE($H$80,$E$80-1),0)),$D$80/MAX($E$80,1),0)</f>
        <v>0</v>
      </c>
      <c r="Y86" s="159" t="n">
        <f aca="false">IF(AND(Y$6&gt;=EOMONTH($H$80,0),Y$6&lt;=EOMONTH(EDATE($H$80,$E$80-1),0)),$D$80/MAX($E$80,1),0)</f>
        <v>0</v>
      </c>
      <c r="Z86" s="159" t="n">
        <f aca="false">IF(AND(Z$6&gt;=EOMONTH($H$80,0),Z$6&lt;=EOMONTH(EDATE($H$80,$E$80-1),0)),$D$80/MAX($E$80,1),0)</f>
        <v>0</v>
      </c>
      <c r="AA86" s="159" t="n">
        <f aca="false">IF(AND(AA$6&gt;=EOMONTH($H$80,0),AA$6&lt;=EOMONTH(EDATE($H$80,$E$80-1),0)),$D$80/MAX($E$80,1),0)</f>
        <v>0</v>
      </c>
      <c r="AB86" s="159" t="n">
        <f aca="false">IF(AND(AB$6&gt;=EOMONTH($H$80,0),AB$6&lt;=EOMONTH(EDATE($H$80,$E$80-1),0)),$D$80/MAX($E$80,1),0)</f>
        <v>0</v>
      </c>
      <c r="AC86" s="159" t="n">
        <f aca="false">IF(AND(AC$6&gt;=EOMONTH($H$80,0),AC$6&lt;=EOMONTH(EDATE($H$80,$E$80-1),0)),$D$80/MAX($E$80,1),0)</f>
        <v>11408.2222222222</v>
      </c>
      <c r="AD86" s="159" t="n">
        <f aca="false">IF(AND(AD$6&gt;=EOMONTH($H$80,0),AD$6&lt;=EOMONTH(EDATE($H$80,$E$80-1),0)),$D$80/MAX($E$80,1),0)</f>
        <v>11408.2222222222</v>
      </c>
      <c r="AE86" s="159" t="n">
        <f aca="false">IF(AND(AE$6&gt;=EOMONTH($H$80,0),AE$6&lt;=EOMONTH(EDATE($H$80,$E$80-1),0)),$D$80/MAX($E$80,1),0)</f>
        <v>11408.2222222222</v>
      </c>
      <c r="AF86" s="159" t="n">
        <f aca="false">IF(AND(AF$6&gt;=EOMONTH($H$80,0),AF$6&lt;=EOMONTH(EDATE($H$80,$E$80-1),0)),$D$80/MAX($E$80,1),0)</f>
        <v>11408.2222222222</v>
      </c>
      <c r="AG86" s="159" t="n">
        <f aca="false">IF(AND(AG$6&gt;=EOMONTH($H$80,0),AG$6&lt;=EOMONTH(EDATE($H$80,$E$80-1),0)),$D$80/MAX($E$80,1),0)</f>
        <v>11408.2222222222</v>
      </c>
      <c r="AH86" s="159" t="n">
        <f aca="false">IF(AND(AH$6&gt;=EOMONTH($H$80,0),AH$6&lt;=EOMONTH(EDATE($H$80,$E$80-1),0)),$D$80/MAX($E$80,1),0)</f>
        <v>11408.2222222222</v>
      </c>
      <c r="AI86" s="159" t="n">
        <f aca="false">IF(AND(AI$6&gt;=EOMONTH($H$80,0),AI$6&lt;=EOMONTH(EDATE($H$80,$E$80-1),0)),$D$80/MAX($E$80,1),0)</f>
        <v>11408.2222222222</v>
      </c>
      <c r="AJ86" s="159" t="n">
        <f aca="false">IF(AND(AJ$6&gt;=EOMONTH($H$80,0),AJ$6&lt;=EOMONTH(EDATE($H$80,$E$80-1),0)),$D$80/MAX($E$80,1),0)</f>
        <v>11408.2222222222</v>
      </c>
      <c r="AK86" s="159" t="n">
        <f aca="false">IF(AND(AK$6&gt;=EOMONTH($H$80,0),AK$6&lt;=EOMONTH(EDATE($H$80,$E$80-1),0)),$D$80/MAX($E$80,1),0)</f>
        <v>11408.2222222222</v>
      </c>
      <c r="AL86" s="159" t="n">
        <f aca="false">IF(AND(AL$6&gt;=EOMONTH($H$80,0),AL$6&lt;=EOMONTH(EDATE($H$80,$E$80-1),0)),$D$80/MAX($E$80,1),0)</f>
        <v>0</v>
      </c>
      <c r="AM86" s="159" t="n">
        <f aca="false">IF(AND(AM$6&gt;=EOMONTH($H$80,0),AM$6&lt;=EOMONTH(EDATE($H$80,$E$80-1),0)),$D$80/MAX($E$80,1),0)</f>
        <v>0</v>
      </c>
      <c r="AN86" s="159" t="n">
        <f aca="false">IF(AND(AN$6&gt;=EOMONTH($H$80,0),AN$6&lt;=EOMONTH(EDATE($H$80,$E$80-1),0)),$D$80/MAX($E$80,1),0)</f>
        <v>0</v>
      </c>
      <c r="AO86" s="159" t="n">
        <f aca="false">IF(AND(AO$6&gt;=EOMONTH($H$80,0),AO$6&lt;=EOMONTH(EDATE($H$80,$E$80-1),0)),$D$80/MAX($E$80,1),0)</f>
        <v>0</v>
      </c>
      <c r="AP86" s="159" t="n">
        <f aca="false">IF(AND(AP$6&gt;=EOMONTH($H$80,0),AP$6&lt;=EOMONTH(EDATE($H$80,$E$80-1),0)),$D$80/MAX($E$80,1),0)</f>
        <v>0</v>
      </c>
      <c r="AQ86" s="159" t="n">
        <f aca="false">IF(AND(AQ$6&gt;=EOMONTH($H$80,0),AQ$6&lt;=EOMONTH(EDATE($H$80,$E$80-1),0)),$D$80/MAX($E$80,1),0)</f>
        <v>0</v>
      </c>
      <c r="AR86" s="159" t="n">
        <f aca="false">IF(AND(AR$6&gt;=EOMONTH($H$80,0),AR$6&lt;=EOMONTH(EDATE($H$80,$E$80-1),0)),$D$80/MAX($E$80,1),0)</f>
        <v>0</v>
      </c>
      <c r="AS86" s="159" t="n">
        <f aca="false">IF(AND(AS$6&gt;=EOMONTH($H$80,0),AS$6&lt;=EOMONTH(EDATE($H$80,$E$80-1),0)),$D$80/MAX($E$80,1),0)</f>
        <v>0</v>
      </c>
      <c r="AT86" s="159" t="n">
        <f aca="false">IF(AND(AT$6&gt;=EOMONTH($H$80,0),AT$6&lt;=EOMONTH(EDATE($H$80,$E$80-1),0)),$D$80/MAX($E$80,1),0)</f>
        <v>0</v>
      </c>
      <c r="AU86" s="159" t="n">
        <f aca="false">IF(AND(AU$6&gt;=EOMONTH($H$80,0),AU$6&lt;=EOMONTH(EDATE($H$80,$E$80-1),0)),$D$80/MAX($E$80,1),0)</f>
        <v>0</v>
      </c>
      <c r="AV86" s="159" t="n">
        <f aca="false">IF(AND(AV$6&gt;=EOMONTH($H$80,0),AV$6&lt;=EOMONTH(EDATE($H$80,$E$80-1),0)),$D$80/MAX($E$80,1),0)</f>
        <v>0</v>
      </c>
      <c r="AW86" s="159" t="n">
        <f aca="false">IF(AND(AW$6&gt;=EOMONTH($H$80,0),AW$6&lt;=EOMONTH(EDATE($H$80,$E$80-1),0)),$D$80/MAX($E$80,1),0)</f>
        <v>0</v>
      </c>
      <c r="AX86" s="159" t="n">
        <f aca="false">IF(AND(AX$6&gt;=EOMONTH($H$80,0),AX$6&lt;=EOMONTH(EDATE($H$80,$E$80-1),0)),$D$80/MAX($E$80,1),0)</f>
        <v>0</v>
      </c>
      <c r="AY86" s="159" t="n">
        <f aca="false">IF(AND(AY$6&gt;=EOMONTH($H$80,0),AY$6&lt;=EOMONTH(EDATE($H$80,$E$80-1),0)),$D$80/MAX($E$80,1),0)</f>
        <v>0</v>
      </c>
      <c r="AZ86" s="159" t="n">
        <f aca="false">IF(AND(AZ$6&gt;=EOMONTH($H$80,0),AZ$6&lt;=EOMONTH(EDATE($H$80,$E$80-1),0)),$D$80/MAX($E$80,1),0)</f>
        <v>0</v>
      </c>
      <c r="BA86" s="159" t="n">
        <f aca="false">IF(AND(BA$6&gt;=EOMONTH($H$80,0),BA$6&lt;=EOMONTH(EDATE($H$80,$E$80-1),0)),$D$80/MAX($E$80,1),0)</f>
        <v>0</v>
      </c>
      <c r="BB86" s="159" t="n">
        <f aca="false">IF(AND(BB$6&gt;=EOMONTH($H$80,0),BB$6&lt;=EOMONTH(EDATE($H$80,$E$80-1),0)),$D$80/MAX($E$80,1),0)</f>
        <v>0</v>
      </c>
      <c r="BC86" s="159" t="n">
        <f aca="false">IF(AND(BC$6&gt;=EOMONTH($H$80,0),BC$6&lt;=EOMONTH(EDATE($H$80,$E$80-1),0)),$D$80/MAX($E$80,1),0)</f>
        <v>0</v>
      </c>
      <c r="BD86" s="159" t="n">
        <f aca="false">IF(AND(BD$6&gt;=EOMONTH($H$80,0),BD$6&lt;=EOMONTH(EDATE($H$80,$E$80-1),0)),$D$80/MAX($E$80,1),0)</f>
        <v>0</v>
      </c>
      <c r="BE86" s="159" t="n">
        <f aca="false">IF(AND(BE$6&gt;=EOMONTH($H$80,0),BE$6&lt;=EOMONTH(EDATE($H$80,$E$80-1),0)),$D$80/MAX($E$80,1),0)</f>
        <v>0</v>
      </c>
      <c r="BF86" s="159" t="n">
        <f aca="false">IF(AND(BF$6&gt;=EOMONTH($H$80,0),BF$6&lt;=EOMONTH(EDATE($H$80,$E$80-1),0)),$D$80/MAX($E$80,1),0)</f>
        <v>0</v>
      </c>
      <c r="BG86" s="159" t="n">
        <f aca="false">IF(AND(BG$6&gt;=EOMONTH($H$80,0),BG$6&lt;=EOMONTH(EDATE($H$80,$E$80-1),0)),$D$80/MAX($E$80,1),0)</f>
        <v>0</v>
      </c>
      <c r="BH86" s="159" t="n">
        <f aca="false">IF(AND(BH$6&gt;=EOMONTH($H$80,0),BH$6&lt;=EOMONTH(EDATE($H$80,$E$80-1),0)),$D$80/MAX($E$80,1),0)</f>
        <v>0</v>
      </c>
      <c r="BI86" s="159" t="n">
        <f aca="false">IF(AND(BI$6&gt;=EOMONTH($H$80,0),BI$6&lt;=EOMONTH(EDATE($H$80,$E$80-1),0)),$D$80/MAX($E$80,1),0)</f>
        <v>0</v>
      </c>
      <c r="BJ86" s="159" t="n">
        <f aca="false">IF(AND(BJ$6&gt;=EOMONTH($H$80,0),BJ$6&lt;=EOMONTH(EDATE($H$80,$E$80-1),0)),$D$80/MAX($E$80,1),0)</f>
        <v>0</v>
      </c>
      <c r="BK86" s="159" t="n">
        <f aca="false">IF(AND(BK$6&gt;=EOMONTH($H$80,0),BK$6&lt;=EOMONTH(EDATE($H$80,$E$80-1),0)),$D$80/MAX($E$80,1),0)</f>
        <v>0</v>
      </c>
      <c r="BL86" s="159" t="n">
        <f aca="false">IF(AND(BL$6&gt;=EOMONTH($H$80,0),BL$6&lt;=EOMONTH(EDATE($H$80,$E$80-1),0)),$D$80/MAX($E$80,1),0)</f>
        <v>0</v>
      </c>
      <c r="BM86" s="159" t="n">
        <f aca="false">IF(AND(BM$6&gt;=EOMONTH($H$80,0),BM$6&lt;=EOMONTH(EDATE($H$80,$E$80-1),0)),$D$80/MAX($E$80,1),0)</f>
        <v>0</v>
      </c>
      <c r="BN86" s="159" t="n">
        <f aca="false">IF(AND(BN$6&gt;=EOMONTH($H$80,0),BN$6&lt;=EOMONTH(EDATE($H$80,$E$80-1),0)),$D$80/MAX($E$80,1),0)</f>
        <v>0</v>
      </c>
      <c r="BO86" s="159" t="n">
        <f aca="false">IF(AND(BO$6&gt;=EOMONTH($H$80,0),BO$6&lt;=EOMONTH(EDATE($H$80,$E$80-1),0)),$D$80/MAX($E$80,1),0)</f>
        <v>0</v>
      </c>
      <c r="BP86" s="159" t="n">
        <f aca="false">IF(AND(BP$6&gt;=EOMONTH($H$80,0),BP$6&lt;=EOMONTH(EDATE($H$80,$E$80-1),0)),$D$80/MAX($E$80,1),0)</f>
        <v>0</v>
      </c>
      <c r="BQ86" s="159" t="n">
        <f aca="false">IF(AND(BQ$6&gt;=EOMONTH($H$80,0),BQ$6&lt;=EOMONTH(EDATE($H$80,$E$80-1),0)),$D$80/MAX($E$80,1),0)</f>
        <v>0</v>
      </c>
      <c r="BR86" s="159" t="n">
        <f aca="false">IF(AND(BR$6&gt;=EOMONTH($H$80,0),BR$6&lt;=EOMONTH(EDATE($H$80,$E$80-1),0)),$D$80/MAX($E$80,1),0)</f>
        <v>0</v>
      </c>
      <c r="BS86" s="159" t="n">
        <f aca="false">IF(AND(BS$6&gt;=EOMONTH($H$80,0),BS$6&lt;=EOMONTH(EDATE($H$80,$E$80-1),0)),$D$80/MAX($E$80,1),0)</f>
        <v>0</v>
      </c>
      <c r="BT86" s="159" t="n">
        <f aca="false">IF(AND(BT$6&gt;=EOMONTH($H$80,0),BT$6&lt;=EOMONTH(EDATE($H$80,$E$80-1),0)),$D$80/MAX($E$80,1),0)</f>
        <v>0</v>
      </c>
      <c r="BU86" s="159" t="n">
        <f aca="false">IF(AND(BU$6&gt;=EOMONTH($H$80,0),BU$6&lt;=EOMONTH(EDATE($H$80,$E$80-1),0)),$D$80/MAX($E$80,1),0)</f>
        <v>0</v>
      </c>
      <c r="BV86" s="159" t="n">
        <f aca="false">IF(AND(BV$6&gt;=EOMONTH($H$80,0),BV$6&lt;=EOMONTH(EDATE($H$80,$E$80-1),0)),$D$80/MAX($E$80,1),0)</f>
        <v>0</v>
      </c>
      <c r="BW86" s="159" t="n">
        <f aca="false">IF(AND(BW$6&gt;=EOMONTH($H$80,0),BW$6&lt;=EOMONTH(EDATE($H$80,$E$80-1),0)),$D$80/MAX($E$80,1),0)</f>
        <v>0</v>
      </c>
      <c r="BX86" s="159" t="n">
        <f aca="false">IF(AND(BX$6&gt;=EOMONTH($H$80,0),BX$6&lt;=EOMONTH(EDATE($H$80,$E$80-1),0)),$D$80/MAX($E$80,1),0)</f>
        <v>0</v>
      </c>
      <c r="BY86" s="159" t="n">
        <f aca="false">IF(AND(BY$6&gt;=EOMONTH($H$80,0),BY$6&lt;=EOMONTH(EDATE($H$80,$E$80-1),0)),$D$80/MAX($E$80,1),0)</f>
        <v>0</v>
      </c>
      <c r="BZ86" s="159" t="n">
        <f aca="false">IF(AND(BZ$6&gt;=EOMONTH($H$80,0),BZ$6&lt;=EOMONTH(EDATE($H$80,$E$80-1),0)),$D$80/MAX($E$80,1),0)</f>
        <v>0</v>
      </c>
      <c r="CA86" s="159" t="n">
        <f aca="false">IF(AND(CA$6&gt;=EOMONTH($H$80,0),CA$6&lt;=EOMONTH(EDATE($H$80,$E$80-1),0)),$D$80/MAX($E$80,1),0)</f>
        <v>0</v>
      </c>
    </row>
    <row r="87" customFormat="false" ht="15" hidden="false" customHeight="false" outlineLevel="0" collapsed="false">
      <c r="B87" s="192" t="s">
        <v>346</v>
      </c>
      <c r="T87" s="159" t="n">
        <f aca="false">IF(AND(T$6&gt;=EOMONTH($H$81,0),T$6&lt;=EOMONTH(EDATE($H$81,$E$81-1),0)),$D$81/MAX($E$81,1),0)</f>
        <v>0</v>
      </c>
      <c r="U87" s="159" t="n">
        <f aca="false">IF(AND(U$6&gt;=EOMONTH($H$81,0),U$6&lt;=EOMONTH(EDATE($H$81,$E$81-1),0)),$D$81/MAX($E$81,1),0)</f>
        <v>0</v>
      </c>
      <c r="V87" s="159" t="n">
        <f aca="false">IF(AND(V$6&gt;=EOMONTH($H$81,0),V$6&lt;=EOMONTH(EDATE($H$81,$E$81-1),0)),$D$81/MAX($E$81,1),0)</f>
        <v>0</v>
      </c>
      <c r="W87" s="159" t="n">
        <f aca="false">IF(AND(W$6&gt;=EOMONTH($H$81,0),W$6&lt;=EOMONTH(EDATE($H$81,$E$81-1),0)),$D$81/MAX($E$81,1),0)</f>
        <v>0</v>
      </c>
      <c r="X87" s="159" t="n">
        <f aca="false">IF(AND(X$6&gt;=EOMONTH($H$81,0),X$6&lt;=EOMONTH(EDATE($H$81,$E$81-1),0)),$D$81/MAX($E$81,1),0)</f>
        <v>0</v>
      </c>
      <c r="Y87" s="159" t="n">
        <f aca="false">IF(AND(Y$6&gt;=EOMONTH($H$81,0),Y$6&lt;=EOMONTH(EDATE($H$81,$E$81-1),0)),$D$81/MAX($E$81,1),0)</f>
        <v>0</v>
      </c>
      <c r="Z87" s="159" t="n">
        <f aca="false">IF(AND(Z$6&gt;=EOMONTH($H$81,0),Z$6&lt;=EOMONTH(EDATE($H$81,$E$81-1),0)),$D$81/MAX($E$81,1),0)</f>
        <v>0</v>
      </c>
      <c r="AA87" s="159" t="n">
        <f aca="false">IF(AND(AA$6&gt;=EOMONTH($H$81,0),AA$6&lt;=EOMONTH(EDATE($H$81,$E$81-1),0)),$D$81/MAX($E$81,1),0)</f>
        <v>0</v>
      </c>
      <c r="AB87" s="159" t="n">
        <f aca="false">IF(AND(AB$6&gt;=EOMONTH($H$81,0),AB$6&lt;=EOMONTH(EDATE($H$81,$E$81-1),0)),$D$81/MAX($E$81,1),0)</f>
        <v>0</v>
      </c>
      <c r="AC87" s="159" t="n">
        <f aca="false">IF(AND(AC$6&gt;=EOMONTH($H$81,0),AC$6&lt;=EOMONTH(EDATE($H$81,$E$81-1),0)),$D$81/MAX($E$81,1),0)</f>
        <v>15401.1</v>
      </c>
      <c r="AD87" s="159" t="n">
        <f aca="false">IF(AND(AD$6&gt;=EOMONTH($H$81,0),AD$6&lt;=EOMONTH(EDATE($H$81,$E$81-1),0)),$D$81/MAX($E$81,1),0)</f>
        <v>15401.1</v>
      </c>
      <c r="AE87" s="159" t="n">
        <f aca="false">IF(AND(AE$6&gt;=EOMONTH($H$81,0),AE$6&lt;=EOMONTH(EDATE($H$81,$E$81-1),0)),$D$81/MAX($E$81,1),0)</f>
        <v>15401.1</v>
      </c>
      <c r="AF87" s="159" t="n">
        <f aca="false">IF(AND(AF$6&gt;=EOMONTH($H$81,0),AF$6&lt;=EOMONTH(EDATE($H$81,$E$81-1),0)),$D$81/MAX($E$81,1),0)</f>
        <v>15401.1</v>
      </c>
      <c r="AG87" s="159" t="n">
        <f aca="false">IF(AND(AG$6&gt;=EOMONTH($H$81,0),AG$6&lt;=EOMONTH(EDATE($H$81,$E$81-1),0)),$D$81/MAX($E$81,1),0)</f>
        <v>15401.1</v>
      </c>
      <c r="AH87" s="159" t="n">
        <f aca="false">IF(AND(AH$6&gt;=EOMONTH($H$81,0),AH$6&lt;=EOMONTH(EDATE($H$81,$E$81-1),0)),$D$81/MAX($E$81,1),0)</f>
        <v>15401.1</v>
      </c>
      <c r="AI87" s="159" t="n">
        <f aca="false">IF(AND(AI$6&gt;=EOMONTH($H$81,0),AI$6&lt;=EOMONTH(EDATE($H$81,$E$81-1),0)),$D$81/MAX($E$81,1),0)</f>
        <v>15401.1</v>
      </c>
      <c r="AJ87" s="159" t="n">
        <f aca="false">IF(AND(AJ$6&gt;=EOMONTH($H$81,0),AJ$6&lt;=EOMONTH(EDATE($H$81,$E$81-1),0)),$D$81/MAX($E$81,1),0)</f>
        <v>15401.1</v>
      </c>
      <c r="AK87" s="159" t="n">
        <f aca="false">IF(AND(AK$6&gt;=EOMONTH($H$81,0),AK$6&lt;=EOMONTH(EDATE($H$81,$E$81-1),0)),$D$81/MAX($E$81,1),0)</f>
        <v>15401.1</v>
      </c>
      <c r="AL87" s="159" t="n">
        <f aca="false">IF(AND(AL$6&gt;=EOMONTH($H$81,0),AL$6&lt;=EOMONTH(EDATE($H$81,$E$81-1),0)),$D$81/MAX($E$81,1),0)</f>
        <v>0</v>
      </c>
      <c r="AM87" s="159" t="n">
        <f aca="false">IF(AND(AM$6&gt;=EOMONTH($H$81,0),AM$6&lt;=EOMONTH(EDATE($H$81,$E$81-1),0)),$D$81/MAX($E$81,1),0)</f>
        <v>0</v>
      </c>
      <c r="AN87" s="159" t="n">
        <f aca="false">IF(AND(AN$6&gt;=EOMONTH($H$81,0),AN$6&lt;=EOMONTH(EDATE($H$81,$E$81-1),0)),$D$81/MAX($E$81,1),0)</f>
        <v>0</v>
      </c>
      <c r="AO87" s="159" t="n">
        <f aca="false">IF(AND(AO$6&gt;=EOMONTH($H$81,0),AO$6&lt;=EOMONTH(EDATE($H$81,$E$81-1),0)),$D$81/MAX($E$81,1),0)</f>
        <v>0</v>
      </c>
      <c r="AP87" s="159" t="n">
        <f aca="false">IF(AND(AP$6&gt;=EOMONTH($H$81,0),AP$6&lt;=EOMONTH(EDATE($H$81,$E$81-1),0)),$D$81/MAX($E$81,1),0)</f>
        <v>0</v>
      </c>
      <c r="AQ87" s="159" t="n">
        <f aca="false">IF(AND(AQ$6&gt;=EOMONTH($H$81,0),AQ$6&lt;=EOMONTH(EDATE($H$81,$E$81-1),0)),$D$81/MAX($E$81,1),0)</f>
        <v>0</v>
      </c>
      <c r="AR87" s="159" t="n">
        <f aca="false">IF(AND(AR$6&gt;=EOMONTH($H$81,0),AR$6&lt;=EOMONTH(EDATE($H$81,$E$81-1),0)),$D$81/MAX($E$81,1),0)</f>
        <v>0</v>
      </c>
      <c r="AS87" s="159" t="n">
        <f aca="false">IF(AND(AS$6&gt;=EOMONTH($H$81,0),AS$6&lt;=EOMONTH(EDATE($H$81,$E$81-1),0)),$D$81/MAX($E$81,1),0)</f>
        <v>0</v>
      </c>
      <c r="AT87" s="159" t="n">
        <f aca="false">IF(AND(AT$6&gt;=EOMONTH($H$81,0),AT$6&lt;=EOMONTH(EDATE($H$81,$E$81-1),0)),$D$81/MAX($E$81,1),0)</f>
        <v>0</v>
      </c>
      <c r="AU87" s="159" t="n">
        <f aca="false">IF(AND(AU$6&gt;=EOMONTH($H$81,0),AU$6&lt;=EOMONTH(EDATE($H$81,$E$81-1),0)),$D$81/MAX($E$81,1),0)</f>
        <v>0</v>
      </c>
      <c r="AV87" s="159" t="n">
        <f aca="false">IF(AND(AV$6&gt;=EOMONTH($H$81,0),AV$6&lt;=EOMONTH(EDATE($H$81,$E$81-1),0)),$D$81/MAX($E$81,1),0)</f>
        <v>0</v>
      </c>
      <c r="AW87" s="159" t="n">
        <f aca="false">IF(AND(AW$6&gt;=EOMONTH($H$81,0),AW$6&lt;=EOMONTH(EDATE($H$81,$E$81-1),0)),$D$81/MAX($E$81,1),0)</f>
        <v>0</v>
      </c>
      <c r="AX87" s="159" t="n">
        <f aca="false">IF(AND(AX$6&gt;=EOMONTH($H$81,0),AX$6&lt;=EOMONTH(EDATE($H$81,$E$81-1),0)),$D$81/MAX($E$81,1),0)</f>
        <v>0</v>
      </c>
      <c r="AY87" s="159" t="n">
        <f aca="false">IF(AND(AY$6&gt;=EOMONTH($H$81,0),AY$6&lt;=EOMONTH(EDATE($H$81,$E$81-1),0)),$D$81/MAX($E$81,1),0)</f>
        <v>0</v>
      </c>
      <c r="AZ87" s="159" t="n">
        <f aca="false">IF(AND(AZ$6&gt;=EOMONTH($H$81,0),AZ$6&lt;=EOMONTH(EDATE($H$81,$E$81-1),0)),$D$81/MAX($E$81,1),0)</f>
        <v>0</v>
      </c>
      <c r="BA87" s="159" t="n">
        <f aca="false">IF(AND(BA$6&gt;=EOMONTH($H$81,0),BA$6&lt;=EOMONTH(EDATE($H$81,$E$81-1),0)),$D$81/MAX($E$81,1),0)</f>
        <v>0</v>
      </c>
      <c r="BB87" s="159" t="n">
        <f aca="false">IF(AND(BB$6&gt;=EOMONTH($H$81,0),BB$6&lt;=EOMONTH(EDATE($H$81,$E$81-1),0)),$D$81/MAX($E$81,1),0)</f>
        <v>0</v>
      </c>
      <c r="BC87" s="159" t="n">
        <f aca="false">IF(AND(BC$6&gt;=EOMONTH($H$81,0),BC$6&lt;=EOMONTH(EDATE($H$81,$E$81-1),0)),$D$81/MAX($E$81,1),0)</f>
        <v>0</v>
      </c>
      <c r="BD87" s="159" t="n">
        <f aca="false">IF(AND(BD$6&gt;=EOMONTH($H$81,0),BD$6&lt;=EOMONTH(EDATE($H$81,$E$81-1),0)),$D$81/MAX($E$81,1),0)</f>
        <v>0</v>
      </c>
      <c r="BE87" s="159" t="n">
        <f aca="false">IF(AND(BE$6&gt;=EOMONTH($H$81,0),BE$6&lt;=EOMONTH(EDATE($H$81,$E$81-1),0)),$D$81/MAX($E$81,1),0)</f>
        <v>0</v>
      </c>
      <c r="BF87" s="159" t="n">
        <f aca="false">IF(AND(BF$6&gt;=EOMONTH($H$81,0),BF$6&lt;=EOMONTH(EDATE($H$81,$E$81-1),0)),$D$81/MAX($E$81,1),0)</f>
        <v>0</v>
      </c>
      <c r="BG87" s="159" t="n">
        <f aca="false">IF(AND(BG$6&gt;=EOMONTH($H$81,0),BG$6&lt;=EOMONTH(EDATE($H$81,$E$81-1),0)),$D$81/MAX($E$81,1),0)</f>
        <v>0</v>
      </c>
      <c r="BH87" s="159" t="n">
        <f aca="false">IF(AND(BH$6&gt;=EOMONTH($H$81,0),BH$6&lt;=EOMONTH(EDATE($H$81,$E$81-1),0)),$D$81/MAX($E$81,1),0)</f>
        <v>0</v>
      </c>
      <c r="BI87" s="159" t="n">
        <f aca="false">IF(AND(BI$6&gt;=EOMONTH($H$81,0),BI$6&lt;=EOMONTH(EDATE($H$81,$E$81-1),0)),$D$81/MAX($E$81,1),0)</f>
        <v>0</v>
      </c>
      <c r="BJ87" s="159" t="n">
        <f aca="false">IF(AND(BJ$6&gt;=EOMONTH($H$81,0),BJ$6&lt;=EOMONTH(EDATE($H$81,$E$81-1),0)),$D$81/MAX($E$81,1),0)</f>
        <v>0</v>
      </c>
      <c r="BK87" s="159" t="n">
        <f aca="false">IF(AND(BK$6&gt;=EOMONTH($H$81,0),BK$6&lt;=EOMONTH(EDATE($H$81,$E$81-1),0)),$D$81/MAX($E$81,1),0)</f>
        <v>0</v>
      </c>
      <c r="BL87" s="159" t="n">
        <f aca="false">IF(AND(BL$6&gt;=EOMONTH($H$81,0),BL$6&lt;=EOMONTH(EDATE($H$81,$E$81-1),0)),$D$81/MAX($E$81,1),0)</f>
        <v>0</v>
      </c>
      <c r="BM87" s="159" t="n">
        <f aca="false">IF(AND(BM$6&gt;=EOMONTH($H$81,0),BM$6&lt;=EOMONTH(EDATE($H$81,$E$81-1),0)),$D$81/MAX($E$81,1),0)</f>
        <v>0</v>
      </c>
      <c r="BN87" s="159" t="n">
        <f aca="false">IF(AND(BN$6&gt;=EOMONTH($H$81,0),BN$6&lt;=EOMONTH(EDATE($H$81,$E$81-1),0)),$D$81/MAX($E$81,1),0)</f>
        <v>0</v>
      </c>
      <c r="BO87" s="159" t="n">
        <f aca="false">IF(AND(BO$6&gt;=EOMONTH($H$81,0),BO$6&lt;=EOMONTH(EDATE($H$81,$E$81-1),0)),$D$81/MAX($E$81,1),0)</f>
        <v>0</v>
      </c>
      <c r="BP87" s="159" t="n">
        <f aca="false">IF(AND(BP$6&gt;=EOMONTH($H$81,0),BP$6&lt;=EOMONTH(EDATE($H$81,$E$81-1),0)),$D$81/MAX($E$81,1),0)</f>
        <v>0</v>
      </c>
      <c r="BQ87" s="159" t="n">
        <f aca="false">IF(AND(BQ$6&gt;=EOMONTH($H$81,0),BQ$6&lt;=EOMONTH(EDATE($H$81,$E$81-1),0)),$D$81/MAX($E$81,1),0)</f>
        <v>0</v>
      </c>
      <c r="BR87" s="159" t="n">
        <f aca="false">IF(AND(BR$6&gt;=EOMONTH($H$81,0),BR$6&lt;=EOMONTH(EDATE($H$81,$E$81-1),0)),$D$81/MAX($E$81,1),0)</f>
        <v>0</v>
      </c>
      <c r="BS87" s="159" t="n">
        <f aca="false">IF(AND(BS$6&gt;=EOMONTH($H$81,0),BS$6&lt;=EOMONTH(EDATE($H$81,$E$81-1),0)),$D$81/MAX($E$81,1),0)</f>
        <v>0</v>
      </c>
      <c r="BT87" s="159" t="n">
        <f aca="false">IF(AND(BT$6&gt;=EOMONTH($H$81,0),BT$6&lt;=EOMONTH(EDATE($H$81,$E$81-1),0)),$D$81/MAX($E$81,1),0)</f>
        <v>0</v>
      </c>
      <c r="BU87" s="159" t="n">
        <f aca="false">IF(AND(BU$6&gt;=EOMONTH($H$81,0),BU$6&lt;=EOMONTH(EDATE($H$81,$E$81-1),0)),$D$81/MAX($E$81,1),0)</f>
        <v>0</v>
      </c>
      <c r="BV87" s="159" t="n">
        <f aca="false">IF(AND(BV$6&gt;=EOMONTH($H$81,0),BV$6&lt;=EOMONTH(EDATE($H$81,$E$81-1),0)),$D$81/MAX($E$81,1),0)</f>
        <v>0</v>
      </c>
      <c r="BW87" s="159" t="n">
        <f aca="false">IF(AND(BW$6&gt;=EOMONTH($H$81,0),BW$6&lt;=EOMONTH(EDATE($H$81,$E$81-1),0)),$D$81/MAX($E$81,1),0)</f>
        <v>0</v>
      </c>
      <c r="BX87" s="159" t="n">
        <f aca="false">IF(AND(BX$6&gt;=EOMONTH($H$81,0),BX$6&lt;=EOMONTH(EDATE($H$81,$E$81-1),0)),$D$81/MAX($E$81,1),0)</f>
        <v>0</v>
      </c>
      <c r="BY87" s="159" t="n">
        <f aca="false">IF(AND(BY$6&gt;=EOMONTH($H$81,0),BY$6&lt;=EOMONTH(EDATE($H$81,$E$81-1),0)),$D$81/MAX($E$81,1),0)</f>
        <v>0</v>
      </c>
      <c r="BZ87" s="159" t="n">
        <f aca="false">IF(AND(BZ$6&gt;=EOMONTH($H$81,0),BZ$6&lt;=EOMONTH(EDATE($H$81,$E$81-1),0)),$D$81/MAX($E$81,1),0)</f>
        <v>0</v>
      </c>
      <c r="CA87" s="159" t="n">
        <f aca="false">IF(AND(CA$6&gt;=EOMONTH($H$81,0),CA$6&lt;=EOMONTH(EDATE($H$81,$E$81-1),0)),$D$81/MAX($E$81,1),0)</f>
        <v>0</v>
      </c>
    </row>
    <row r="88" customFormat="false" ht="15" hidden="false" customHeight="false" outlineLevel="0" collapsed="false">
      <c r="B88" s="192" t="s">
        <v>347</v>
      </c>
      <c r="T88" s="159" t="n">
        <f aca="false">IF(AND(T$6&gt;=EOMONTH($H$82,0),T$6&lt;=EOMONTH(EDATE($H$82,$E$82-1),0)),$D$82/MAX($E$82,1),0)</f>
        <v>0</v>
      </c>
      <c r="U88" s="159" t="n">
        <f aca="false">IF(AND(U$6&gt;=EOMONTH($H$82,0),U$6&lt;=EOMONTH(EDATE($H$82,$E$82-1),0)),$D$82/MAX($E$82,1),0)</f>
        <v>0</v>
      </c>
      <c r="V88" s="159" t="n">
        <f aca="false">IF(AND(V$6&gt;=EOMONTH($H$82,0),V$6&lt;=EOMONTH(EDATE($H$82,$E$82-1),0)),$D$82/MAX($E$82,1),0)</f>
        <v>0</v>
      </c>
      <c r="W88" s="159" t="n">
        <f aca="false">IF(AND(W$6&gt;=EOMONTH($H$82,0),W$6&lt;=EOMONTH(EDATE($H$82,$E$82-1),0)),$D$82/MAX($E$82,1),0)</f>
        <v>0</v>
      </c>
      <c r="X88" s="159" t="n">
        <f aca="false">IF(AND(X$6&gt;=EOMONTH($H$82,0),X$6&lt;=EOMONTH(EDATE($H$82,$E$82-1),0)),$D$82/MAX($E$82,1),0)</f>
        <v>0</v>
      </c>
      <c r="Y88" s="159" t="n">
        <f aca="false">IF(AND(Y$6&gt;=EOMONTH($H$82,0),Y$6&lt;=EOMONTH(EDATE($H$82,$E$82-1),0)),$D$82/MAX($E$82,1),0)</f>
        <v>0</v>
      </c>
      <c r="Z88" s="159" t="n">
        <f aca="false">IF(AND(Z$6&gt;=EOMONTH($H$82,0),Z$6&lt;=EOMONTH(EDATE($H$82,$E$82-1),0)),$D$82/MAX($E$82,1),0)</f>
        <v>0</v>
      </c>
      <c r="AA88" s="159" t="n">
        <f aca="false">IF(AND(AA$6&gt;=EOMONTH($H$82,0),AA$6&lt;=EOMONTH(EDATE($H$82,$E$82-1),0)),$D$82/MAX($E$82,1),0)</f>
        <v>0</v>
      </c>
      <c r="AB88" s="159" t="n">
        <f aca="false">IF(AND(AB$6&gt;=EOMONTH($H$82,0),AB$6&lt;=EOMONTH(EDATE($H$82,$E$82-1),0)),$D$82/MAX($E$82,1),0)</f>
        <v>0</v>
      </c>
      <c r="AC88" s="159" t="n">
        <f aca="false">IF(AND(AC$6&gt;=EOMONTH($H$82,0),AC$6&lt;=EOMONTH(EDATE($H$82,$E$82-1),0)),$D$82/MAX($E$82,1),0)</f>
        <v>0</v>
      </c>
      <c r="AD88" s="159" t="n">
        <f aca="false">IF(AND(AD$6&gt;=EOMONTH($H$82,0),AD$6&lt;=EOMONTH(EDATE($H$82,$E$82-1),0)),$D$82/MAX($E$82,1),0)</f>
        <v>0</v>
      </c>
      <c r="AE88" s="159" t="n">
        <f aca="false">IF(AND(AE$6&gt;=EOMONTH($H$82,0),AE$6&lt;=EOMONTH(EDATE($H$82,$E$82-1),0)),$D$82/MAX($E$82,1),0)</f>
        <v>0</v>
      </c>
      <c r="AF88" s="159" t="n">
        <f aca="false">IF(AND(AF$6&gt;=EOMONTH($H$82,0),AF$6&lt;=EOMONTH(EDATE($H$82,$E$82-1),0)),$D$82/MAX($E$82,1),0)</f>
        <v>0</v>
      </c>
      <c r="AG88" s="159" t="n">
        <f aca="false">IF(AND(AG$6&gt;=EOMONTH($H$82,0),AG$6&lt;=EOMONTH(EDATE($H$82,$E$82-1),0)),$D$82/MAX($E$82,1),0)</f>
        <v>0</v>
      </c>
      <c r="AH88" s="159" t="n">
        <f aca="false">IF(AND(AH$6&gt;=EOMONTH($H$82,0),AH$6&lt;=EOMONTH(EDATE($H$82,$E$82-1),0)),$D$82/MAX($E$82,1),0)</f>
        <v>0</v>
      </c>
      <c r="AI88" s="159" t="n">
        <f aca="false">IF(AND(AI$6&gt;=EOMONTH($H$82,0),AI$6&lt;=EOMONTH(EDATE($H$82,$E$82-1),0)),$D$82/MAX($E$82,1),0)</f>
        <v>0</v>
      </c>
      <c r="AJ88" s="159" t="n">
        <f aca="false">IF(AND(AJ$6&gt;=EOMONTH($H$82,0),AJ$6&lt;=EOMONTH(EDATE($H$82,$E$82-1),0)),$D$82/MAX($E$82,1),0)</f>
        <v>0</v>
      </c>
      <c r="AK88" s="159" t="n">
        <f aca="false">IF(AND(AK$6&gt;=EOMONTH($H$82,0),AK$6&lt;=EOMONTH(EDATE($H$82,$E$82-1),0)),$D$82/MAX($E$82,1),0)</f>
        <v>0</v>
      </c>
      <c r="AL88" s="159" t="n">
        <f aca="false">IF(AND(AL$6&gt;=EOMONTH($H$82,0),AL$6&lt;=EOMONTH(EDATE($H$82,$E$82-1),0)),$D$82/MAX($E$82,1),0)</f>
        <v>0</v>
      </c>
      <c r="AM88" s="159" t="n">
        <f aca="false">IF(AND(AM$6&gt;=EOMONTH($H$82,0),AM$6&lt;=EOMONTH(EDATE($H$82,$E$82-1),0)),$D$82/MAX($E$82,1),0)</f>
        <v>0</v>
      </c>
      <c r="AN88" s="159" t="n">
        <f aca="false">IF(AND(AN$6&gt;=EOMONTH($H$82,0),AN$6&lt;=EOMONTH(EDATE($H$82,$E$82-1),0)),$D$82/MAX($E$82,1),0)</f>
        <v>0</v>
      </c>
      <c r="AO88" s="159" t="n">
        <f aca="false">IF(AND(AO$6&gt;=EOMONTH($H$82,0),AO$6&lt;=EOMONTH(EDATE($H$82,$E$82-1),0)),$D$82/MAX($E$82,1),0)</f>
        <v>0</v>
      </c>
      <c r="AP88" s="159" t="n">
        <f aca="false">IF(AND(AP$6&gt;=EOMONTH($H$82,0),AP$6&lt;=EOMONTH(EDATE($H$82,$E$82-1),0)),$D$82/MAX($E$82,1),0)</f>
        <v>0</v>
      </c>
      <c r="AQ88" s="159" t="n">
        <f aca="false">IF(AND(AQ$6&gt;=EOMONTH($H$82,0),AQ$6&lt;=EOMONTH(EDATE($H$82,$E$82-1),0)),$D$82/MAX($E$82,1),0)</f>
        <v>0</v>
      </c>
      <c r="AR88" s="159" t="n">
        <f aca="false">IF(AND(AR$6&gt;=EOMONTH($H$82,0),AR$6&lt;=EOMONTH(EDATE($H$82,$E$82-1),0)),$D$82/MAX($E$82,1),0)</f>
        <v>0</v>
      </c>
      <c r="AS88" s="159" t="n">
        <f aca="false">IF(AND(AS$6&gt;=EOMONTH($H$82,0),AS$6&lt;=EOMONTH(EDATE($H$82,$E$82-1),0)),$D$82/MAX($E$82,1),0)</f>
        <v>0</v>
      </c>
      <c r="AT88" s="159" t="n">
        <f aca="false">IF(AND(AT$6&gt;=EOMONTH($H$82,0),AT$6&lt;=EOMONTH(EDATE($H$82,$E$82-1),0)),$D$82/MAX($E$82,1),0)</f>
        <v>0</v>
      </c>
      <c r="AU88" s="159" t="n">
        <f aca="false">IF(AND(AU$6&gt;=EOMONTH($H$82,0),AU$6&lt;=EOMONTH(EDATE($H$82,$E$82-1),0)),$D$82/MAX($E$82,1),0)</f>
        <v>0</v>
      </c>
      <c r="AV88" s="159" t="n">
        <f aca="false">IF(AND(AV$6&gt;=EOMONTH($H$82,0),AV$6&lt;=EOMONTH(EDATE($H$82,$E$82-1),0)),$D$82/MAX($E$82,1),0)</f>
        <v>0</v>
      </c>
      <c r="AW88" s="159" t="n">
        <f aca="false">IF(AND(AW$6&gt;=EOMONTH($H$82,0),AW$6&lt;=EOMONTH(EDATE($H$82,$E$82-1),0)),$D$82/MAX($E$82,1),0)</f>
        <v>0</v>
      </c>
      <c r="AX88" s="159" t="n">
        <f aca="false">IF(AND(AX$6&gt;=EOMONTH($H$82,0),AX$6&lt;=EOMONTH(EDATE($H$82,$E$82-1),0)),$D$82/MAX($E$82,1),0)</f>
        <v>0</v>
      </c>
      <c r="AY88" s="159" t="n">
        <f aca="false">IF(AND(AY$6&gt;=EOMONTH($H$82,0),AY$6&lt;=EOMONTH(EDATE($H$82,$E$82-1),0)),$D$82/MAX($E$82,1),0)</f>
        <v>0</v>
      </c>
      <c r="AZ88" s="159" t="n">
        <f aca="false">IF(AND(AZ$6&gt;=EOMONTH($H$82,0),AZ$6&lt;=EOMONTH(EDATE($H$82,$E$82-1),0)),$D$82/MAX($E$82,1),0)</f>
        <v>0</v>
      </c>
      <c r="BA88" s="159" t="n">
        <f aca="false">IF(AND(BA$6&gt;=EOMONTH($H$82,0),BA$6&lt;=EOMONTH(EDATE($H$82,$E$82-1),0)),$D$82/MAX($E$82,1),0)</f>
        <v>0</v>
      </c>
      <c r="BB88" s="159" t="n">
        <f aca="false">IF(AND(BB$6&gt;=EOMONTH($H$82,0),BB$6&lt;=EOMONTH(EDATE($H$82,$E$82-1),0)),$D$82/MAX($E$82,1),0)</f>
        <v>0</v>
      </c>
      <c r="BC88" s="159" t="n">
        <f aca="false">IF(AND(BC$6&gt;=EOMONTH($H$82,0),BC$6&lt;=EOMONTH(EDATE($H$82,$E$82-1),0)),$D$82/MAX($E$82,1),0)</f>
        <v>0</v>
      </c>
      <c r="BD88" s="159" t="n">
        <f aca="false">IF(AND(BD$6&gt;=EOMONTH($H$82,0),BD$6&lt;=EOMONTH(EDATE($H$82,$E$82-1),0)),$D$82/MAX($E$82,1),0)</f>
        <v>0</v>
      </c>
      <c r="BE88" s="159" t="n">
        <f aca="false">IF(AND(BE$6&gt;=EOMONTH($H$82,0),BE$6&lt;=EOMONTH(EDATE($H$82,$E$82-1),0)),$D$82/MAX($E$82,1),0)</f>
        <v>0</v>
      </c>
      <c r="BF88" s="159" t="n">
        <f aca="false">IF(AND(BF$6&gt;=EOMONTH($H$82,0),BF$6&lt;=EOMONTH(EDATE($H$82,$E$82-1),0)),$D$82/MAX($E$82,1),0)</f>
        <v>0</v>
      </c>
      <c r="BG88" s="159" t="n">
        <f aca="false">IF(AND(BG$6&gt;=EOMONTH($H$82,0),BG$6&lt;=EOMONTH(EDATE($H$82,$E$82-1),0)),$D$82/MAX($E$82,1),0)</f>
        <v>0</v>
      </c>
      <c r="BH88" s="159" t="n">
        <f aca="false">IF(AND(BH$6&gt;=EOMONTH($H$82,0),BH$6&lt;=EOMONTH(EDATE($H$82,$E$82-1),0)),$D$82/MAX($E$82,1),0)</f>
        <v>0</v>
      </c>
      <c r="BI88" s="159" t="n">
        <f aca="false">IF(AND(BI$6&gt;=EOMONTH($H$82,0),BI$6&lt;=EOMONTH(EDATE($H$82,$E$82-1),0)),$D$82/MAX($E$82,1),0)</f>
        <v>0</v>
      </c>
      <c r="BJ88" s="159" t="n">
        <f aca="false">IF(AND(BJ$6&gt;=EOMONTH($H$82,0),BJ$6&lt;=EOMONTH(EDATE($H$82,$E$82-1),0)),$D$82/MAX($E$82,1),0)</f>
        <v>0</v>
      </c>
      <c r="BK88" s="159" t="n">
        <f aca="false">IF(AND(BK$6&gt;=EOMONTH($H$82,0),BK$6&lt;=EOMONTH(EDATE($H$82,$E$82-1),0)),$D$82/MAX($E$82,1),0)</f>
        <v>0</v>
      </c>
      <c r="BL88" s="159" t="n">
        <f aca="false">IF(AND(BL$6&gt;=EOMONTH($H$82,0),BL$6&lt;=EOMONTH(EDATE($H$82,$E$82-1),0)),$D$82/MAX($E$82,1),0)</f>
        <v>0</v>
      </c>
      <c r="BM88" s="159" t="n">
        <f aca="false">IF(AND(BM$6&gt;=EOMONTH($H$82,0),BM$6&lt;=EOMONTH(EDATE($H$82,$E$82-1),0)),$D$82/MAX($E$82,1),0)</f>
        <v>0</v>
      </c>
      <c r="BN88" s="159" t="n">
        <f aca="false">IF(AND(BN$6&gt;=EOMONTH($H$82,0),BN$6&lt;=EOMONTH(EDATE($H$82,$E$82-1),0)),$D$82/MAX($E$82,1),0)</f>
        <v>0</v>
      </c>
      <c r="BO88" s="159" t="n">
        <f aca="false">IF(AND(BO$6&gt;=EOMONTH($H$82,0),BO$6&lt;=EOMONTH(EDATE($H$82,$E$82-1),0)),$D$82/MAX($E$82,1),0)</f>
        <v>0</v>
      </c>
      <c r="BP88" s="159" t="n">
        <f aca="false">IF(AND(BP$6&gt;=EOMONTH($H$82,0),BP$6&lt;=EOMONTH(EDATE($H$82,$E$82-1),0)),$D$82/MAX($E$82,1),0)</f>
        <v>0</v>
      </c>
      <c r="BQ88" s="159" t="n">
        <f aca="false">IF(AND(BQ$6&gt;=EOMONTH($H$82,0),BQ$6&lt;=EOMONTH(EDATE($H$82,$E$82-1),0)),$D$82/MAX($E$82,1),0)</f>
        <v>0</v>
      </c>
      <c r="BR88" s="159" t="n">
        <f aca="false">IF(AND(BR$6&gt;=EOMONTH($H$82,0),BR$6&lt;=EOMONTH(EDATE($H$82,$E$82-1),0)),$D$82/MAX($E$82,1),0)</f>
        <v>0</v>
      </c>
      <c r="BS88" s="159" t="n">
        <f aca="false">IF(AND(BS$6&gt;=EOMONTH($H$82,0),BS$6&lt;=EOMONTH(EDATE($H$82,$E$82-1),0)),$D$82/MAX($E$82,1),0)</f>
        <v>0</v>
      </c>
      <c r="BT88" s="159" t="n">
        <f aca="false">IF(AND(BT$6&gt;=EOMONTH($H$82,0),BT$6&lt;=EOMONTH(EDATE($H$82,$E$82-1),0)),$D$82/MAX($E$82,1),0)</f>
        <v>0</v>
      </c>
      <c r="BU88" s="159" t="n">
        <f aca="false">IF(AND(BU$6&gt;=EOMONTH($H$82,0),BU$6&lt;=EOMONTH(EDATE($H$82,$E$82-1),0)),$D$82/MAX($E$82,1),0)</f>
        <v>0</v>
      </c>
      <c r="BV88" s="159" t="n">
        <f aca="false">IF(AND(BV$6&gt;=EOMONTH($H$82,0),BV$6&lt;=EOMONTH(EDATE($H$82,$E$82-1),0)),$D$82/MAX($E$82,1),0)</f>
        <v>0</v>
      </c>
      <c r="BW88" s="159" t="n">
        <f aca="false">IF(AND(BW$6&gt;=EOMONTH($H$82,0),BW$6&lt;=EOMONTH(EDATE($H$82,$E$82-1),0)),$D$82/MAX($E$82,1),0)</f>
        <v>0</v>
      </c>
      <c r="BX88" s="159" t="n">
        <f aca="false">IF(AND(BX$6&gt;=EOMONTH($H$82,0),BX$6&lt;=EOMONTH(EDATE($H$82,$E$82-1),0)),$D$82/MAX($E$82,1),0)</f>
        <v>0</v>
      </c>
      <c r="BY88" s="159" t="n">
        <f aca="false">IF(AND(BY$6&gt;=EOMONTH($H$82,0),BY$6&lt;=EOMONTH(EDATE($H$82,$E$82-1),0)),$D$82/MAX($E$82,1),0)</f>
        <v>0</v>
      </c>
      <c r="BZ88" s="159" t="n">
        <f aca="false">IF(AND(BZ$6&gt;=EOMONTH($H$82,0),BZ$6&lt;=EOMONTH(EDATE($H$82,$E$82-1),0)),$D$82/MAX($E$82,1),0)</f>
        <v>0</v>
      </c>
      <c r="CA88" s="159" t="n">
        <f aca="false">IF(AND(CA$6&gt;=EOMONTH($H$82,0),CA$6&lt;=EOMONTH(EDATE($H$82,$E$82-1),0)),$D$82/MAX($E$82,1),0)</f>
        <v>0</v>
      </c>
    </row>
    <row r="90" customFormat="false" ht="15" hidden="false" customHeight="false" outlineLevel="0" collapsed="false">
      <c r="B90" s="193" t="s">
        <v>348</v>
      </c>
    </row>
    <row r="91" customFormat="false" ht="15" hidden="false" customHeight="false" outlineLevel="0" collapsed="false">
      <c r="B91" s="10" t="s">
        <v>349</v>
      </c>
      <c r="L91" s="186" t="n">
        <f aca="false">SUMIFS($T91:$CA91,$T$5:$CA$5,2026)</f>
        <v>0.105306666666667</v>
      </c>
      <c r="M91" s="186" t="n">
        <f aca="false">SUMIFS($T91:$CA91,$T$5:$CA$5,2027)</f>
        <v>0.421226666666667</v>
      </c>
      <c r="N91" s="186" t="n">
        <f aca="false">SUMIFS($T91:$CA91,$T$5:$CA$5,2028)</f>
        <v>0</v>
      </c>
      <c r="O91" s="186" t="n">
        <f aca="false">SUMIFS($T91:$CA91,$T$5:$CA$5,2029)</f>
        <v>0</v>
      </c>
      <c r="P91" s="186" t="n">
        <f aca="false">SUMIFS($T91:$CA91,$T$5:$CA$5,2030)</f>
        <v>0</v>
      </c>
      <c r="T91" s="186" t="n">
        <f aca="false">(SUMPRODUCT(T71:T74,$I$65:$I$68))/1000000</f>
        <v>0</v>
      </c>
      <c r="U91" s="186" t="n">
        <f aca="false">(SUMPRODUCT(U71:U74,$I$65:$I$68))/1000000</f>
        <v>0</v>
      </c>
      <c r="V91" s="186" t="n">
        <f aca="false">(SUMPRODUCT(V71:V74,$I$65:$I$68))/1000000</f>
        <v>0</v>
      </c>
      <c r="W91" s="186" t="n">
        <f aca="false">(SUMPRODUCT(W71:W74,$I$65:$I$68))/1000000</f>
        <v>0</v>
      </c>
      <c r="X91" s="186" t="n">
        <f aca="false">(SUMPRODUCT(X71:X74,$I$65:$I$68))/1000000</f>
        <v>0</v>
      </c>
      <c r="Y91" s="186" t="n">
        <f aca="false">(SUMPRODUCT(Y71:Y74,$I$65:$I$68))/1000000</f>
        <v>0</v>
      </c>
      <c r="Z91" s="186" t="n">
        <f aca="false">(SUMPRODUCT(Z71:Z74,$I$65:$I$68))/1000000</f>
        <v>0</v>
      </c>
      <c r="AA91" s="186" t="n">
        <f aca="false">(SUMPRODUCT(AA71:AA74,$I$65:$I$68))/1000000</f>
        <v>0</v>
      </c>
      <c r="AB91" s="186" t="n">
        <f aca="false">(SUMPRODUCT(AB71:AB74,$I$65:$I$68))/1000000</f>
        <v>0</v>
      </c>
      <c r="AC91" s="186" t="n">
        <f aca="false">(SUMPRODUCT(AC71:AC74,$I$65:$I$68))/1000000</f>
        <v>0</v>
      </c>
      <c r="AD91" s="186" t="n">
        <f aca="false">(SUMPRODUCT(AD71:AD74,$I$65:$I$68))/1000000</f>
        <v>0</v>
      </c>
      <c r="AE91" s="186" t="n">
        <f aca="false">(SUMPRODUCT(AE71:AE74,$I$65:$I$68))/1000000</f>
        <v>0.105306666666667</v>
      </c>
      <c r="AF91" s="186" t="n">
        <f aca="false">(SUMPRODUCT(AF71:AF74,$I$65:$I$68))/1000000</f>
        <v>0.105306666666667</v>
      </c>
      <c r="AG91" s="186" t="n">
        <f aca="false">(SUMPRODUCT(AG71:AG74,$I$65:$I$68))/1000000</f>
        <v>0.105306666666667</v>
      </c>
      <c r="AH91" s="186" t="n">
        <f aca="false">(SUMPRODUCT(AH71:AH74,$I$65:$I$68))/1000000</f>
        <v>0.105306666666667</v>
      </c>
      <c r="AI91" s="186" t="n">
        <f aca="false">(SUMPRODUCT(AI71:AI74,$I$65:$I$68))/1000000</f>
        <v>0.105306666666667</v>
      </c>
      <c r="AJ91" s="186" t="n">
        <f aca="false">(SUMPRODUCT(AJ71:AJ74,$I$65:$I$68))/1000000</f>
        <v>0</v>
      </c>
      <c r="AK91" s="186" t="n">
        <f aca="false">(SUMPRODUCT(AK71:AK74,$I$65:$I$68))/1000000</f>
        <v>0</v>
      </c>
      <c r="AL91" s="186" t="n">
        <f aca="false">(SUMPRODUCT(AL71:AL74,$I$65:$I$68))/1000000</f>
        <v>0</v>
      </c>
      <c r="AM91" s="186" t="n">
        <f aca="false">(SUMPRODUCT(AM71:AM74,$I$65:$I$68))/1000000</f>
        <v>0</v>
      </c>
      <c r="AN91" s="186" t="n">
        <f aca="false">(SUMPRODUCT(AN71:AN74,$I$65:$I$68))/1000000</f>
        <v>0</v>
      </c>
      <c r="AO91" s="186" t="n">
        <f aca="false">(SUMPRODUCT(AO71:AO74,$I$65:$I$68))/1000000</f>
        <v>0</v>
      </c>
      <c r="AP91" s="186" t="n">
        <f aca="false">(SUMPRODUCT(AP71:AP74,$I$65:$I$68))/1000000</f>
        <v>0</v>
      </c>
      <c r="AQ91" s="186" t="n">
        <f aca="false">(SUMPRODUCT(AQ71:AQ74,$I$65:$I$68))/1000000</f>
        <v>0</v>
      </c>
      <c r="AR91" s="186" t="n">
        <f aca="false">(SUMPRODUCT(AR71:AR74,$I$65:$I$68))/1000000</f>
        <v>0</v>
      </c>
      <c r="AS91" s="186" t="n">
        <f aca="false">(SUMPRODUCT(AS71:AS74,$I$65:$I$68))/1000000</f>
        <v>0</v>
      </c>
      <c r="AT91" s="186" t="n">
        <f aca="false">(SUMPRODUCT(AT71:AT74,$I$65:$I$68))/1000000</f>
        <v>0</v>
      </c>
      <c r="AU91" s="186" t="n">
        <f aca="false">(SUMPRODUCT(AU71:AU74,$I$65:$I$68))/1000000</f>
        <v>0</v>
      </c>
      <c r="AV91" s="186" t="n">
        <f aca="false">(SUMPRODUCT(AV71:AV74,$I$65:$I$68))/1000000</f>
        <v>0</v>
      </c>
      <c r="AW91" s="186" t="n">
        <f aca="false">(SUMPRODUCT(AW71:AW74,$I$65:$I$68))/1000000</f>
        <v>0</v>
      </c>
      <c r="AX91" s="186" t="n">
        <f aca="false">(SUMPRODUCT(AX71:AX74,$I$65:$I$68))/1000000</f>
        <v>0</v>
      </c>
      <c r="AY91" s="186" t="n">
        <f aca="false">(SUMPRODUCT(AY71:AY74,$I$65:$I$68))/1000000</f>
        <v>0</v>
      </c>
      <c r="AZ91" s="186" t="n">
        <f aca="false">(SUMPRODUCT(AZ71:AZ74,$I$65:$I$68))/1000000</f>
        <v>0</v>
      </c>
      <c r="BA91" s="186" t="n">
        <f aca="false">(SUMPRODUCT(BA71:BA74,$I$65:$I$68))/1000000</f>
        <v>0</v>
      </c>
      <c r="BB91" s="186" t="n">
        <f aca="false">(SUMPRODUCT(BB71:BB74,$I$65:$I$68))/1000000</f>
        <v>0</v>
      </c>
      <c r="BC91" s="186" t="n">
        <f aca="false">(SUMPRODUCT(BC71:BC74,$I$65:$I$68))/1000000</f>
        <v>0</v>
      </c>
      <c r="BD91" s="186" t="n">
        <f aca="false">(SUMPRODUCT(BD71:BD74,$I$65:$I$68))/1000000</f>
        <v>0</v>
      </c>
      <c r="BE91" s="186" t="n">
        <f aca="false">(SUMPRODUCT(BE71:BE74,$I$65:$I$68))/1000000</f>
        <v>0</v>
      </c>
      <c r="BF91" s="186" t="n">
        <f aca="false">(SUMPRODUCT(BF71:BF74,$I$65:$I$68))/1000000</f>
        <v>0</v>
      </c>
      <c r="BG91" s="186" t="n">
        <f aca="false">(SUMPRODUCT(BG71:BG74,$I$65:$I$68))/1000000</f>
        <v>0</v>
      </c>
      <c r="BH91" s="186" t="n">
        <f aca="false">(SUMPRODUCT(BH71:BH74,$I$65:$I$68))/1000000</f>
        <v>0</v>
      </c>
      <c r="BI91" s="186" t="n">
        <f aca="false">(SUMPRODUCT(BI71:BI74,$I$65:$I$68))/1000000</f>
        <v>0</v>
      </c>
      <c r="BJ91" s="186" t="n">
        <f aca="false">(SUMPRODUCT(BJ71:BJ74,$I$65:$I$68))/1000000</f>
        <v>0</v>
      </c>
      <c r="BK91" s="186" t="n">
        <f aca="false">(SUMPRODUCT(BK71:BK74,$I$65:$I$68))/1000000</f>
        <v>0</v>
      </c>
      <c r="BL91" s="186" t="n">
        <f aca="false">(SUMPRODUCT(BL71:BL74,$I$65:$I$68))/1000000</f>
        <v>0</v>
      </c>
      <c r="BM91" s="186" t="n">
        <f aca="false">(SUMPRODUCT(BM71:BM74,$I$65:$I$68))/1000000</f>
        <v>0</v>
      </c>
      <c r="BN91" s="186" t="n">
        <f aca="false">(SUMPRODUCT(BN71:BN74,$I$65:$I$68))/1000000</f>
        <v>0</v>
      </c>
      <c r="BO91" s="186" t="n">
        <f aca="false">(SUMPRODUCT(BO71:BO74,$I$65:$I$68))/1000000</f>
        <v>0</v>
      </c>
      <c r="BP91" s="186" t="n">
        <f aca="false">(SUMPRODUCT(BP71:BP74,$I$65:$I$68))/1000000</f>
        <v>0</v>
      </c>
      <c r="BQ91" s="186" t="n">
        <f aca="false">(SUMPRODUCT(BQ71:BQ74,$I$65:$I$68))/1000000</f>
        <v>0</v>
      </c>
      <c r="BR91" s="186" t="n">
        <f aca="false">(SUMPRODUCT(BR71:BR74,$I$65:$I$68))/1000000</f>
        <v>0</v>
      </c>
      <c r="BS91" s="186" t="n">
        <f aca="false">(SUMPRODUCT(BS71:BS74,$I$65:$I$68))/1000000</f>
        <v>0</v>
      </c>
      <c r="BT91" s="186" t="n">
        <f aca="false">(SUMPRODUCT(BT71:BT74,$I$65:$I$68))/1000000</f>
        <v>0</v>
      </c>
      <c r="BU91" s="186" t="n">
        <f aca="false">(SUMPRODUCT(BU71:BU74,$I$65:$I$68))/1000000</f>
        <v>0</v>
      </c>
      <c r="BV91" s="186" t="n">
        <f aca="false">(SUMPRODUCT(BV71:BV74,$I$65:$I$68))/1000000</f>
        <v>0</v>
      </c>
      <c r="BW91" s="186" t="n">
        <f aca="false">(SUMPRODUCT(BW71:BW74,$I$65:$I$68))/1000000</f>
        <v>0</v>
      </c>
      <c r="BX91" s="186" t="n">
        <f aca="false">(SUMPRODUCT(BX71:BX74,$I$65:$I$68))/1000000</f>
        <v>0</v>
      </c>
      <c r="BY91" s="186" t="n">
        <f aca="false">(SUMPRODUCT(BY71:BY74,$I$65:$I$68))/1000000</f>
        <v>0</v>
      </c>
      <c r="BZ91" s="186" t="n">
        <f aca="false">(SUMPRODUCT(BZ71:BZ74,$I$65:$I$68))/1000000</f>
        <v>0</v>
      </c>
      <c r="CA91" s="186" t="n">
        <f aca="false">(SUMPRODUCT(CA71:CA74,$I$65:$I$68))/1000000</f>
        <v>0</v>
      </c>
    </row>
    <row r="92" customFormat="false" ht="15" hidden="false" customHeight="false" outlineLevel="0" collapsed="false">
      <c r="B92" s="10" t="s">
        <v>350</v>
      </c>
      <c r="L92" s="186" t="n">
        <f aca="false">SUMIFS($T92:$CA92,$T$5:$CA$5,2026)</f>
        <v>0</v>
      </c>
      <c r="M92" s="186" t="n">
        <f aca="false">SUMIFS($T92:$CA92,$T$5:$CA$5,2027)</f>
        <v>0</v>
      </c>
      <c r="N92" s="186" t="n">
        <f aca="false">SUMIFS($T92:$CA92,$T$5:$CA$5,2028)</f>
        <v>0</v>
      </c>
      <c r="O92" s="186" t="n">
        <f aca="false">SUMIFS($T92:$CA92,$T$5:$CA$5,2029)</f>
        <v>0</v>
      </c>
      <c r="P92" s="186" t="n">
        <f aca="false">SUMIFS($T92:$CA92,$T$5:$CA$5,2030)</f>
        <v>0</v>
      </c>
      <c r="T92" s="186" t="n">
        <f aca="false">SUMPRODUCT(T85:T88,$I$79:$I$82)/1000000</f>
        <v>0</v>
      </c>
      <c r="U92" s="186" t="n">
        <f aca="false">SUMPRODUCT(U85:U88,$I$79:$I$82)/1000000</f>
        <v>0</v>
      </c>
      <c r="V92" s="186" t="n">
        <f aca="false">SUMPRODUCT(V85:V88,$I$79:$I$82)/1000000</f>
        <v>0</v>
      </c>
      <c r="W92" s="186" t="n">
        <f aca="false">SUMPRODUCT(W85:W88,$I$79:$I$82)/1000000</f>
        <v>0</v>
      </c>
      <c r="X92" s="186" t="n">
        <f aca="false">SUMPRODUCT(X85:X88,$I$79:$I$82)/1000000</f>
        <v>0</v>
      </c>
      <c r="Y92" s="186" t="n">
        <f aca="false">SUMPRODUCT(Y85:Y88,$I$79:$I$82)/1000000</f>
        <v>0</v>
      </c>
      <c r="Z92" s="186" t="n">
        <f aca="false">SUMPRODUCT(Z85:Z88,$I$79:$I$82)/1000000</f>
        <v>0</v>
      </c>
      <c r="AA92" s="186" t="n">
        <f aca="false">SUMPRODUCT(AA85:AA88,$I$79:$I$82)/1000000</f>
        <v>0</v>
      </c>
      <c r="AB92" s="186" t="n">
        <f aca="false">SUMPRODUCT(AB85:AB88,$I$79:$I$82)/1000000</f>
        <v>0</v>
      </c>
      <c r="AC92" s="186" t="n">
        <f aca="false">SUMPRODUCT(AC85:AC88,$I$79:$I$82)/1000000</f>
        <v>0</v>
      </c>
      <c r="AD92" s="186" t="n">
        <f aca="false">SUMPRODUCT(AD85:AD88,$I$79:$I$82)/1000000</f>
        <v>0</v>
      </c>
      <c r="AE92" s="186" t="n">
        <f aca="false">SUMPRODUCT(AE85:AE88,$I$79:$I$82)/1000000</f>
        <v>0</v>
      </c>
      <c r="AF92" s="186" t="n">
        <f aca="false">SUMPRODUCT(AF85:AF88,$I$79:$I$82)/1000000</f>
        <v>0</v>
      </c>
      <c r="AG92" s="186" t="n">
        <f aca="false">SUMPRODUCT(AG85:AG88,$I$79:$I$82)/1000000</f>
        <v>0</v>
      </c>
      <c r="AH92" s="186" t="n">
        <f aca="false">SUMPRODUCT(AH85:AH88,$I$79:$I$82)/1000000</f>
        <v>0</v>
      </c>
      <c r="AI92" s="186" t="n">
        <f aca="false">SUMPRODUCT(AI85:AI88,$I$79:$I$82)/1000000</f>
        <v>0</v>
      </c>
      <c r="AJ92" s="186" t="n">
        <f aca="false">SUMPRODUCT(AJ85:AJ88,$I$79:$I$82)/1000000</f>
        <v>0</v>
      </c>
      <c r="AK92" s="186" t="n">
        <f aca="false">SUMPRODUCT(AK85:AK88,$I$79:$I$82)/1000000</f>
        <v>0</v>
      </c>
      <c r="AL92" s="186" t="n">
        <f aca="false">SUMPRODUCT(AL85:AL88,$I$79:$I$82)/1000000</f>
        <v>0</v>
      </c>
      <c r="AM92" s="186" t="n">
        <f aca="false">SUMPRODUCT(AM85:AM88,$I$79:$I$82)/1000000</f>
        <v>0</v>
      </c>
      <c r="AN92" s="186" t="n">
        <f aca="false">SUMPRODUCT(AN85:AN88,$I$79:$I$82)/1000000</f>
        <v>0</v>
      </c>
      <c r="AO92" s="186" t="n">
        <f aca="false">SUMPRODUCT(AO85:AO88,$I$79:$I$82)/1000000</f>
        <v>0</v>
      </c>
      <c r="AP92" s="186" t="n">
        <f aca="false">SUMPRODUCT(AP85:AP88,$I$79:$I$82)/1000000</f>
        <v>0</v>
      </c>
      <c r="AQ92" s="186" t="n">
        <f aca="false">SUMPRODUCT(AQ85:AQ88,$I$79:$I$82)/1000000</f>
        <v>0</v>
      </c>
      <c r="AR92" s="186" t="n">
        <f aca="false">SUMPRODUCT(AR85:AR88,$I$79:$I$82)/1000000</f>
        <v>0</v>
      </c>
      <c r="AS92" s="186" t="n">
        <f aca="false">SUMPRODUCT(AS85:AS88,$I$79:$I$82)/1000000</f>
        <v>0</v>
      </c>
      <c r="AT92" s="186" t="n">
        <f aca="false">SUMPRODUCT(AT85:AT88,$I$79:$I$82)/1000000</f>
        <v>0</v>
      </c>
      <c r="AU92" s="186" t="n">
        <f aca="false">SUMPRODUCT(AU85:AU88,$I$79:$I$82)/1000000</f>
        <v>0</v>
      </c>
      <c r="AV92" s="186" t="n">
        <f aca="false">SUMPRODUCT(AV85:AV88,$I$79:$I$82)/1000000</f>
        <v>0</v>
      </c>
      <c r="AW92" s="186" t="n">
        <f aca="false">SUMPRODUCT(AW85:AW88,$I$79:$I$82)/1000000</f>
        <v>0</v>
      </c>
      <c r="AX92" s="186" t="n">
        <f aca="false">SUMPRODUCT(AX85:AX88,$I$79:$I$82)/1000000</f>
        <v>0</v>
      </c>
      <c r="AY92" s="186" t="n">
        <f aca="false">SUMPRODUCT(AY85:AY88,$I$79:$I$82)/1000000</f>
        <v>0</v>
      </c>
      <c r="AZ92" s="186" t="n">
        <f aca="false">SUMPRODUCT(AZ85:AZ88,$I$79:$I$82)/1000000</f>
        <v>0</v>
      </c>
      <c r="BA92" s="186" t="n">
        <f aca="false">SUMPRODUCT(BA85:BA88,$I$79:$I$82)/1000000</f>
        <v>0</v>
      </c>
      <c r="BB92" s="186" t="n">
        <f aca="false">SUMPRODUCT(BB85:BB88,$I$79:$I$82)/1000000</f>
        <v>0</v>
      </c>
      <c r="BC92" s="186" t="n">
        <f aca="false">SUMPRODUCT(BC85:BC88,$I$79:$I$82)/1000000</f>
        <v>0</v>
      </c>
      <c r="BD92" s="186" t="n">
        <f aca="false">SUMPRODUCT(BD85:BD88,$I$79:$I$82)/1000000</f>
        <v>0</v>
      </c>
      <c r="BE92" s="186" t="n">
        <f aca="false">SUMPRODUCT(BE85:BE88,$I$79:$I$82)/1000000</f>
        <v>0</v>
      </c>
      <c r="BF92" s="186" t="n">
        <f aca="false">SUMPRODUCT(BF85:BF88,$I$79:$I$82)/1000000</f>
        <v>0</v>
      </c>
      <c r="BG92" s="186" t="n">
        <f aca="false">SUMPRODUCT(BG85:BG88,$I$79:$I$82)/1000000</f>
        <v>0</v>
      </c>
      <c r="BH92" s="186" t="n">
        <f aca="false">SUMPRODUCT(BH85:BH88,$I$79:$I$82)/1000000</f>
        <v>0</v>
      </c>
      <c r="BI92" s="186" t="n">
        <f aca="false">SUMPRODUCT(BI85:BI88,$I$79:$I$82)/1000000</f>
        <v>0</v>
      </c>
      <c r="BJ92" s="186" t="n">
        <f aca="false">SUMPRODUCT(BJ85:BJ88,$I$79:$I$82)/1000000</f>
        <v>0</v>
      </c>
      <c r="BK92" s="186" t="n">
        <f aca="false">SUMPRODUCT(BK85:BK88,$I$79:$I$82)/1000000</f>
        <v>0</v>
      </c>
      <c r="BL92" s="186" t="n">
        <f aca="false">SUMPRODUCT(BL85:BL88,$I$79:$I$82)/1000000</f>
        <v>0</v>
      </c>
      <c r="BM92" s="186" t="n">
        <f aca="false">SUMPRODUCT(BM85:BM88,$I$79:$I$82)/1000000</f>
        <v>0</v>
      </c>
      <c r="BN92" s="186" t="n">
        <f aca="false">SUMPRODUCT(BN85:BN88,$I$79:$I$82)/1000000</f>
        <v>0</v>
      </c>
      <c r="BO92" s="186" t="n">
        <f aca="false">SUMPRODUCT(BO85:BO88,$I$79:$I$82)/1000000</f>
        <v>0</v>
      </c>
      <c r="BP92" s="186" t="n">
        <f aca="false">SUMPRODUCT(BP85:BP88,$I$79:$I$82)/1000000</f>
        <v>0</v>
      </c>
      <c r="BQ92" s="186" t="n">
        <f aca="false">SUMPRODUCT(BQ85:BQ88,$I$79:$I$82)/1000000</f>
        <v>0</v>
      </c>
      <c r="BR92" s="186" t="n">
        <f aca="false">SUMPRODUCT(BR85:BR88,$I$79:$I$82)/1000000</f>
        <v>0</v>
      </c>
      <c r="BS92" s="186" t="n">
        <f aca="false">SUMPRODUCT(BS85:BS88,$I$79:$I$82)/1000000</f>
        <v>0</v>
      </c>
      <c r="BT92" s="186" t="n">
        <f aca="false">SUMPRODUCT(BT85:BT88,$I$79:$I$82)/1000000</f>
        <v>0</v>
      </c>
      <c r="BU92" s="186" t="n">
        <f aca="false">SUMPRODUCT(BU85:BU88,$I$79:$I$82)/1000000</f>
        <v>0</v>
      </c>
      <c r="BV92" s="186" t="n">
        <f aca="false">SUMPRODUCT(BV85:BV88,$I$79:$I$82)/1000000</f>
        <v>0</v>
      </c>
      <c r="BW92" s="186" t="n">
        <f aca="false">SUMPRODUCT(BW85:BW88,$I$79:$I$82)/1000000</f>
        <v>0</v>
      </c>
      <c r="BX92" s="186" t="n">
        <f aca="false">SUMPRODUCT(BX85:BX88,$I$79:$I$82)/1000000</f>
        <v>0</v>
      </c>
      <c r="BY92" s="186" t="n">
        <f aca="false">SUMPRODUCT(BY85:BY88,$I$79:$I$82)/1000000</f>
        <v>0</v>
      </c>
      <c r="BZ92" s="186" t="n">
        <f aca="false">SUMPRODUCT(BZ85:BZ88,$I$79:$I$82)/1000000</f>
        <v>0</v>
      </c>
      <c r="CA92" s="186" t="n">
        <f aca="false">SUMPRODUCT(CA85:CA88,$I$79:$I$82)/1000000</f>
        <v>0</v>
      </c>
    </row>
    <row r="93" customFormat="false" ht="15" hidden="false" customHeight="false" outlineLevel="0" collapsed="false">
      <c r="B93" s="10" t="s">
        <v>351</v>
      </c>
      <c r="L93" s="186" t="n">
        <f aca="false">SUMIFS($T93:$CA93,$T$5:$CA$5,2026)</f>
        <v>0.15796</v>
      </c>
      <c r="M93" s="186" t="n">
        <f aca="false">SUMIFS($T93:$CA93,$T$5:$CA$5,2027)</f>
        <v>0.598931666666667</v>
      </c>
      <c r="N93" s="186" t="n">
        <f aca="false">SUMIFS($T93:$CA93,$T$5:$CA$5,2028)</f>
        <v>0</v>
      </c>
      <c r="O93" s="186" t="n">
        <f aca="false">SUMIFS($T93:$CA93,$T$5:$CA$5,2029)</f>
        <v>0</v>
      </c>
      <c r="P93" s="186" t="n">
        <f aca="false">SUMIFS($T93:$CA93,$T$5:$CA$5,2030)</f>
        <v>0</v>
      </c>
      <c r="T93" s="186" t="n">
        <f aca="false">(SUMPRODUCT(T71:T74,1-$I$65:$I$68))/1000000</f>
        <v>0</v>
      </c>
      <c r="U93" s="186" t="n">
        <f aca="false">(SUMPRODUCT(U71:U74,1-$I$65:$I$68))/1000000</f>
        <v>0</v>
      </c>
      <c r="V93" s="186" t="n">
        <f aca="false">(SUMPRODUCT(V71:V74,1-$I$65:$I$68))/1000000</f>
        <v>0</v>
      </c>
      <c r="W93" s="186" t="n">
        <f aca="false">(SUMPRODUCT(W71:W74,1-$I$65:$I$68))/1000000</f>
        <v>0</v>
      </c>
      <c r="X93" s="186" t="n">
        <f aca="false">(SUMPRODUCT(X71:X74,1-$I$65:$I$68))/1000000</f>
        <v>0</v>
      </c>
      <c r="Y93" s="186" t="n">
        <f aca="false">(SUMPRODUCT(Y71:Y74,1-$I$65:$I$68))/1000000</f>
        <v>0</v>
      </c>
      <c r="Z93" s="186" t="n">
        <f aca="false">(SUMPRODUCT(Z71:Z74,1-$I$65:$I$68))/1000000</f>
        <v>0</v>
      </c>
      <c r="AA93" s="186" t="n">
        <f aca="false">(SUMPRODUCT(AA71:AA74,1-$I$65:$I$68))/1000000</f>
        <v>0</v>
      </c>
      <c r="AB93" s="186" t="n">
        <f aca="false">(SUMPRODUCT(AB71:AB74,1-$I$65:$I$68))/1000000</f>
        <v>0</v>
      </c>
      <c r="AC93" s="186" t="n">
        <f aca="false">(SUMPRODUCT(AC71:AC74,1-$I$65:$I$68))/1000000</f>
        <v>0.0658166666666667</v>
      </c>
      <c r="AD93" s="186" t="n">
        <f aca="false">(SUMPRODUCT(AD71:AD74,1-$I$65:$I$68))/1000000</f>
        <v>0.0658166666666667</v>
      </c>
      <c r="AE93" s="186" t="n">
        <f aca="false">(SUMPRODUCT(AE71:AE74,1-$I$65:$I$68))/1000000</f>
        <v>0.0263266666666667</v>
      </c>
      <c r="AF93" s="186" t="n">
        <f aca="false">(SUMPRODUCT(AF71:AF74,1-$I$65:$I$68))/1000000</f>
        <v>0.0263266666666667</v>
      </c>
      <c r="AG93" s="186" t="n">
        <f aca="false">(SUMPRODUCT(AG71:AG74,1-$I$65:$I$68))/1000000</f>
        <v>0.0263266666666667</v>
      </c>
      <c r="AH93" s="186" t="n">
        <f aca="false">(SUMPRODUCT(AH71:AH74,1-$I$65:$I$68))/1000000</f>
        <v>0.0263266666666667</v>
      </c>
      <c r="AI93" s="186" t="n">
        <f aca="false">(SUMPRODUCT(AI71:AI74,1-$I$65:$I$68))/1000000</f>
        <v>0.0263266666666667</v>
      </c>
      <c r="AJ93" s="186" t="n">
        <f aca="false">(SUMPRODUCT(AJ71:AJ74,1-$I$65:$I$68))/1000000</f>
        <v>0.0822708333333333</v>
      </c>
      <c r="AK93" s="186" t="n">
        <f aca="false">(SUMPRODUCT(AK71:AK74,1-$I$65:$I$68))/1000000</f>
        <v>0.0822708333333333</v>
      </c>
      <c r="AL93" s="186" t="n">
        <f aca="false">(SUMPRODUCT(AL71:AL74,1-$I$65:$I$68))/1000000</f>
        <v>0.0822708333333333</v>
      </c>
      <c r="AM93" s="186" t="n">
        <f aca="false">(SUMPRODUCT(AM71:AM74,1-$I$65:$I$68))/1000000</f>
        <v>0.0822708333333333</v>
      </c>
      <c r="AN93" s="186" t="n">
        <f aca="false">(SUMPRODUCT(AN71:AN74,1-$I$65:$I$68))/1000000</f>
        <v>0.0822708333333333</v>
      </c>
      <c r="AO93" s="186" t="n">
        <f aca="false">(SUMPRODUCT(AO71:AO74,1-$I$65:$I$68))/1000000</f>
        <v>0.0822708333333333</v>
      </c>
      <c r="AP93" s="186" t="n">
        <f aca="false">(SUMPRODUCT(AP71:AP74,1-$I$65:$I$68))/1000000</f>
        <v>0</v>
      </c>
      <c r="AQ93" s="186" t="n">
        <f aca="false">(SUMPRODUCT(AQ71:AQ74,1-$I$65:$I$68))/1000000</f>
        <v>0</v>
      </c>
      <c r="AR93" s="186" t="n">
        <f aca="false">(SUMPRODUCT(AR71:AR74,1-$I$65:$I$68))/1000000</f>
        <v>0</v>
      </c>
      <c r="AS93" s="186" t="n">
        <f aca="false">(SUMPRODUCT(AS71:AS74,1-$I$65:$I$68))/1000000</f>
        <v>0</v>
      </c>
      <c r="AT93" s="186" t="n">
        <f aca="false">(SUMPRODUCT(AT71:AT74,1-$I$65:$I$68))/1000000</f>
        <v>0</v>
      </c>
      <c r="AU93" s="186" t="n">
        <f aca="false">(SUMPRODUCT(AU71:AU74,1-$I$65:$I$68))/1000000</f>
        <v>0</v>
      </c>
      <c r="AV93" s="186" t="n">
        <f aca="false">(SUMPRODUCT(AV71:AV74,1-$I$65:$I$68))/1000000</f>
        <v>0</v>
      </c>
      <c r="AW93" s="186" t="n">
        <f aca="false">(SUMPRODUCT(AW71:AW74,1-$I$65:$I$68))/1000000</f>
        <v>0</v>
      </c>
      <c r="AX93" s="186" t="n">
        <f aca="false">(SUMPRODUCT(AX71:AX74,1-$I$65:$I$68))/1000000</f>
        <v>0</v>
      </c>
      <c r="AY93" s="186" t="n">
        <f aca="false">(SUMPRODUCT(AY71:AY74,1-$I$65:$I$68))/1000000</f>
        <v>0</v>
      </c>
      <c r="AZ93" s="186" t="n">
        <f aca="false">(SUMPRODUCT(AZ71:AZ74,1-$I$65:$I$68))/1000000</f>
        <v>0</v>
      </c>
      <c r="BA93" s="186" t="n">
        <f aca="false">(SUMPRODUCT(BA71:BA74,1-$I$65:$I$68))/1000000</f>
        <v>0</v>
      </c>
      <c r="BB93" s="186" t="n">
        <f aca="false">(SUMPRODUCT(BB71:BB74,1-$I$65:$I$68))/1000000</f>
        <v>0</v>
      </c>
      <c r="BC93" s="186" t="n">
        <f aca="false">(SUMPRODUCT(BC71:BC74,1-$I$65:$I$68))/1000000</f>
        <v>0</v>
      </c>
      <c r="BD93" s="186" t="n">
        <f aca="false">(SUMPRODUCT(BD71:BD74,1-$I$65:$I$68))/1000000</f>
        <v>0</v>
      </c>
      <c r="BE93" s="186" t="n">
        <f aca="false">(SUMPRODUCT(BE71:BE74,1-$I$65:$I$68))/1000000</f>
        <v>0</v>
      </c>
      <c r="BF93" s="186" t="n">
        <f aca="false">(SUMPRODUCT(BF71:BF74,1-$I$65:$I$68))/1000000</f>
        <v>0</v>
      </c>
      <c r="BG93" s="186" t="n">
        <f aca="false">(SUMPRODUCT(BG71:BG74,1-$I$65:$I$68))/1000000</f>
        <v>0</v>
      </c>
      <c r="BH93" s="186" t="n">
        <f aca="false">(SUMPRODUCT(BH71:BH74,1-$I$65:$I$68))/1000000</f>
        <v>0</v>
      </c>
      <c r="BI93" s="186" t="n">
        <f aca="false">(SUMPRODUCT(BI71:BI74,1-$I$65:$I$68))/1000000</f>
        <v>0</v>
      </c>
      <c r="BJ93" s="186" t="n">
        <f aca="false">(SUMPRODUCT(BJ71:BJ74,1-$I$65:$I$68))/1000000</f>
        <v>0</v>
      </c>
      <c r="BK93" s="186" t="n">
        <f aca="false">(SUMPRODUCT(BK71:BK74,1-$I$65:$I$68))/1000000</f>
        <v>0</v>
      </c>
      <c r="BL93" s="186" t="n">
        <f aca="false">(SUMPRODUCT(BL71:BL74,1-$I$65:$I$68))/1000000</f>
        <v>0</v>
      </c>
      <c r="BM93" s="186" t="n">
        <f aca="false">(SUMPRODUCT(BM71:BM74,1-$I$65:$I$68))/1000000</f>
        <v>0</v>
      </c>
      <c r="BN93" s="186" t="n">
        <f aca="false">(SUMPRODUCT(BN71:BN74,1-$I$65:$I$68))/1000000</f>
        <v>0</v>
      </c>
      <c r="BO93" s="186" t="n">
        <f aca="false">(SUMPRODUCT(BO71:BO74,1-$I$65:$I$68))/1000000</f>
        <v>0</v>
      </c>
      <c r="BP93" s="186" t="n">
        <f aca="false">(SUMPRODUCT(BP71:BP74,1-$I$65:$I$68))/1000000</f>
        <v>0</v>
      </c>
      <c r="BQ93" s="186" t="n">
        <f aca="false">(SUMPRODUCT(BQ71:BQ74,1-$I$65:$I$68))/1000000</f>
        <v>0</v>
      </c>
      <c r="BR93" s="186" t="n">
        <f aca="false">(SUMPRODUCT(BR71:BR74,1-$I$65:$I$68))/1000000</f>
        <v>0</v>
      </c>
      <c r="BS93" s="186" t="n">
        <f aca="false">(SUMPRODUCT(BS71:BS74,1-$I$65:$I$68))/1000000</f>
        <v>0</v>
      </c>
      <c r="BT93" s="186" t="n">
        <f aca="false">(SUMPRODUCT(BT71:BT74,1-$I$65:$I$68))/1000000</f>
        <v>0</v>
      </c>
      <c r="BU93" s="186" t="n">
        <f aca="false">(SUMPRODUCT(BU71:BU74,1-$I$65:$I$68))/1000000</f>
        <v>0</v>
      </c>
      <c r="BV93" s="186" t="n">
        <f aca="false">(SUMPRODUCT(BV71:BV74,1-$I$65:$I$68))/1000000</f>
        <v>0</v>
      </c>
      <c r="BW93" s="186" t="n">
        <f aca="false">(SUMPRODUCT(BW71:BW74,1-$I$65:$I$68))/1000000</f>
        <v>0</v>
      </c>
      <c r="BX93" s="186" t="n">
        <f aca="false">(SUMPRODUCT(BX71:BX74,1-$I$65:$I$68))/1000000</f>
        <v>0</v>
      </c>
      <c r="BY93" s="186" t="n">
        <f aca="false">(SUMPRODUCT(BY71:BY74,1-$I$65:$I$68))/1000000</f>
        <v>0</v>
      </c>
      <c r="BZ93" s="186" t="n">
        <f aca="false">(SUMPRODUCT(BZ71:BZ74,1-$I$65:$I$68))/1000000</f>
        <v>0</v>
      </c>
      <c r="CA93" s="186" t="n">
        <f aca="false">(SUMPRODUCT(CA71:CA74,1-$I$65:$I$68))/1000000</f>
        <v>0</v>
      </c>
    </row>
    <row r="94" customFormat="false" ht="15" hidden="false" customHeight="false" outlineLevel="0" collapsed="false">
      <c r="B94" s="10" t="s">
        <v>352</v>
      </c>
      <c r="L94" s="186" t="n">
        <f aca="false">SUMIFS($T94:$CA94,$T$5:$CA$5,2026)</f>
        <v>0.0804279666666667</v>
      </c>
      <c r="M94" s="186" t="n">
        <f aca="false">SUMIFS($T94:$CA94,$T$5:$CA$5,2027)</f>
        <v>0.160855933333333</v>
      </c>
      <c r="N94" s="186" t="n">
        <f aca="false">SUMIFS($T94:$CA94,$T$5:$CA$5,2028)</f>
        <v>0</v>
      </c>
      <c r="O94" s="186" t="n">
        <f aca="false">SUMIFS($T94:$CA94,$T$5:$CA$5,2029)</f>
        <v>0</v>
      </c>
      <c r="P94" s="186" t="n">
        <f aca="false">SUMIFS($T94:$CA94,$T$5:$CA$5,2030)</f>
        <v>0</v>
      </c>
      <c r="T94" s="186" t="n">
        <f aca="false">SUMPRODUCT(T85:T88,1-$I$79:$I$82)/1000000</f>
        <v>0</v>
      </c>
      <c r="U94" s="186" t="n">
        <f aca="false">SUMPRODUCT(U85:U88,1-$I$79:$I$82)/1000000</f>
        <v>0</v>
      </c>
      <c r="V94" s="186" t="n">
        <f aca="false">SUMPRODUCT(V85:V88,1-$I$79:$I$82)/1000000</f>
        <v>0</v>
      </c>
      <c r="W94" s="186" t="n">
        <f aca="false">SUMPRODUCT(W85:W88,1-$I$79:$I$82)/1000000</f>
        <v>0</v>
      </c>
      <c r="X94" s="186" t="n">
        <f aca="false">SUMPRODUCT(X85:X88,1-$I$79:$I$82)/1000000</f>
        <v>0</v>
      </c>
      <c r="Y94" s="186" t="n">
        <f aca="false">SUMPRODUCT(Y85:Y88,1-$I$79:$I$82)/1000000</f>
        <v>0</v>
      </c>
      <c r="Z94" s="186" t="n">
        <f aca="false">SUMPRODUCT(Z85:Z88,1-$I$79:$I$82)/1000000</f>
        <v>0</v>
      </c>
      <c r="AA94" s="186" t="n">
        <f aca="false">SUMPRODUCT(AA85:AA88,1-$I$79:$I$82)/1000000</f>
        <v>0</v>
      </c>
      <c r="AB94" s="186" t="n">
        <f aca="false">SUMPRODUCT(AB85:AB88,1-$I$79:$I$82)/1000000</f>
        <v>0</v>
      </c>
      <c r="AC94" s="186" t="n">
        <f aca="false">SUMPRODUCT(AC85:AC88,1-$I$79:$I$82)/1000000</f>
        <v>0.0268093222222222</v>
      </c>
      <c r="AD94" s="186" t="n">
        <f aca="false">SUMPRODUCT(AD85:AD88,1-$I$79:$I$82)/1000000</f>
        <v>0.0268093222222222</v>
      </c>
      <c r="AE94" s="186" t="n">
        <f aca="false">SUMPRODUCT(AE85:AE88,1-$I$79:$I$82)/1000000</f>
        <v>0.0268093222222222</v>
      </c>
      <c r="AF94" s="186" t="n">
        <f aca="false">SUMPRODUCT(AF85:AF88,1-$I$79:$I$82)/1000000</f>
        <v>0.0268093222222222</v>
      </c>
      <c r="AG94" s="186" t="n">
        <f aca="false">SUMPRODUCT(AG85:AG88,1-$I$79:$I$82)/1000000</f>
        <v>0.0268093222222222</v>
      </c>
      <c r="AH94" s="186" t="n">
        <f aca="false">SUMPRODUCT(AH85:AH88,1-$I$79:$I$82)/1000000</f>
        <v>0.0268093222222222</v>
      </c>
      <c r="AI94" s="186" t="n">
        <f aca="false">SUMPRODUCT(AI85:AI88,1-$I$79:$I$82)/1000000</f>
        <v>0.0268093222222222</v>
      </c>
      <c r="AJ94" s="186" t="n">
        <f aca="false">SUMPRODUCT(AJ85:AJ88,1-$I$79:$I$82)/1000000</f>
        <v>0.0268093222222222</v>
      </c>
      <c r="AK94" s="186" t="n">
        <f aca="false">SUMPRODUCT(AK85:AK88,1-$I$79:$I$82)/1000000</f>
        <v>0.0268093222222222</v>
      </c>
      <c r="AL94" s="186" t="n">
        <f aca="false">SUMPRODUCT(AL85:AL88,1-$I$79:$I$82)/1000000</f>
        <v>0</v>
      </c>
      <c r="AM94" s="186" t="n">
        <f aca="false">SUMPRODUCT(AM85:AM88,1-$I$79:$I$82)/1000000</f>
        <v>0</v>
      </c>
      <c r="AN94" s="186" t="n">
        <f aca="false">SUMPRODUCT(AN85:AN88,1-$I$79:$I$82)/1000000</f>
        <v>0</v>
      </c>
      <c r="AO94" s="186" t="n">
        <f aca="false">SUMPRODUCT(AO85:AO88,1-$I$79:$I$82)/1000000</f>
        <v>0</v>
      </c>
      <c r="AP94" s="186" t="n">
        <f aca="false">SUMPRODUCT(AP85:AP88,1-$I$79:$I$82)/1000000</f>
        <v>0</v>
      </c>
      <c r="AQ94" s="186" t="n">
        <f aca="false">SUMPRODUCT(AQ85:AQ88,1-$I$79:$I$82)/1000000</f>
        <v>0</v>
      </c>
      <c r="AR94" s="186" t="n">
        <f aca="false">SUMPRODUCT(AR85:AR88,1-$I$79:$I$82)/1000000</f>
        <v>0</v>
      </c>
      <c r="AS94" s="186" t="n">
        <f aca="false">SUMPRODUCT(AS85:AS88,1-$I$79:$I$82)/1000000</f>
        <v>0</v>
      </c>
      <c r="AT94" s="186" t="n">
        <f aca="false">SUMPRODUCT(AT85:AT88,1-$I$79:$I$82)/1000000</f>
        <v>0</v>
      </c>
      <c r="AU94" s="186" t="n">
        <f aca="false">SUMPRODUCT(AU85:AU88,1-$I$79:$I$82)/1000000</f>
        <v>0</v>
      </c>
      <c r="AV94" s="186" t="n">
        <f aca="false">SUMPRODUCT(AV85:AV88,1-$I$79:$I$82)/1000000</f>
        <v>0</v>
      </c>
      <c r="AW94" s="186" t="n">
        <f aca="false">SUMPRODUCT(AW85:AW88,1-$I$79:$I$82)/1000000</f>
        <v>0</v>
      </c>
      <c r="AX94" s="186" t="n">
        <f aca="false">SUMPRODUCT(AX85:AX88,1-$I$79:$I$82)/1000000</f>
        <v>0</v>
      </c>
      <c r="AY94" s="186" t="n">
        <f aca="false">SUMPRODUCT(AY85:AY88,1-$I$79:$I$82)/1000000</f>
        <v>0</v>
      </c>
      <c r="AZ94" s="186" t="n">
        <f aca="false">SUMPRODUCT(AZ85:AZ88,1-$I$79:$I$82)/1000000</f>
        <v>0</v>
      </c>
      <c r="BA94" s="186" t="n">
        <f aca="false">SUMPRODUCT(BA85:BA88,1-$I$79:$I$82)/1000000</f>
        <v>0</v>
      </c>
      <c r="BB94" s="186" t="n">
        <f aca="false">SUMPRODUCT(BB85:BB88,1-$I$79:$I$82)/1000000</f>
        <v>0</v>
      </c>
      <c r="BC94" s="186" t="n">
        <f aca="false">SUMPRODUCT(BC85:BC88,1-$I$79:$I$82)/1000000</f>
        <v>0</v>
      </c>
      <c r="BD94" s="186" t="n">
        <f aca="false">SUMPRODUCT(BD85:BD88,1-$I$79:$I$82)/1000000</f>
        <v>0</v>
      </c>
      <c r="BE94" s="186" t="n">
        <f aca="false">SUMPRODUCT(BE85:BE88,1-$I$79:$I$82)/1000000</f>
        <v>0</v>
      </c>
      <c r="BF94" s="186" t="n">
        <f aca="false">SUMPRODUCT(BF85:BF88,1-$I$79:$I$82)/1000000</f>
        <v>0</v>
      </c>
      <c r="BG94" s="186" t="n">
        <f aca="false">SUMPRODUCT(BG85:BG88,1-$I$79:$I$82)/1000000</f>
        <v>0</v>
      </c>
      <c r="BH94" s="186" t="n">
        <f aca="false">SUMPRODUCT(BH85:BH88,1-$I$79:$I$82)/1000000</f>
        <v>0</v>
      </c>
      <c r="BI94" s="186" t="n">
        <f aca="false">SUMPRODUCT(BI85:BI88,1-$I$79:$I$82)/1000000</f>
        <v>0</v>
      </c>
      <c r="BJ94" s="186" t="n">
        <f aca="false">SUMPRODUCT(BJ85:BJ88,1-$I$79:$I$82)/1000000</f>
        <v>0</v>
      </c>
      <c r="BK94" s="186" t="n">
        <f aca="false">SUMPRODUCT(BK85:BK88,1-$I$79:$I$82)/1000000</f>
        <v>0</v>
      </c>
      <c r="BL94" s="186" t="n">
        <f aca="false">SUMPRODUCT(BL85:BL88,1-$I$79:$I$82)/1000000</f>
        <v>0</v>
      </c>
      <c r="BM94" s="186" t="n">
        <f aca="false">SUMPRODUCT(BM85:BM88,1-$I$79:$I$82)/1000000</f>
        <v>0</v>
      </c>
      <c r="BN94" s="186" t="n">
        <f aca="false">SUMPRODUCT(BN85:BN88,1-$I$79:$I$82)/1000000</f>
        <v>0</v>
      </c>
      <c r="BO94" s="186" t="n">
        <f aca="false">SUMPRODUCT(BO85:BO88,1-$I$79:$I$82)/1000000</f>
        <v>0</v>
      </c>
      <c r="BP94" s="186" t="n">
        <f aca="false">SUMPRODUCT(BP85:BP88,1-$I$79:$I$82)/1000000</f>
        <v>0</v>
      </c>
      <c r="BQ94" s="186" t="n">
        <f aca="false">SUMPRODUCT(BQ85:BQ88,1-$I$79:$I$82)/1000000</f>
        <v>0</v>
      </c>
      <c r="BR94" s="186" t="n">
        <f aca="false">SUMPRODUCT(BR85:BR88,1-$I$79:$I$82)/1000000</f>
        <v>0</v>
      </c>
      <c r="BS94" s="186" t="n">
        <f aca="false">SUMPRODUCT(BS85:BS88,1-$I$79:$I$82)/1000000</f>
        <v>0</v>
      </c>
      <c r="BT94" s="186" t="n">
        <f aca="false">SUMPRODUCT(BT85:BT88,1-$I$79:$I$82)/1000000</f>
        <v>0</v>
      </c>
      <c r="BU94" s="186" t="n">
        <f aca="false">SUMPRODUCT(BU85:BU88,1-$I$79:$I$82)/1000000</f>
        <v>0</v>
      </c>
      <c r="BV94" s="186" t="n">
        <f aca="false">SUMPRODUCT(BV85:BV88,1-$I$79:$I$82)/1000000</f>
        <v>0</v>
      </c>
      <c r="BW94" s="186" t="n">
        <f aca="false">SUMPRODUCT(BW85:BW88,1-$I$79:$I$82)/1000000</f>
        <v>0</v>
      </c>
      <c r="BX94" s="186" t="n">
        <f aca="false">SUMPRODUCT(BX85:BX88,1-$I$79:$I$82)/1000000</f>
        <v>0</v>
      </c>
      <c r="BY94" s="186" t="n">
        <f aca="false">SUMPRODUCT(BY85:BY88,1-$I$79:$I$82)/1000000</f>
        <v>0</v>
      </c>
      <c r="BZ94" s="186" t="n">
        <f aca="false">SUMPRODUCT(BZ85:BZ88,1-$I$79:$I$82)/1000000</f>
        <v>0</v>
      </c>
      <c r="CA94" s="186" t="n">
        <f aca="false">SUMPRODUCT(CA85:CA88,1-$I$79:$I$82)/1000000</f>
        <v>0</v>
      </c>
    </row>
    <row r="95" customFormat="false" ht="15" hidden="false" customHeight="false" outlineLevel="0" collapsed="false">
      <c r="B95" s="3" t="s">
        <v>353</v>
      </c>
      <c r="L95" s="186" t="n">
        <f aca="false">SUM(L91:L94)</f>
        <v>0.343694633333333</v>
      </c>
      <c r="M95" s="186" t="n">
        <f aca="false">SUM(M91:M94)</f>
        <v>1.18101426666667</v>
      </c>
      <c r="N95" s="186" t="n">
        <f aca="false">SUM(N91:N94)</f>
        <v>0</v>
      </c>
      <c r="O95" s="186" t="n">
        <f aca="false">SUM(O91:O94)</f>
        <v>0</v>
      </c>
      <c r="P95" s="186" t="n">
        <f aca="false">SUM(P91:P94)</f>
        <v>0</v>
      </c>
    </row>
    <row r="97" customFormat="false" ht="18" hidden="false" customHeight="true" outlineLevel="0" collapsed="false">
      <c r="B97" s="5" t="s">
        <v>354</v>
      </c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</row>
    <row r="99" customFormat="false" ht="22.35" hidden="false" customHeight="false" outlineLevel="0" collapsed="false">
      <c r="B99" s="169" t="s">
        <v>355</v>
      </c>
      <c r="C99" s="169" t="s">
        <v>333</v>
      </c>
      <c r="D99" s="169" t="s">
        <v>356</v>
      </c>
      <c r="H99" s="169" t="s">
        <v>313</v>
      </c>
      <c r="I99" s="169" t="s">
        <v>357</v>
      </c>
    </row>
    <row r="100" customFormat="false" ht="41.75" hidden="false" customHeight="false" outlineLevel="0" collapsed="false">
      <c r="B100" s="10" t="s">
        <v>358</v>
      </c>
      <c r="C100" s="189" t="s">
        <v>359</v>
      </c>
      <c r="D100" s="158" t="n">
        <v>0</v>
      </c>
      <c r="H100" s="178" t="n">
        <f aca="false">DATE(2027,5,1)</f>
        <v>46508</v>
      </c>
      <c r="I100" s="9" t="s">
        <v>360</v>
      </c>
    </row>
    <row r="101" customFormat="false" ht="28.35" hidden="false" customHeight="false" outlineLevel="0" collapsed="false">
      <c r="B101" s="10" t="s">
        <v>361</v>
      </c>
      <c r="C101" s="189" t="s">
        <v>362</v>
      </c>
      <c r="D101" s="158" t="n">
        <v>0</v>
      </c>
      <c r="H101" s="178" t="n">
        <f aca="false">DATE(2027,5,1)</f>
        <v>46508</v>
      </c>
      <c r="I101" s="9" t="s">
        <v>363</v>
      </c>
    </row>
    <row r="102" customFormat="false" ht="28.35" hidden="false" customHeight="false" outlineLevel="0" collapsed="false">
      <c r="B102" s="10" t="s">
        <v>364</v>
      </c>
      <c r="C102" s="189" t="s">
        <v>365</v>
      </c>
      <c r="D102" s="158" t="n">
        <v>0</v>
      </c>
      <c r="H102" s="178" t="n">
        <f aca="false">DATE(2027,5,1)</f>
        <v>46508</v>
      </c>
      <c r="I102" s="9" t="s">
        <v>363</v>
      </c>
    </row>
    <row r="104" customFormat="false" ht="15" hidden="false" customHeight="false" outlineLevel="0" collapsed="false">
      <c r="B104" s="193" t="s">
        <v>366</v>
      </c>
    </row>
    <row r="105" customFormat="false" ht="15" hidden="false" customHeight="false" outlineLevel="0" collapsed="false">
      <c r="B105" s="10" t="s">
        <v>367</v>
      </c>
      <c r="K105" s="186" t="n">
        <f aca="false">SUMIFS($T105:$CA105,$T$5:$CA$5,2030)</f>
        <v>0</v>
      </c>
      <c r="L105" s="186" t="n">
        <f aca="false">SUMIFS($T105:$CA105,$T$5:$CA$5,2026)</f>
        <v>0</v>
      </c>
      <c r="M105" s="186" t="n">
        <f aca="false">SUMIFS($T105:$CA105,$T$5:$CA$5,2027)</f>
        <v>0</v>
      </c>
      <c r="N105" s="186" t="n">
        <f aca="false">SUMIFS($T105:$CA105,$T$5:$CA$5,2028)</f>
        <v>0</v>
      </c>
      <c r="O105" s="186" t="n">
        <f aca="false">SUMIFS($T105:$CA105,$T$5:$CA$5,2029)</f>
        <v>0</v>
      </c>
      <c r="P105" s="186" t="n">
        <f aca="false">SUMIFS($T105:$CA105,$T$5:$CA$5,2030)</f>
        <v>0</v>
      </c>
      <c r="T105" s="186" t="n">
        <f aca="false">$D$100/1000000/12*IF($I$100="Y",T$52,IF(T$6&gt;=EOMONTH($H$100,0),1,0))</f>
        <v>0</v>
      </c>
      <c r="U105" s="186" t="n">
        <f aca="false">$D$100/1000000/12*IF($I$100="Y",U$52,IF(U$6&gt;=EOMONTH($H$100,0),1,0))</f>
        <v>0</v>
      </c>
      <c r="V105" s="186" t="n">
        <f aca="false">$D$100/1000000/12*IF($I$100="Y",V$52,IF(V$6&gt;=EOMONTH($H$100,0),1,0))</f>
        <v>0</v>
      </c>
      <c r="W105" s="186" t="n">
        <f aca="false">$D$100/1000000/12*IF($I$100="Y",W$52,IF(W$6&gt;=EOMONTH($H$100,0),1,0))</f>
        <v>0</v>
      </c>
      <c r="X105" s="186" t="n">
        <f aca="false">$D$100/1000000/12*IF($I$100="Y",X$52,IF(X$6&gt;=EOMONTH($H$100,0),1,0))</f>
        <v>0</v>
      </c>
      <c r="Y105" s="186" t="n">
        <f aca="false">$D$100/1000000/12*IF($I$100="Y",Y$52,IF(Y$6&gt;=EOMONTH($H$100,0),1,0))</f>
        <v>0</v>
      </c>
      <c r="Z105" s="186" t="n">
        <f aca="false">$D$100/1000000/12*IF($I$100="Y",Z$52,IF(Z$6&gt;=EOMONTH($H$100,0),1,0))</f>
        <v>0</v>
      </c>
      <c r="AA105" s="186" t="n">
        <f aca="false">$D$100/1000000/12*IF($I$100="Y",AA$52,IF(AA$6&gt;=EOMONTH($H$100,0),1,0))</f>
        <v>0</v>
      </c>
      <c r="AB105" s="186" t="n">
        <f aca="false">$D$100/1000000/12*IF($I$100="Y",AB$52,IF(AB$6&gt;=EOMONTH($H$100,0),1,0))</f>
        <v>0</v>
      </c>
      <c r="AC105" s="186" t="n">
        <f aca="false">$D$100/1000000/12*IF($I$100="Y",AC$52,IF(AC$6&gt;=EOMONTH($H$100,0),1,0))</f>
        <v>0</v>
      </c>
      <c r="AD105" s="186" t="n">
        <f aca="false">$D$100/1000000/12*IF($I$100="Y",AD$52,IF(AD$6&gt;=EOMONTH($H$100,0),1,0))</f>
        <v>0</v>
      </c>
      <c r="AE105" s="186" t="n">
        <f aca="false">$D$100/1000000/12*IF($I$100="Y",AE$52,IF(AE$6&gt;=EOMONTH($H$100,0),1,0))</f>
        <v>0</v>
      </c>
      <c r="AF105" s="186" t="n">
        <f aca="false">$D$100/1000000/12*IF($I$100="Y",AF$52,IF(AF$6&gt;=EOMONTH($H$100,0),1,0))</f>
        <v>0</v>
      </c>
      <c r="AG105" s="186" t="n">
        <f aca="false">$D$100/1000000/12*IF($I$100="Y",AG$52,IF(AG$6&gt;=EOMONTH($H$100,0),1,0))</f>
        <v>0</v>
      </c>
      <c r="AH105" s="186" t="n">
        <f aca="false">$D$100/1000000/12*IF($I$100="Y",AH$52,IF(AH$6&gt;=EOMONTH($H$100,0),1,0))</f>
        <v>0</v>
      </c>
      <c r="AI105" s="186" t="n">
        <f aca="false">$D$100/1000000/12*IF($I$100="Y",AI$52,IF(AI$6&gt;=EOMONTH($H$100,0),1,0))</f>
        <v>0</v>
      </c>
      <c r="AJ105" s="186" t="n">
        <f aca="false">$D$100/1000000/12*IF($I$100="Y",AJ$52,IF(AJ$6&gt;=EOMONTH($H$100,0),1,0))</f>
        <v>0</v>
      </c>
      <c r="AK105" s="186" t="n">
        <f aca="false">$D$100/1000000/12*IF($I$100="Y",AK$52,IF(AK$6&gt;=EOMONTH($H$100,0),1,0))</f>
        <v>0</v>
      </c>
      <c r="AL105" s="186" t="n">
        <f aca="false">$D$100/1000000/12*IF($I$100="Y",AL$52,IF(AL$6&gt;=EOMONTH($H$100,0),1,0))</f>
        <v>0</v>
      </c>
      <c r="AM105" s="186" t="n">
        <f aca="false">$D$100/1000000/12*IF($I$100="Y",AM$52,IF(AM$6&gt;=EOMONTH($H$100,0),1,0))</f>
        <v>0</v>
      </c>
      <c r="AN105" s="186" t="n">
        <f aca="false">$D$100/1000000/12*IF($I$100="Y",AN$52,IF(AN$6&gt;=EOMONTH($H$100,0),1,0))</f>
        <v>0</v>
      </c>
      <c r="AO105" s="186" t="n">
        <f aca="false">$D$100/1000000/12*IF($I$100="Y",AO$52,IF(AO$6&gt;=EOMONTH($H$100,0),1,0))</f>
        <v>0</v>
      </c>
      <c r="AP105" s="186" t="n">
        <f aca="false">$D$100/1000000/12*IF($I$100="Y",AP$52,IF(AP$6&gt;=EOMONTH($H$100,0),1,0))</f>
        <v>0</v>
      </c>
      <c r="AQ105" s="186" t="n">
        <f aca="false">$D$100/1000000/12*IF($I$100="Y",AQ$52,IF(AQ$6&gt;=EOMONTH($H$100,0),1,0))</f>
        <v>0</v>
      </c>
      <c r="AR105" s="186" t="n">
        <f aca="false">$D$100/1000000/12*IF($I$100="Y",AR$52,IF(AR$6&gt;=EOMONTH($H$100,0),1,0))</f>
        <v>0</v>
      </c>
      <c r="AS105" s="186" t="n">
        <f aca="false">$D$100/1000000/12*IF($I$100="Y",AS$52,IF(AS$6&gt;=EOMONTH($H$100,0),1,0))</f>
        <v>0</v>
      </c>
      <c r="AT105" s="186" t="n">
        <f aca="false">$D$100/1000000/12*IF($I$100="Y",AT$52,IF(AT$6&gt;=EOMONTH($H$100,0),1,0))</f>
        <v>0</v>
      </c>
      <c r="AU105" s="186" t="n">
        <f aca="false">$D$100/1000000/12*IF($I$100="Y",AU$52,IF(AU$6&gt;=EOMONTH($H$100,0),1,0))</f>
        <v>0</v>
      </c>
      <c r="AV105" s="186" t="n">
        <f aca="false">$D$100/1000000/12*IF($I$100="Y",AV$52,IF(AV$6&gt;=EOMONTH($H$100,0),1,0))</f>
        <v>0</v>
      </c>
      <c r="AW105" s="186" t="n">
        <f aca="false">$D$100/1000000/12*IF($I$100="Y",AW$52,IF(AW$6&gt;=EOMONTH($H$100,0),1,0))</f>
        <v>0</v>
      </c>
      <c r="AX105" s="186" t="n">
        <f aca="false">$D$100/1000000/12*IF($I$100="Y",AX$52,IF(AX$6&gt;=EOMONTH($H$100,0),1,0))</f>
        <v>0</v>
      </c>
      <c r="AY105" s="186" t="n">
        <f aca="false">$D$100/1000000/12*IF($I$100="Y",AY$52,IF(AY$6&gt;=EOMONTH($H$100,0),1,0))</f>
        <v>0</v>
      </c>
      <c r="AZ105" s="186" t="n">
        <f aca="false">$D$100/1000000/12*IF($I$100="Y",AZ$52,IF(AZ$6&gt;=EOMONTH($H$100,0),1,0))</f>
        <v>0</v>
      </c>
      <c r="BA105" s="186" t="n">
        <f aca="false">$D$100/1000000/12*IF($I$100="Y",BA$52,IF(BA$6&gt;=EOMONTH($H$100,0),1,0))</f>
        <v>0</v>
      </c>
      <c r="BB105" s="186" t="n">
        <f aca="false">$D$100/1000000/12*IF($I$100="Y",BB$52,IF(BB$6&gt;=EOMONTH($H$100,0),1,0))</f>
        <v>0</v>
      </c>
      <c r="BC105" s="186" t="n">
        <f aca="false">$D$100/1000000/12*IF($I$100="Y",BC$52,IF(BC$6&gt;=EOMONTH($H$100,0),1,0))</f>
        <v>0</v>
      </c>
      <c r="BD105" s="186" t="n">
        <f aca="false">$D$100/1000000/12*IF($I$100="Y",BD$52,IF(BD$6&gt;=EOMONTH($H$100,0),1,0))</f>
        <v>0</v>
      </c>
      <c r="BE105" s="186" t="n">
        <f aca="false">$D$100/1000000/12*IF($I$100="Y",BE$52,IF(BE$6&gt;=EOMONTH($H$100,0),1,0))</f>
        <v>0</v>
      </c>
      <c r="BF105" s="186" t="n">
        <f aca="false">$D$100/1000000/12*IF($I$100="Y",BF$52,IF(BF$6&gt;=EOMONTH($H$100,0),1,0))</f>
        <v>0</v>
      </c>
      <c r="BG105" s="186" t="n">
        <f aca="false">$D$100/1000000/12*IF($I$100="Y",BG$52,IF(BG$6&gt;=EOMONTH($H$100,0),1,0))</f>
        <v>0</v>
      </c>
      <c r="BH105" s="186" t="n">
        <f aca="false">$D$100/1000000/12*IF($I$100="Y",BH$52,IF(BH$6&gt;=EOMONTH($H$100,0),1,0))</f>
        <v>0</v>
      </c>
      <c r="BI105" s="186" t="n">
        <f aca="false">$D$100/1000000/12*IF($I$100="Y",BI$52,IF(BI$6&gt;=EOMONTH($H$100,0),1,0))</f>
        <v>0</v>
      </c>
      <c r="BJ105" s="186" t="n">
        <f aca="false">$D$100/1000000/12*IF($I$100="Y",BJ$52,IF(BJ$6&gt;=EOMONTH($H$100,0),1,0))</f>
        <v>0</v>
      </c>
      <c r="BK105" s="186" t="n">
        <f aca="false">$D$100/1000000/12*IF($I$100="Y",BK$52,IF(BK$6&gt;=EOMONTH($H$100,0),1,0))</f>
        <v>0</v>
      </c>
      <c r="BL105" s="186" t="n">
        <f aca="false">$D$100/1000000/12*IF($I$100="Y",BL$52,IF(BL$6&gt;=EOMONTH($H$100,0),1,0))</f>
        <v>0</v>
      </c>
      <c r="BM105" s="186" t="n">
        <f aca="false">$D$100/1000000/12*IF($I$100="Y",BM$52,IF(BM$6&gt;=EOMONTH($H$100,0),1,0))</f>
        <v>0</v>
      </c>
      <c r="BN105" s="186" t="n">
        <f aca="false">$D$100/1000000/12*IF($I$100="Y",BN$52,IF(BN$6&gt;=EOMONTH($H$100,0),1,0))</f>
        <v>0</v>
      </c>
      <c r="BO105" s="186" t="n">
        <f aca="false">$D$100/1000000/12*IF($I$100="Y",BO$52,IF(BO$6&gt;=EOMONTH($H$100,0),1,0))</f>
        <v>0</v>
      </c>
      <c r="BP105" s="186" t="n">
        <f aca="false">$D$100/1000000/12*IF($I$100="Y",BP$52,IF(BP$6&gt;=EOMONTH($H$100,0),1,0))</f>
        <v>0</v>
      </c>
      <c r="BQ105" s="186" t="n">
        <f aca="false">$D$100/1000000/12*IF($I$100="Y",BQ$52,IF(BQ$6&gt;=EOMONTH($H$100,0),1,0))</f>
        <v>0</v>
      </c>
      <c r="BR105" s="186" t="n">
        <f aca="false">$D$100/1000000/12*IF($I$100="Y",BR$52,IF(BR$6&gt;=EOMONTH($H$100,0),1,0))</f>
        <v>0</v>
      </c>
      <c r="BS105" s="186" t="n">
        <f aca="false">$D$100/1000000/12*IF($I$100="Y",BS$52,IF(BS$6&gt;=EOMONTH($H$100,0),1,0))</f>
        <v>0</v>
      </c>
      <c r="BT105" s="186" t="n">
        <f aca="false">$D$100/1000000/12*IF($I$100="Y",BT$52,IF(BT$6&gt;=EOMONTH($H$100,0),1,0))</f>
        <v>0</v>
      </c>
      <c r="BU105" s="186" t="n">
        <f aca="false">$D$100/1000000/12*IF($I$100="Y",BU$52,IF(BU$6&gt;=EOMONTH($H$100,0),1,0))</f>
        <v>0</v>
      </c>
      <c r="BV105" s="186" t="n">
        <f aca="false">$D$100/1000000/12*IF($I$100="Y",BV$52,IF(BV$6&gt;=EOMONTH($H$100,0),1,0))</f>
        <v>0</v>
      </c>
      <c r="BW105" s="186" t="n">
        <f aca="false">$D$100/1000000/12*IF($I$100="Y",BW$52,IF(BW$6&gt;=EOMONTH($H$100,0),1,0))</f>
        <v>0</v>
      </c>
      <c r="BX105" s="186" t="n">
        <f aca="false">$D$100/1000000/12*IF($I$100="Y",BX$52,IF(BX$6&gt;=EOMONTH($H$100,0),1,0))</f>
        <v>0</v>
      </c>
      <c r="BY105" s="186" t="n">
        <f aca="false">$D$100/1000000/12*IF($I$100="Y",BY$52,IF(BY$6&gt;=EOMONTH($H$100,0),1,0))</f>
        <v>0</v>
      </c>
      <c r="BZ105" s="186" t="n">
        <f aca="false">$D$100/1000000/12*IF($I$100="Y",BZ$52,IF(BZ$6&gt;=EOMONTH($H$100,0),1,0))</f>
        <v>0</v>
      </c>
      <c r="CA105" s="186" t="n">
        <f aca="false">$D$100/1000000/12*IF($I$100="Y",CA$52,IF(CA$6&gt;=EOMONTH($H$100,0),1,0))</f>
        <v>0</v>
      </c>
    </row>
    <row r="106" customFormat="false" ht="15" hidden="false" customHeight="false" outlineLevel="0" collapsed="false">
      <c r="B106" s="10" t="s">
        <v>368</v>
      </c>
      <c r="K106" s="186" t="n">
        <f aca="false">SUMIFS($T106:$CA106,$T$5:$CA$5,2030)</f>
        <v>0</v>
      </c>
      <c r="L106" s="186" t="n">
        <f aca="false">SUMIFS($T106:$CA106,$T$5:$CA$5,2026)</f>
        <v>0</v>
      </c>
      <c r="M106" s="186" t="n">
        <f aca="false">SUMIFS($T106:$CA106,$T$5:$CA$5,2027)</f>
        <v>0</v>
      </c>
      <c r="N106" s="186" t="n">
        <f aca="false">SUMIFS($T106:$CA106,$T$5:$CA$5,2028)</f>
        <v>0</v>
      </c>
      <c r="O106" s="186" t="n">
        <f aca="false">SUMIFS($T106:$CA106,$T$5:$CA$5,2029)</f>
        <v>0</v>
      </c>
      <c r="P106" s="186" t="n">
        <f aca="false">SUMIFS($T106:$CA106,$T$5:$CA$5,2030)</f>
        <v>0</v>
      </c>
      <c r="T106" s="186" t="n">
        <f aca="false">$D$101/1000000/12*IF($I$101="Y",T$52,IF(T$6&gt;=EOMONTH($H$101,0),1,0))</f>
        <v>0</v>
      </c>
      <c r="U106" s="186" t="n">
        <f aca="false">$D$101/1000000/12*IF($I$101="Y",U$52,IF(U$6&gt;=EOMONTH($H$101,0),1,0))</f>
        <v>0</v>
      </c>
      <c r="V106" s="186" t="n">
        <f aca="false">$D$101/1000000/12*IF($I$101="Y",V$52,IF(V$6&gt;=EOMONTH($H$101,0),1,0))</f>
        <v>0</v>
      </c>
      <c r="W106" s="186" t="n">
        <f aca="false">$D$101/1000000/12*IF($I$101="Y",W$52,IF(W$6&gt;=EOMONTH($H$101,0),1,0))</f>
        <v>0</v>
      </c>
      <c r="X106" s="186" t="n">
        <f aca="false">$D$101/1000000/12*IF($I$101="Y",X$52,IF(X$6&gt;=EOMONTH($H$101,0),1,0))</f>
        <v>0</v>
      </c>
      <c r="Y106" s="186" t="n">
        <f aca="false">$D$101/1000000/12*IF($I$101="Y",Y$52,IF(Y$6&gt;=EOMONTH($H$101,0),1,0))</f>
        <v>0</v>
      </c>
      <c r="Z106" s="186" t="n">
        <f aca="false">$D$101/1000000/12*IF($I$101="Y",Z$52,IF(Z$6&gt;=EOMONTH($H$101,0),1,0))</f>
        <v>0</v>
      </c>
      <c r="AA106" s="186" t="n">
        <f aca="false">$D$101/1000000/12*IF($I$101="Y",AA$52,IF(AA$6&gt;=EOMONTH($H$101,0),1,0))</f>
        <v>0</v>
      </c>
      <c r="AB106" s="186" t="n">
        <f aca="false">$D$101/1000000/12*IF($I$101="Y",AB$52,IF(AB$6&gt;=EOMONTH($H$101,0),1,0))</f>
        <v>0</v>
      </c>
      <c r="AC106" s="186" t="n">
        <f aca="false">$D$101/1000000/12*IF($I$101="Y",AC$52,IF(AC$6&gt;=EOMONTH($H$101,0),1,0))</f>
        <v>0</v>
      </c>
      <c r="AD106" s="186" t="n">
        <f aca="false">$D$101/1000000/12*IF($I$101="Y",AD$52,IF(AD$6&gt;=EOMONTH($H$101,0),1,0))</f>
        <v>0</v>
      </c>
      <c r="AE106" s="186" t="n">
        <f aca="false">$D$101/1000000/12*IF($I$101="Y",AE$52,IF(AE$6&gt;=EOMONTH($H$101,0),1,0))</f>
        <v>0</v>
      </c>
      <c r="AF106" s="186" t="n">
        <f aca="false">$D$101/1000000/12*IF($I$101="Y",AF$52,IF(AF$6&gt;=EOMONTH($H$101,0),1,0))</f>
        <v>0</v>
      </c>
      <c r="AG106" s="186" t="n">
        <f aca="false">$D$101/1000000/12*IF($I$101="Y",AG$52,IF(AG$6&gt;=EOMONTH($H$101,0),1,0))</f>
        <v>0</v>
      </c>
      <c r="AH106" s="186" t="n">
        <f aca="false">$D$101/1000000/12*IF($I$101="Y",AH$52,IF(AH$6&gt;=EOMONTH($H$101,0),1,0))</f>
        <v>0</v>
      </c>
      <c r="AI106" s="186" t="n">
        <f aca="false">$D$101/1000000/12*IF($I$101="Y",AI$52,IF(AI$6&gt;=EOMONTH($H$101,0),1,0))</f>
        <v>0</v>
      </c>
      <c r="AJ106" s="186" t="n">
        <f aca="false">$D$101/1000000/12*IF($I$101="Y",AJ$52,IF(AJ$6&gt;=EOMONTH($H$101,0),1,0))</f>
        <v>0</v>
      </c>
      <c r="AK106" s="186" t="n">
        <f aca="false">$D$101/1000000/12*IF($I$101="Y",AK$52,IF(AK$6&gt;=EOMONTH($H$101,0),1,0))</f>
        <v>0</v>
      </c>
      <c r="AL106" s="186" t="n">
        <f aca="false">$D$101/1000000/12*IF($I$101="Y",AL$52,IF(AL$6&gt;=EOMONTH($H$101,0),1,0))</f>
        <v>0</v>
      </c>
      <c r="AM106" s="186" t="n">
        <f aca="false">$D$101/1000000/12*IF($I$101="Y",AM$52,IF(AM$6&gt;=EOMONTH($H$101,0),1,0))</f>
        <v>0</v>
      </c>
      <c r="AN106" s="186" t="n">
        <f aca="false">$D$101/1000000/12*IF($I$101="Y",AN$52,IF(AN$6&gt;=EOMONTH($H$101,0),1,0))</f>
        <v>0</v>
      </c>
      <c r="AO106" s="186" t="n">
        <f aca="false">$D$101/1000000/12*IF($I$101="Y",AO$52,IF(AO$6&gt;=EOMONTH($H$101,0),1,0))</f>
        <v>0</v>
      </c>
      <c r="AP106" s="186" t="n">
        <f aca="false">$D$101/1000000/12*IF($I$101="Y",AP$52,IF(AP$6&gt;=EOMONTH($H$101,0),1,0))</f>
        <v>0</v>
      </c>
      <c r="AQ106" s="186" t="n">
        <f aca="false">$D$101/1000000/12*IF($I$101="Y",AQ$52,IF(AQ$6&gt;=EOMONTH($H$101,0),1,0))</f>
        <v>0</v>
      </c>
      <c r="AR106" s="186" t="n">
        <f aca="false">$D$101/1000000/12*IF($I$101="Y",AR$52,IF(AR$6&gt;=EOMONTH($H$101,0),1,0))</f>
        <v>0</v>
      </c>
      <c r="AS106" s="186" t="n">
        <f aca="false">$D$101/1000000/12*IF($I$101="Y",AS$52,IF(AS$6&gt;=EOMONTH($H$101,0),1,0))</f>
        <v>0</v>
      </c>
      <c r="AT106" s="186" t="n">
        <f aca="false">$D$101/1000000/12*IF($I$101="Y",AT$52,IF(AT$6&gt;=EOMONTH($H$101,0),1,0))</f>
        <v>0</v>
      </c>
      <c r="AU106" s="186" t="n">
        <f aca="false">$D$101/1000000/12*IF($I$101="Y",AU$52,IF(AU$6&gt;=EOMONTH($H$101,0),1,0))</f>
        <v>0</v>
      </c>
      <c r="AV106" s="186" t="n">
        <f aca="false">$D$101/1000000/12*IF($I$101="Y",AV$52,IF(AV$6&gt;=EOMONTH($H$101,0),1,0))</f>
        <v>0</v>
      </c>
      <c r="AW106" s="186" t="n">
        <f aca="false">$D$101/1000000/12*IF($I$101="Y",AW$52,IF(AW$6&gt;=EOMONTH($H$101,0),1,0))</f>
        <v>0</v>
      </c>
      <c r="AX106" s="186" t="n">
        <f aca="false">$D$101/1000000/12*IF($I$101="Y",AX$52,IF(AX$6&gt;=EOMONTH($H$101,0),1,0))</f>
        <v>0</v>
      </c>
      <c r="AY106" s="186" t="n">
        <f aca="false">$D$101/1000000/12*IF($I$101="Y",AY$52,IF(AY$6&gt;=EOMONTH($H$101,0),1,0))</f>
        <v>0</v>
      </c>
      <c r="AZ106" s="186" t="n">
        <f aca="false">$D$101/1000000/12*IF($I$101="Y",AZ$52,IF(AZ$6&gt;=EOMONTH($H$101,0),1,0))</f>
        <v>0</v>
      </c>
      <c r="BA106" s="186" t="n">
        <f aca="false">$D$101/1000000/12*IF($I$101="Y",BA$52,IF(BA$6&gt;=EOMONTH($H$101,0),1,0))</f>
        <v>0</v>
      </c>
      <c r="BB106" s="186" t="n">
        <f aca="false">$D$101/1000000/12*IF($I$101="Y",BB$52,IF(BB$6&gt;=EOMONTH($H$101,0),1,0))</f>
        <v>0</v>
      </c>
      <c r="BC106" s="186" t="n">
        <f aca="false">$D$101/1000000/12*IF($I$101="Y",BC$52,IF(BC$6&gt;=EOMONTH($H$101,0),1,0))</f>
        <v>0</v>
      </c>
      <c r="BD106" s="186" t="n">
        <f aca="false">$D$101/1000000/12*IF($I$101="Y",BD$52,IF(BD$6&gt;=EOMONTH($H$101,0),1,0))</f>
        <v>0</v>
      </c>
      <c r="BE106" s="186" t="n">
        <f aca="false">$D$101/1000000/12*IF($I$101="Y",BE$52,IF(BE$6&gt;=EOMONTH($H$101,0),1,0))</f>
        <v>0</v>
      </c>
      <c r="BF106" s="186" t="n">
        <f aca="false">$D$101/1000000/12*IF($I$101="Y",BF$52,IF(BF$6&gt;=EOMONTH($H$101,0),1,0))</f>
        <v>0</v>
      </c>
      <c r="BG106" s="186" t="n">
        <f aca="false">$D$101/1000000/12*IF($I$101="Y",BG$52,IF(BG$6&gt;=EOMONTH($H$101,0),1,0))</f>
        <v>0</v>
      </c>
      <c r="BH106" s="186" t="n">
        <f aca="false">$D$101/1000000/12*IF($I$101="Y",BH$52,IF(BH$6&gt;=EOMONTH($H$101,0),1,0))</f>
        <v>0</v>
      </c>
      <c r="BI106" s="186" t="n">
        <f aca="false">$D$101/1000000/12*IF($I$101="Y",BI$52,IF(BI$6&gt;=EOMONTH($H$101,0),1,0))</f>
        <v>0</v>
      </c>
      <c r="BJ106" s="186" t="n">
        <f aca="false">$D$101/1000000/12*IF($I$101="Y",BJ$52,IF(BJ$6&gt;=EOMONTH($H$101,0),1,0))</f>
        <v>0</v>
      </c>
      <c r="BK106" s="186" t="n">
        <f aca="false">$D$101/1000000/12*IF($I$101="Y",BK$52,IF(BK$6&gt;=EOMONTH($H$101,0),1,0))</f>
        <v>0</v>
      </c>
      <c r="BL106" s="186" t="n">
        <f aca="false">$D$101/1000000/12*IF($I$101="Y",BL$52,IF(BL$6&gt;=EOMONTH($H$101,0),1,0))</f>
        <v>0</v>
      </c>
      <c r="BM106" s="186" t="n">
        <f aca="false">$D$101/1000000/12*IF($I$101="Y",BM$52,IF(BM$6&gt;=EOMONTH($H$101,0),1,0))</f>
        <v>0</v>
      </c>
      <c r="BN106" s="186" t="n">
        <f aca="false">$D$101/1000000/12*IF($I$101="Y",BN$52,IF(BN$6&gt;=EOMONTH($H$101,0),1,0))</f>
        <v>0</v>
      </c>
      <c r="BO106" s="186" t="n">
        <f aca="false">$D$101/1000000/12*IF($I$101="Y",BO$52,IF(BO$6&gt;=EOMONTH($H$101,0),1,0))</f>
        <v>0</v>
      </c>
      <c r="BP106" s="186" t="n">
        <f aca="false">$D$101/1000000/12*IF($I$101="Y",BP$52,IF(BP$6&gt;=EOMONTH($H$101,0),1,0))</f>
        <v>0</v>
      </c>
      <c r="BQ106" s="186" t="n">
        <f aca="false">$D$101/1000000/12*IF($I$101="Y",BQ$52,IF(BQ$6&gt;=EOMONTH($H$101,0),1,0))</f>
        <v>0</v>
      </c>
      <c r="BR106" s="186" t="n">
        <f aca="false">$D$101/1000000/12*IF($I$101="Y",BR$52,IF(BR$6&gt;=EOMONTH($H$101,0),1,0))</f>
        <v>0</v>
      </c>
      <c r="BS106" s="186" t="n">
        <f aca="false">$D$101/1000000/12*IF($I$101="Y",BS$52,IF(BS$6&gt;=EOMONTH($H$101,0),1,0))</f>
        <v>0</v>
      </c>
      <c r="BT106" s="186" t="n">
        <f aca="false">$D$101/1000000/12*IF($I$101="Y",BT$52,IF(BT$6&gt;=EOMONTH($H$101,0),1,0))</f>
        <v>0</v>
      </c>
      <c r="BU106" s="186" t="n">
        <f aca="false">$D$101/1000000/12*IF($I$101="Y",BU$52,IF(BU$6&gt;=EOMONTH($H$101,0),1,0))</f>
        <v>0</v>
      </c>
      <c r="BV106" s="186" t="n">
        <f aca="false">$D$101/1000000/12*IF($I$101="Y",BV$52,IF(BV$6&gt;=EOMONTH($H$101,0),1,0))</f>
        <v>0</v>
      </c>
      <c r="BW106" s="186" t="n">
        <f aca="false">$D$101/1000000/12*IF($I$101="Y",BW$52,IF(BW$6&gt;=EOMONTH($H$101,0),1,0))</f>
        <v>0</v>
      </c>
      <c r="BX106" s="186" t="n">
        <f aca="false">$D$101/1000000/12*IF($I$101="Y",BX$52,IF(BX$6&gt;=EOMONTH($H$101,0),1,0))</f>
        <v>0</v>
      </c>
      <c r="BY106" s="186" t="n">
        <f aca="false">$D$101/1000000/12*IF($I$101="Y",BY$52,IF(BY$6&gt;=EOMONTH($H$101,0),1,0))</f>
        <v>0</v>
      </c>
      <c r="BZ106" s="186" t="n">
        <f aca="false">$D$101/1000000/12*IF($I$101="Y",BZ$52,IF(BZ$6&gt;=EOMONTH($H$101,0),1,0))</f>
        <v>0</v>
      </c>
      <c r="CA106" s="186" t="n">
        <f aca="false">$D$101/1000000/12*IF($I$101="Y",CA$52,IF(CA$6&gt;=EOMONTH($H$101,0),1,0))</f>
        <v>0</v>
      </c>
    </row>
    <row r="107" customFormat="false" ht="15" hidden="false" customHeight="false" outlineLevel="0" collapsed="false">
      <c r="B107" s="10" t="s">
        <v>369</v>
      </c>
      <c r="K107" s="186" t="n">
        <f aca="false">SUMIFS($T107:$CA107,$T$5:$CA$5,2030)</f>
        <v>0</v>
      </c>
      <c r="L107" s="186" t="n">
        <f aca="false">SUMIFS($T107:$CA107,$T$5:$CA$5,2026)</f>
        <v>0</v>
      </c>
      <c r="M107" s="186" t="n">
        <f aca="false">SUMIFS($T107:$CA107,$T$5:$CA$5,2027)</f>
        <v>0</v>
      </c>
      <c r="N107" s="186" t="n">
        <f aca="false">SUMIFS($T107:$CA107,$T$5:$CA$5,2028)</f>
        <v>0</v>
      </c>
      <c r="O107" s="186" t="n">
        <f aca="false">SUMIFS($T107:$CA107,$T$5:$CA$5,2029)</f>
        <v>0</v>
      </c>
      <c r="P107" s="186" t="n">
        <f aca="false">SUMIFS($T107:$CA107,$T$5:$CA$5,2030)</f>
        <v>0</v>
      </c>
      <c r="T107" s="186" t="n">
        <f aca="false">$D$102/1000000/12*IF($I$102="Y",T$52,IF(T$6&gt;=EOMONTH($H$102,0),1,0))</f>
        <v>0</v>
      </c>
      <c r="U107" s="186" t="n">
        <f aca="false">$D$102/1000000/12*IF($I$102="Y",U$52,IF(U$6&gt;=EOMONTH($H$102,0),1,0))</f>
        <v>0</v>
      </c>
      <c r="V107" s="186" t="n">
        <f aca="false">$D$102/1000000/12*IF($I$102="Y",V$52,IF(V$6&gt;=EOMONTH($H$102,0),1,0))</f>
        <v>0</v>
      </c>
      <c r="W107" s="186" t="n">
        <f aca="false">$D$102/1000000/12*IF($I$102="Y",W$52,IF(W$6&gt;=EOMONTH($H$102,0),1,0))</f>
        <v>0</v>
      </c>
      <c r="X107" s="186" t="n">
        <f aca="false">$D$102/1000000/12*IF($I$102="Y",X$52,IF(X$6&gt;=EOMONTH($H$102,0),1,0))</f>
        <v>0</v>
      </c>
      <c r="Y107" s="186" t="n">
        <f aca="false">$D$102/1000000/12*IF($I$102="Y",Y$52,IF(Y$6&gt;=EOMONTH($H$102,0),1,0))</f>
        <v>0</v>
      </c>
      <c r="Z107" s="186" t="n">
        <f aca="false">$D$102/1000000/12*IF($I$102="Y",Z$52,IF(Z$6&gt;=EOMONTH($H$102,0),1,0))</f>
        <v>0</v>
      </c>
      <c r="AA107" s="186" t="n">
        <f aca="false">$D$102/1000000/12*IF($I$102="Y",AA$52,IF(AA$6&gt;=EOMONTH($H$102,0),1,0))</f>
        <v>0</v>
      </c>
      <c r="AB107" s="186" t="n">
        <f aca="false">$D$102/1000000/12*IF($I$102="Y",AB$52,IF(AB$6&gt;=EOMONTH($H$102,0),1,0))</f>
        <v>0</v>
      </c>
      <c r="AC107" s="186" t="n">
        <f aca="false">$D$102/1000000/12*IF($I$102="Y",AC$52,IF(AC$6&gt;=EOMONTH($H$102,0),1,0))</f>
        <v>0</v>
      </c>
      <c r="AD107" s="186" t="n">
        <f aca="false">$D$102/1000000/12*IF($I$102="Y",AD$52,IF(AD$6&gt;=EOMONTH($H$102,0),1,0))</f>
        <v>0</v>
      </c>
      <c r="AE107" s="186" t="n">
        <f aca="false">$D$102/1000000/12*IF($I$102="Y",AE$52,IF(AE$6&gt;=EOMONTH($H$102,0),1,0))</f>
        <v>0</v>
      </c>
      <c r="AF107" s="186" t="n">
        <f aca="false">$D$102/1000000/12*IF($I$102="Y",AF$52,IF(AF$6&gt;=EOMONTH($H$102,0),1,0))</f>
        <v>0</v>
      </c>
      <c r="AG107" s="186" t="n">
        <f aca="false">$D$102/1000000/12*IF($I$102="Y",AG$52,IF(AG$6&gt;=EOMONTH($H$102,0),1,0))</f>
        <v>0</v>
      </c>
      <c r="AH107" s="186" t="n">
        <f aca="false">$D$102/1000000/12*IF($I$102="Y",AH$52,IF(AH$6&gt;=EOMONTH($H$102,0),1,0))</f>
        <v>0</v>
      </c>
      <c r="AI107" s="186" t="n">
        <f aca="false">$D$102/1000000/12*IF($I$102="Y",AI$52,IF(AI$6&gt;=EOMONTH($H$102,0),1,0))</f>
        <v>0</v>
      </c>
      <c r="AJ107" s="186" t="n">
        <f aca="false">$D$102/1000000/12*IF($I$102="Y",AJ$52,IF(AJ$6&gt;=EOMONTH($H$102,0),1,0))</f>
        <v>0</v>
      </c>
      <c r="AK107" s="186" t="n">
        <f aca="false">$D$102/1000000/12*IF($I$102="Y",AK$52,IF(AK$6&gt;=EOMONTH($H$102,0),1,0))</f>
        <v>0</v>
      </c>
      <c r="AL107" s="186" t="n">
        <f aca="false">$D$102/1000000/12*IF($I$102="Y",AL$52,IF(AL$6&gt;=EOMONTH($H$102,0),1,0))</f>
        <v>0</v>
      </c>
      <c r="AM107" s="186" t="n">
        <f aca="false">$D$102/1000000/12*IF($I$102="Y",AM$52,IF(AM$6&gt;=EOMONTH($H$102,0),1,0))</f>
        <v>0</v>
      </c>
      <c r="AN107" s="186" t="n">
        <f aca="false">$D$102/1000000/12*IF($I$102="Y",AN$52,IF(AN$6&gt;=EOMONTH($H$102,0),1,0))</f>
        <v>0</v>
      </c>
      <c r="AO107" s="186" t="n">
        <f aca="false">$D$102/1000000/12*IF($I$102="Y",AO$52,IF(AO$6&gt;=EOMONTH($H$102,0),1,0))</f>
        <v>0</v>
      </c>
      <c r="AP107" s="186" t="n">
        <f aca="false">$D$102/1000000/12*IF($I$102="Y",AP$52,IF(AP$6&gt;=EOMONTH($H$102,0),1,0))</f>
        <v>0</v>
      </c>
      <c r="AQ107" s="186" t="n">
        <f aca="false">$D$102/1000000/12*IF($I$102="Y",AQ$52,IF(AQ$6&gt;=EOMONTH($H$102,0),1,0))</f>
        <v>0</v>
      </c>
      <c r="AR107" s="186" t="n">
        <f aca="false">$D$102/1000000/12*IF($I$102="Y",AR$52,IF(AR$6&gt;=EOMONTH($H$102,0),1,0))</f>
        <v>0</v>
      </c>
      <c r="AS107" s="186" t="n">
        <f aca="false">$D$102/1000000/12*IF($I$102="Y",AS$52,IF(AS$6&gt;=EOMONTH($H$102,0),1,0))</f>
        <v>0</v>
      </c>
      <c r="AT107" s="186" t="n">
        <f aca="false">$D$102/1000000/12*IF($I$102="Y",AT$52,IF(AT$6&gt;=EOMONTH($H$102,0),1,0))</f>
        <v>0</v>
      </c>
      <c r="AU107" s="186" t="n">
        <f aca="false">$D$102/1000000/12*IF($I$102="Y",AU$52,IF(AU$6&gt;=EOMONTH($H$102,0),1,0))</f>
        <v>0</v>
      </c>
      <c r="AV107" s="186" t="n">
        <f aca="false">$D$102/1000000/12*IF($I$102="Y",AV$52,IF(AV$6&gt;=EOMONTH($H$102,0),1,0))</f>
        <v>0</v>
      </c>
      <c r="AW107" s="186" t="n">
        <f aca="false">$D$102/1000000/12*IF($I$102="Y",AW$52,IF(AW$6&gt;=EOMONTH($H$102,0),1,0))</f>
        <v>0</v>
      </c>
      <c r="AX107" s="186" t="n">
        <f aca="false">$D$102/1000000/12*IF($I$102="Y",AX$52,IF(AX$6&gt;=EOMONTH($H$102,0),1,0))</f>
        <v>0</v>
      </c>
      <c r="AY107" s="186" t="n">
        <f aca="false">$D$102/1000000/12*IF($I$102="Y",AY$52,IF(AY$6&gt;=EOMONTH($H$102,0),1,0))</f>
        <v>0</v>
      </c>
      <c r="AZ107" s="186" t="n">
        <f aca="false">$D$102/1000000/12*IF($I$102="Y",AZ$52,IF(AZ$6&gt;=EOMONTH($H$102,0),1,0))</f>
        <v>0</v>
      </c>
      <c r="BA107" s="186" t="n">
        <f aca="false">$D$102/1000000/12*IF($I$102="Y",BA$52,IF(BA$6&gt;=EOMONTH($H$102,0),1,0))</f>
        <v>0</v>
      </c>
      <c r="BB107" s="186" t="n">
        <f aca="false">$D$102/1000000/12*IF($I$102="Y",BB$52,IF(BB$6&gt;=EOMONTH($H$102,0),1,0))</f>
        <v>0</v>
      </c>
      <c r="BC107" s="186" t="n">
        <f aca="false">$D$102/1000000/12*IF($I$102="Y",BC$52,IF(BC$6&gt;=EOMONTH($H$102,0),1,0))</f>
        <v>0</v>
      </c>
      <c r="BD107" s="186" t="n">
        <f aca="false">$D$102/1000000/12*IF($I$102="Y",BD$52,IF(BD$6&gt;=EOMONTH($H$102,0),1,0))</f>
        <v>0</v>
      </c>
      <c r="BE107" s="186" t="n">
        <f aca="false">$D$102/1000000/12*IF($I$102="Y",BE$52,IF(BE$6&gt;=EOMONTH($H$102,0),1,0))</f>
        <v>0</v>
      </c>
      <c r="BF107" s="186" t="n">
        <f aca="false">$D$102/1000000/12*IF($I$102="Y",BF$52,IF(BF$6&gt;=EOMONTH($H$102,0),1,0))</f>
        <v>0</v>
      </c>
      <c r="BG107" s="186" t="n">
        <f aca="false">$D$102/1000000/12*IF($I$102="Y",BG$52,IF(BG$6&gt;=EOMONTH($H$102,0),1,0))</f>
        <v>0</v>
      </c>
      <c r="BH107" s="186" t="n">
        <f aca="false">$D$102/1000000/12*IF($I$102="Y",BH$52,IF(BH$6&gt;=EOMONTH($H$102,0),1,0))</f>
        <v>0</v>
      </c>
      <c r="BI107" s="186" t="n">
        <f aca="false">$D$102/1000000/12*IF($I$102="Y",BI$52,IF(BI$6&gt;=EOMONTH($H$102,0),1,0))</f>
        <v>0</v>
      </c>
      <c r="BJ107" s="186" t="n">
        <f aca="false">$D$102/1000000/12*IF($I$102="Y",BJ$52,IF(BJ$6&gt;=EOMONTH($H$102,0),1,0))</f>
        <v>0</v>
      </c>
      <c r="BK107" s="186" t="n">
        <f aca="false">$D$102/1000000/12*IF($I$102="Y",BK$52,IF(BK$6&gt;=EOMONTH($H$102,0),1,0))</f>
        <v>0</v>
      </c>
      <c r="BL107" s="186" t="n">
        <f aca="false">$D$102/1000000/12*IF($I$102="Y",BL$52,IF(BL$6&gt;=EOMONTH($H$102,0),1,0))</f>
        <v>0</v>
      </c>
      <c r="BM107" s="186" t="n">
        <f aca="false">$D$102/1000000/12*IF($I$102="Y",BM$52,IF(BM$6&gt;=EOMONTH($H$102,0),1,0))</f>
        <v>0</v>
      </c>
      <c r="BN107" s="186" t="n">
        <f aca="false">$D$102/1000000/12*IF($I$102="Y",BN$52,IF(BN$6&gt;=EOMONTH($H$102,0),1,0))</f>
        <v>0</v>
      </c>
      <c r="BO107" s="186" t="n">
        <f aca="false">$D$102/1000000/12*IF($I$102="Y",BO$52,IF(BO$6&gt;=EOMONTH($H$102,0),1,0))</f>
        <v>0</v>
      </c>
      <c r="BP107" s="186" t="n">
        <f aca="false">$D$102/1000000/12*IF($I$102="Y",BP$52,IF(BP$6&gt;=EOMONTH($H$102,0),1,0))</f>
        <v>0</v>
      </c>
      <c r="BQ107" s="186" t="n">
        <f aca="false">$D$102/1000000/12*IF($I$102="Y",BQ$52,IF(BQ$6&gt;=EOMONTH($H$102,0),1,0))</f>
        <v>0</v>
      </c>
      <c r="BR107" s="186" t="n">
        <f aca="false">$D$102/1000000/12*IF($I$102="Y",BR$52,IF(BR$6&gt;=EOMONTH($H$102,0),1,0))</f>
        <v>0</v>
      </c>
      <c r="BS107" s="186" t="n">
        <f aca="false">$D$102/1000000/12*IF($I$102="Y",BS$52,IF(BS$6&gt;=EOMONTH($H$102,0),1,0))</f>
        <v>0</v>
      </c>
      <c r="BT107" s="186" t="n">
        <f aca="false">$D$102/1000000/12*IF($I$102="Y",BT$52,IF(BT$6&gt;=EOMONTH($H$102,0),1,0))</f>
        <v>0</v>
      </c>
      <c r="BU107" s="186" t="n">
        <f aca="false">$D$102/1000000/12*IF($I$102="Y",BU$52,IF(BU$6&gt;=EOMONTH($H$102,0),1,0))</f>
        <v>0</v>
      </c>
      <c r="BV107" s="186" t="n">
        <f aca="false">$D$102/1000000/12*IF($I$102="Y",BV$52,IF(BV$6&gt;=EOMONTH($H$102,0),1,0))</f>
        <v>0</v>
      </c>
      <c r="BW107" s="186" t="n">
        <f aca="false">$D$102/1000000/12*IF($I$102="Y",BW$52,IF(BW$6&gt;=EOMONTH($H$102,0),1,0))</f>
        <v>0</v>
      </c>
      <c r="BX107" s="186" t="n">
        <f aca="false">$D$102/1000000/12*IF($I$102="Y",BX$52,IF(BX$6&gt;=EOMONTH($H$102,0),1,0))</f>
        <v>0</v>
      </c>
      <c r="BY107" s="186" t="n">
        <f aca="false">$D$102/1000000/12*IF($I$102="Y",BY$52,IF(BY$6&gt;=EOMONTH($H$102,0),1,0))</f>
        <v>0</v>
      </c>
      <c r="BZ107" s="186" t="n">
        <f aca="false">$D$102/1000000/12*IF($I$102="Y",BZ$52,IF(BZ$6&gt;=EOMONTH($H$102,0),1,0))</f>
        <v>0</v>
      </c>
      <c r="CA107" s="186" t="n">
        <f aca="false">$D$102/1000000/12*IF($I$102="Y",CA$52,IF(CA$6&gt;=EOMONTH($H$102,0),1,0))</f>
        <v>0</v>
      </c>
    </row>
    <row r="108" customFormat="false" ht="15" hidden="false" customHeight="false" outlineLevel="0" collapsed="false">
      <c r="B108" s="3" t="s">
        <v>370</v>
      </c>
      <c r="K108" s="186" t="n">
        <f aca="false">SUM(K105:K107)</f>
        <v>0</v>
      </c>
      <c r="L108" s="186" t="n">
        <f aca="false">SUM(L105:L107)</f>
        <v>0</v>
      </c>
      <c r="M108" s="186" t="n">
        <f aca="false">SUM(M105:M107)</f>
        <v>0</v>
      </c>
      <c r="N108" s="186" t="n">
        <f aca="false">SUM(N105:N107)</f>
        <v>0</v>
      </c>
      <c r="O108" s="186" t="n">
        <f aca="false">SUM(O105:O107)</f>
        <v>0</v>
      </c>
      <c r="P108" s="186" t="n">
        <f aca="false">SUM(P105:P107)</f>
        <v>0</v>
      </c>
    </row>
    <row r="110" customFormat="false" ht="18" hidden="false" customHeight="true" outlineLevel="0" collapsed="false">
      <c r="B110" s="5" t="s">
        <v>371</v>
      </c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</row>
    <row r="112" customFormat="false" ht="15" hidden="false" customHeight="false" outlineLevel="0" collapsed="false">
      <c r="B112" s="192" t="s">
        <v>372</v>
      </c>
      <c r="F112" s="194" t="s">
        <v>373</v>
      </c>
    </row>
    <row r="113" customFormat="false" ht="15" hidden="false" customHeight="false" outlineLevel="0" collapsed="false">
      <c r="B113" s="192" t="s">
        <v>374</v>
      </c>
      <c r="F113" s="194" t="s">
        <v>375</v>
      </c>
    </row>
    <row r="114" customFormat="false" ht="15" hidden="false" customHeight="false" outlineLevel="0" collapsed="false">
      <c r="B114" s="192" t="s">
        <v>376</v>
      </c>
      <c r="F114" s="194" t="s">
        <v>377</v>
      </c>
    </row>
    <row r="115" customFormat="false" ht="15" hidden="false" customHeight="false" outlineLevel="0" collapsed="false">
      <c r="B115" s="192" t="s">
        <v>378</v>
      </c>
      <c r="F115" s="194" t="s">
        <v>379</v>
      </c>
    </row>
    <row r="116" customFormat="false" ht="15" hidden="false" customHeight="false" outlineLevel="0" collapsed="false">
      <c r="B116" s="192" t="s">
        <v>380</v>
      </c>
      <c r="F116" s="194" t="s">
        <v>381</v>
      </c>
    </row>
    <row r="117" customFormat="false" ht="15" hidden="false" customHeight="false" outlineLevel="0" collapsed="false">
      <c r="B117" s="192" t="s">
        <v>382</v>
      </c>
      <c r="F117" s="194" t="s">
        <v>383</v>
      </c>
    </row>
    <row r="118" customFormat="false" ht="15" hidden="false" customHeight="false" outlineLevel="0" collapsed="false">
      <c r="B118" s="192" t="s">
        <v>384</v>
      </c>
      <c r="F118" s="194" t="s">
        <v>385</v>
      </c>
    </row>
    <row r="119" customFormat="false" ht="15" hidden="false" customHeight="false" outlineLevel="0" collapsed="false">
      <c r="B119" s="192" t="s">
        <v>386</v>
      </c>
      <c r="F119" s="194" t="s">
        <v>387</v>
      </c>
    </row>
    <row r="121" customFormat="false" ht="18" hidden="false" customHeight="true" outlineLevel="0" collapsed="false">
      <c r="B121" s="5" t="s">
        <v>388</v>
      </c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</row>
  </sheetData>
  <mergeCells count="3">
    <mergeCell ref="D10:H10"/>
    <mergeCell ref="D11:H11"/>
    <mergeCell ref="D12:H12"/>
  </mergeCells>
  <dataValidations count="1">
    <dataValidation allowBlank="true" errorStyle="stop" operator="between" showDropDown="false" showErrorMessage="false" showInputMessage="false" sqref="I100:I102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C1:CM171"/>
  <sheetViews>
    <sheetView showFormulas="false" showGridLines="false" showRowColHeaders="true" showZeros="true" rightToLeft="false" tabSelected="false" showOutlineSymbols="true" defaultGridColor="true" view="normal" topLeftCell="A1" colorId="64" zoomScale="50" zoomScaleNormal="5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5390625" defaultRowHeight="14.25" zeroHeight="false" outlineLevelRow="1" outlineLevelCol="1"/>
  <cols>
    <col collapsed="false" customWidth="true" hidden="false" outlineLevel="0" max="4" min="1" style="0" width="2.81"/>
    <col collapsed="false" customWidth="true" hidden="false" outlineLevel="0" max="5" min="5" style="0" width="65.81"/>
    <col collapsed="false" customWidth="true" hidden="false" outlineLevel="0" max="6" min="6" style="0" width="16.54"/>
    <col collapsed="false" customWidth="true" hidden="false" outlineLevel="0" max="7" min="7" style="0" width="16.18"/>
    <col collapsed="false" customWidth="true" hidden="false" outlineLevel="0" max="8" min="8" style="0" width="22.45"/>
    <col collapsed="false" customWidth="true" hidden="false" outlineLevel="0" max="16" min="9" style="0" width="13.54"/>
    <col collapsed="false" customWidth="true" hidden="false" outlineLevel="0" max="17" min="17" style="13" width="13.54"/>
    <col collapsed="false" customWidth="true" hidden="false" outlineLevel="0" max="18" min="18" style="13" width="16.45"/>
    <col collapsed="false" customWidth="true" hidden="false" outlineLevel="0" max="19" min="19" style="0" width="2.81"/>
    <col collapsed="false" customWidth="true" hidden="false" outlineLevel="0" max="67" min="20" style="0" width="16.54"/>
    <col collapsed="false" customWidth="true" hidden="true" outlineLevel="1" max="79" min="68" style="0" width="16.54"/>
    <col collapsed="false" customWidth="true" hidden="false" outlineLevel="0" max="80" min="80" style="0" width="2.81"/>
    <col collapsed="false" customWidth="true" hidden="false" outlineLevel="0" max="85" min="81" style="0" width="16.54"/>
    <col collapsed="false" customWidth="true" hidden="false" outlineLevel="0" max="86" min="86" style="0" width="2.81"/>
    <col collapsed="false" customWidth="true" hidden="false" outlineLevel="0" max="91" min="87" style="0" width="16.54"/>
  </cols>
  <sheetData>
    <row r="1" s="14" customFormat="true" ht="16.5" hidden="true" customHeight="true" outlineLevel="1" collapsed="false">
      <c r="L1" s="15" t="n">
        <v>1</v>
      </c>
      <c r="M1" s="15" t="n">
        <v>2</v>
      </c>
      <c r="N1" s="15" t="n">
        <v>3</v>
      </c>
      <c r="O1" s="15" t="n">
        <v>4</v>
      </c>
      <c r="P1" s="15" t="n">
        <v>5</v>
      </c>
      <c r="Q1" s="16"/>
      <c r="R1" s="17" t="n">
        <f aca="false">COUNTIFS($R$66:$R$117, "Error")</f>
        <v>0</v>
      </c>
      <c r="T1" s="17" t="n">
        <v>2026</v>
      </c>
      <c r="U1" s="17" t="n">
        <v>2026</v>
      </c>
      <c r="V1" s="17" t="n">
        <v>2026</v>
      </c>
      <c r="W1" s="17" t="n">
        <v>2026</v>
      </c>
      <c r="X1" s="17" t="n">
        <v>2026</v>
      </c>
      <c r="Y1" s="17" t="n">
        <v>2026</v>
      </c>
      <c r="Z1" s="17" t="n">
        <v>2026</v>
      </c>
      <c r="AA1" s="17" t="n">
        <v>2026</v>
      </c>
      <c r="AB1" s="17" t="n">
        <v>2026</v>
      </c>
      <c r="AC1" s="17" t="n">
        <v>2026</v>
      </c>
      <c r="AD1" s="17" t="n">
        <v>2026</v>
      </c>
      <c r="AE1" s="17" t="n">
        <v>2026</v>
      </c>
      <c r="AF1" s="17" t="n">
        <v>2027</v>
      </c>
      <c r="AG1" s="17" t="n">
        <v>2027</v>
      </c>
      <c r="AH1" s="17" t="n">
        <v>2027</v>
      </c>
      <c r="AI1" s="17" t="n">
        <v>2027</v>
      </c>
      <c r="AJ1" s="17" t="n">
        <v>2027</v>
      </c>
      <c r="AK1" s="17" t="n">
        <v>2027</v>
      </c>
      <c r="AL1" s="17" t="n">
        <v>2027</v>
      </c>
      <c r="AM1" s="17" t="n">
        <v>2027</v>
      </c>
      <c r="AN1" s="17" t="n">
        <v>2027</v>
      </c>
      <c r="AO1" s="17" t="n">
        <v>2027</v>
      </c>
      <c r="AP1" s="17" t="n">
        <v>2027</v>
      </c>
      <c r="AQ1" s="17" t="n">
        <v>2027</v>
      </c>
      <c r="AR1" s="17" t="n">
        <v>2028</v>
      </c>
      <c r="AS1" s="17" t="n">
        <v>2028</v>
      </c>
      <c r="AT1" s="17" t="n">
        <v>2028</v>
      </c>
      <c r="AU1" s="17" t="n">
        <v>2028</v>
      </c>
      <c r="AV1" s="17" t="n">
        <v>2028</v>
      </c>
      <c r="AW1" s="17" t="n">
        <v>2028</v>
      </c>
      <c r="AX1" s="17" t="n">
        <v>2028</v>
      </c>
      <c r="AY1" s="17" t="n">
        <v>2028</v>
      </c>
      <c r="AZ1" s="17" t="n">
        <v>2028</v>
      </c>
      <c r="BA1" s="17" t="n">
        <v>2028</v>
      </c>
      <c r="BB1" s="17" t="n">
        <v>2028</v>
      </c>
      <c r="BC1" s="17" t="n">
        <v>2028</v>
      </c>
      <c r="BD1" s="17" t="n">
        <v>2029</v>
      </c>
      <c r="BE1" s="17" t="n">
        <v>2029</v>
      </c>
      <c r="BF1" s="17" t="n">
        <v>2029</v>
      </c>
      <c r="BG1" s="17" t="n">
        <v>2029</v>
      </c>
      <c r="BH1" s="17" t="n">
        <v>2029</v>
      </c>
      <c r="BI1" s="17" t="n">
        <v>2029</v>
      </c>
      <c r="BJ1" s="17" t="n">
        <v>2029</v>
      </c>
      <c r="BK1" s="17" t="n">
        <v>2029</v>
      </c>
      <c r="BL1" s="17" t="n">
        <v>2029</v>
      </c>
      <c r="BM1" s="17" t="n">
        <v>2029</v>
      </c>
      <c r="BN1" s="17" t="n">
        <v>2029</v>
      </c>
      <c r="BO1" s="17" t="n">
        <v>2029</v>
      </c>
      <c r="BP1" s="17" t="n">
        <v>2030</v>
      </c>
      <c r="BQ1" s="17" t="n">
        <v>2030</v>
      </c>
      <c r="BR1" s="17" t="n">
        <v>2030</v>
      </c>
      <c r="BS1" s="17" t="n">
        <v>2030</v>
      </c>
      <c r="BT1" s="17" t="n">
        <v>2030</v>
      </c>
      <c r="BU1" s="17" t="n">
        <v>2030</v>
      </c>
      <c r="BV1" s="17" t="n">
        <v>2030</v>
      </c>
      <c r="BW1" s="17" t="n">
        <v>2030</v>
      </c>
      <c r="BX1" s="17" t="n">
        <v>2030</v>
      </c>
      <c r="BY1" s="17" t="n">
        <v>2030</v>
      </c>
      <c r="BZ1" s="17" t="n">
        <v>2030</v>
      </c>
      <c r="CA1" s="17" t="n">
        <v>2030</v>
      </c>
      <c r="CI1" s="17" t="n">
        <f aca="false">COUNTIFS(CI$66:CI$149, "FALSE")</f>
        <v>0</v>
      </c>
      <c r="CJ1" s="17" t="n">
        <f aca="false">COUNTIFS(CJ$66:CJ$149, "FALSE")</f>
        <v>0</v>
      </c>
      <c r="CK1" s="17" t="n">
        <f aca="false">COUNTIFS(CK$66:CK$149, "FALSE")</f>
        <v>0</v>
      </c>
      <c r="CL1" s="17" t="n">
        <f aca="false">COUNTIFS(CL$66:CL$149, "FALSE")</f>
        <v>0</v>
      </c>
      <c r="CM1" s="17" t="n">
        <f aca="false">COUNTIFS(CM$66:CM$149, "FALSE")</f>
        <v>0</v>
      </c>
    </row>
    <row r="2" s="14" customFormat="true" ht="30.75" hidden="false" customHeight="true" outlineLevel="0" collapsed="false">
      <c r="C2" s="18" t="str">
        <f aca="false">"#"&amp;$F$6&amp;" Initiative Business Case"</f>
        <v>#TBD Initiative Business Case</v>
      </c>
      <c r="Q2" s="16"/>
      <c r="R2" s="16"/>
    </row>
    <row r="3" s="14" customFormat="true" ht="16.5" hidden="false" customHeight="true" outlineLevel="0" collapsed="false">
      <c r="Q3" s="16"/>
      <c r="R3" s="16"/>
    </row>
    <row r="4" s="14" customFormat="true" ht="16.5" hidden="false" customHeight="true" outlineLevel="0" collapsed="false">
      <c r="C4" s="19" t="s">
        <v>51</v>
      </c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</row>
    <row r="5" s="14" customFormat="true" ht="16.5" hidden="false" customHeight="true" outlineLevel="0" collapsed="false">
      <c r="Q5" s="16"/>
      <c r="R5" s="16"/>
    </row>
    <row r="6" s="14" customFormat="true" ht="16.5" hidden="false" customHeight="true" outlineLevel="0" collapsed="false">
      <c r="D6" s="21" t="s">
        <v>52</v>
      </c>
      <c r="F6" s="22" t="s">
        <v>389</v>
      </c>
      <c r="G6" s="23"/>
      <c r="Q6" s="16"/>
      <c r="R6" s="16"/>
    </row>
    <row r="7" customFormat="false" ht="16.5" hidden="false" customHeight="true" outlineLevel="0" collapsed="false">
      <c r="D7" s="21" t="s">
        <v>53</v>
      </c>
      <c r="F7" s="195" t="s">
        <v>249</v>
      </c>
      <c r="G7" s="196"/>
      <c r="I7" s="14"/>
      <c r="J7" s="14"/>
      <c r="K7" s="14"/>
    </row>
    <row r="8" s="14" customFormat="true" ht="16.5" hidden="false" customHeight="true" outlineLevel="0" collapsed="false">
      <c r="D8" s="21" t="s">
        <v>55</v>
      </c>
      <c r="F8" s="26" t="s">
        <v>247</v>
      </c>
      <c r="G8" s="26"/>
      <c r="H8" s="26"/>
      <c r="I8" s="26"/>
      <c r="J8" s="26"/>
      <c r="Q8" s="16"/>
      <c r="R8" s="16"/>
    </row>
    <row r="9" s="14" customFormat="true" ht="16.5" hidden="false" customHeight="true" outlineLevel="0" collapsed="false">
      <c r="D9" s="21"/>
      <c r="F9" s="26"/>
      <c r="G9" s="26"/>
      <c r="H9" s="26"/>
      <c r="I9" s="26"/>
      <c r="J9" s="26"/>
      <c r="N9" s="21"/>
      <c r="Q9" s="16"/>
      <c r="R9" s="16"/>
    </row>
    <row r="10" s="14" customFormat="true" ht="16.5" hidden="false" customHeight="true" outlineLevel="0" collapsed="false">
      <c r="F10" s="26"/>
      <c r="G10" s="26"/>
      <c r="H10" s="26"/>
      <c r="I10" s="26"/>
      <c r="J10" s="26"/>
      <c r="Q10" s="16"/>
      <c r="R10" s="16"/>
    </row>
    <row r="11" s="14" customFormat="true" ht="16.5" hidden="false" customHeight="true" outlineLevel="0" collapsed="false">
      <c r="D11" s="21" t="s">
        <v>59</v>
      </c>
      <c r="F11" s="197" t="n">
        <f aca="false">'SDLC-1 Model'!$D$13</f>
        <v>46508</v>
      </c>
      <c r="M11" s="21"/>
      <c r="Q11" s="16"/>
      <c r="R11" s="16"/>
    </row>
    <row r="12" s="14" customFormat="true" ht="16.5" hidden="false" customHeight="true" outlineLevel="0" collapsed="false">
      <c r="D12" s="21" t="s">
        <v>60</v>
      </c>
      <c r="F12" s="28" t="n">
        <f aca="false">$K$117</f>
        <v>0</v>
      </c>
      <c r="M12" s="21"/>
      <c r="Q12" s="16"/>
      <c r="R12" s="16"/>
    </row>
    <row r="13" s="14" customFormat="true" ht="17.25" hidden="false" customHeight="true" outlineLevel="0" collapsed="false">
      <c r="Q13" s="16"/>
      <c r="R13" s="16"/>
    </row>
    <row r="14" s="14" customFormat="true" ht="16.5" hidden="false" customHeight="true" outlineLevel="0" collapsed="false">
      <c r="C14" s="19" t="s">
        <v>61</v>
      </c>
      <c r="D14" s="19"/>
      <c r="E14" s="19"/>
      <c r="F14" s="19"/>
      <c r="G14" s="19"/>
      <c r="H14" s="19"/>
      <c r="I14" s="19"/>
      <c r="J14" s="19"/>
      <c r="L14" s="19"/>
      <c r="M14" s="19"/>
      <c r="N14" s="19"/>
      <c r="O14" s="19"/>
      <c r="P14" s="19"/>
      <c r="Q14" s="20"/>
      <c r="R14" s="20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19"/>
      <c r="BQ14" s="19"/>
      <c r="BR14" s="1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19"/>
      <c r="CH14" s="19"/>
      <c r="CI14" s="19"/>
      <c r="CJ14" s="19"/>
      <c r="CK14" s="19"/>
      <c r="CL14" s="19"/>
      <c r="CM14" s="19"/>
    </row>
    <row r="15" s="14" customFormat="true" ht="17.25" hidden="false" customHeight="true" outlineLevel="0" collapsed="false">
      <c r="Q15" s="16"/>
      <c r="R15" s="16"/>
    </row>
    <row r="16" s="14" customFormat="true" ht="17.25" hidden="false" customHeight="true" outlineLevel="0" collapsed="false">
      <c r="D16" s="29" t="s">
        <v>390</v>
      </c>
    </row>
    <row r="17" s="14" customFormat="true" ht="17.25" hidden="false" customHeight="true" outlineLevel="0" collapsed="false">
      <c r="D17" s="32" t="s">
        <v>67</v>
      </c>
      <c r="E17" s="33"/>
      <c r="F17" s="33"/>
      <c r="G17" s="33"/>
      <c r="H17" s="32" t="s">
        <v>68</v>
      </c>
      <c r="I17" s="32" t="s">
        <v>69</v>
      </c>
      <c r="J17" s="34" t="s">
        <v>70</v>
      </c>
    </row>
    <row r="18" s="14" customFormat="true" ht="17.25" hidden="false" customHeight="true" outlineLevel="0" collapsed="false">
      <c r="D18" s="33"/>
      <c r="E18" s="33" t="s">
        <v>290</v>
      </c>
      <c r="F18" s="33"/>
      <c r="G18" s="36"/>
      <c r="H18" s="198" t="s">
        <v>391</v>
      </c>
      <c r="I18" s="37" t="s">
        <v>92</v>
      </c>
      <c r="J18" s="199" t="n">
        <f aca="false">'SDLC-1 Model'!$D$44/1000000</f>
        <v>0</v>
      </c>
      <c r="P18" s="16"/>
      <c r="Q18" s="35"/>
      <c r="R18" s="16"/>
    </row>
    <row r="19" s="14" customFormat="true" ht="17.25" hidden="false" customHeight="true" outlineLevel="0" collapsed="false">
      <c r="D19" s="33"/>
      <c r="E19" s="33" t="s">
        <v>392</v>
      </c>
      <c r="F19" s="33"/>
      <c r="G19" s="36"/>
      <c r="H19" s="198" t="s">
        <v>391</v>
      </c>
      <c r="I19" s="37" t="s">
        <v>92</v>
      </c>
      <c r="J19" s="199" t="n">
        <f aca="false">'SDLC-1 Model'!$D$31/1000000</f>
        <v>0</v>
      </c>
      <c r="P19" s="16"/>
      <c r="Q19" s="35"/>
      <c r="R19" s="16"/>
    </row>
    <row r="20" s="14" customFormat="true" ht="17.25" hidden="false" customHeight="true" outlineLevel="0" collapsed="false">
      <c r="D20" s="33"/>
      <c r="E20" s="33" t="s">
        <v>393</v>
      </c>
      <c r="F20" s="33"/>
      <c r="G20" s="36"/>
      <c r="H20" s="198" t="s">
        <v>391</v>
      </c>
      <c r="I20" s="37" t="s">
        <v>92</v>
      </c>
      <c r="J20" s="200" t="n">
        <f aca="false">'SDLC-1 Model'!$D$45/1000000</f>
        <v>0</v>
      </c>
      <c r="L20" s="201"/>
      <c r="P20" s="16"/>
      <c r="Q20" s="35"/>
      <c r="R20" s="16"/>
    </row>
    <row r="21" s="14" customFormat="true" ht="17.25" hidden="false" customHeight="true" outlineLevel="0" collapsed="false">
      <c r="D21" s="33"/>
      <c r="E21" s="40"/>
      <c r="F21" s="40"/>
      <c r="G21" s="41"/>
      <c r="H21" s="202"/>
      <c r="I21" s="42"/>
      <c r="J21" s="55"/>
      <c r="P21" s="16"/>
      <c r="Q21" s="35"/>
      <c r="R21" s="16"/>
    </row>
    <row r="22" s="14" customFormat="true" ht="17.25" hidden="false" customHeight="true" outlineLevel="0" collapsed="false">
      <c r="D22" s="33"/>
      <c r="E22" s="33"/>
      <c r="F22" s="33"/>
      <c r="G22" s="36"/>
      <c r="H22" s="33"/>
      <c r="I22" s="37"/>
      <c r="J22" s="33"/>
      <c r="Q22" s="16"/>
      <c r="R22" s="16"/>
    </row>
    <row r="23" s="14" customFormat="true" ht="17.25" hidden="false" customHeight="true" outlineLevel="0" collapsed="false">
      <c r="D23" s="32" t="s">
        <v>94</v>
      </c>
      <c r="E23" s="33"/>
      <c r="F23" s="33"/>
      <c r="G23" s="36"/>
      <c r="H23" s="32"/>
      <c r="I23" s="32"/>
      <c r="J23" s="34"/>
      <c r="Q23" s="16"/>
      <c r="R23" s="16"/>
    </row>
    <row r="24" s="14" customFormat="true" ht="17.25" hidden="false" customHeight="true" outlineLevel="0" collapsed="false">
      <c r="D24" s="33"/>
      <c r="E24" s="33" t="s">
        <v>394</v>
      </c>
      <c r="F24" s="33"/>
      <c r="G24" s="36"/>
      <c r="H24" s="33" t="s">
        <v>395</v>
      </c>
      <c r="I24" s="37" t="s">
        <v>277</v>
      </c>
      <c r="J24" s="203" t="n">
        <f aca="false">'SDLC-1 Model'!$D$33*'SDLC-1 Model'!$D$34</f>
        <v>0.12</v>
      </c>
      <c r="Q24" s="16"/>
      <c r="R24" s="16"/>
    </row>
    <row r="25" s="14" customFormat="true" ht="17.25" hidden="false" customHeight="true" outlineLevel="0" collapsed="false">
      <c r="D25" s="33"/>
      <c r="E25" s="33" t="s">
        <v>396</v>
      </c>
      <c r="F25" s="33"/>
      <c r="G25" s="36"/>
      <c r="H25" s="33" t="s">
        <v>395</v>
      </c>
      <c r="I25" s="37" t="s">
        <v>277</v>
      </c>
      <c r="J25" s="203" t="n">
        <f aca="false">'SDLC-1 Model'!$D$35</f>
        <v>0.65</v>
      </c>
      <c r="Q25" s="16"/>
      <c r="R25" s="16"/>
    </row>
    <row r="26" s="14" customFormat="true" ht="17.25" hidden="false" customHeight="true" outlineLevel="0" collapsed="false">
      <c r="D26" s="33"/>
      <c r="E26" s="40"/>
      <c r="F26" s="40"/>
      <c r="G26" s="41"/>
      <c r="H26" s="40"/>
      <c r="I26" s="42"/>
      <c r="J26" s="55"/>
      <c r="K26" s="45"/>
      <c r="Q26" s="16"/>
      <c r="R26" s="16"/>
    </row>
    <row r="27" s="14" customFormat="true" ht="17.25" hidden="false" customHeight="true" outlineLevel="0" collapsed="false">
      <c r="D27" s="33"/>
      <c r="E27" s="46"/>
      <c r="F27" s="46"/>
      <c r="G27" s="47"/>
      <c r="H27" s="46"/>
      <c r="I27" s="48"/>
      <c r="J27" s="49"/>
      <c r="K27" s="50"/>
      <c r="Q27" s="16"/>
      <c r="R27" s="16"/>
    </row>
    <row r="28" s="14" customFormat="true" ht="17.25" hidden="false" customHeight="true" outlineLevel="0" collapsed="false">
      <c r="D28" s="32" t="s">
        <v>101</v>
      </c>
      <c r="E28" s="46"/>
      <c r="F28" s="46"/>
      <c r="G28" s="47"/>
      <c r="H28" s="46"/>
      <c r="I28" s="48"/>
      <c r="J28" s="49"/>
      <c r="K28" s="50"/>
      <c r="L28" s="51"/>
      <c r="Q28" s="16"/>
      <c r="R28" s="16"/>
    </row>
    <row r="29" s="14" customFormat="true" ht="17.25" hidden="false" customHeight="true" outlineLevel="0" collapsed="false">
      <c r="D29" s="32"/>
      <c r="E29" s="204" t="s">
        <v>397</v>
      </c>
      <c r="F29" s="40"/>
      <c r="G29" s="41"/>
      <c r="H29" s="40"/>
      <c r="I29" s="42" t="s">
        <v>92</v>
      </c>
      <c r="J29" s="205" t="n">
        <f aca="false">'SDLC-1 Model'!$D$47/1000000</f>
        <v>0</v>
      </c>
      <c r="Q29" s="16"/>
      <c r="R29" s="16"/>
    </row>
    <row r="30" s="14" customFormat="true" ht="17.25" hidden="false" customHeight="true" outlineLevel="0" collapsed="false">
      <c r="D30" s="16"/>
      <c r="E30" s="16"/>
      <c r="F30" s="16"/>
      <c r="G30" s="16"/>
      <c r="H30" s="16"/>
      <c r="I30" s="16"/>
      <c r="J30" s="16"/>
      <c r="Q30" s="16"/>
      <c r="R30" s="16"/>
    </row>
    <row r="31" s="14" customFormat="true" ht="17.25" hidden="true" customHeight="true" outlineLevel="1" collapsed="false">
      <c r="D31" s="32"/>
      <c r="E31" s="33"/>
      <c r="F31" s="33"/>
      <c r="G31" s="33"/>
      <c r="H31" s="32"/>
      <c r="I31" s="42"/>
      <c r="J31" s="34"/>
      <c r="Q31" s="16"/>
      <c r="R31" s="16"/>
    </row>
    <row r="32" s="14" customFormat="true" ht="17.25" hidden="true" customHeight="true" outlineLevel="1" collapsed="false">
      <c r="D32" s="33"/>
      <c r="E32" s="33"/>
      <c r="F32" s="33"/>
      <c r="G32" s="36"/>
      <c r="H32" s="198"/>
      <c r="I32" s="37"/>
      <c r="J32" s="38"/>
      <c r="Q32" s="16"/>
      <c r="R32" s="16"/>
    </row>
    <row r="33" s="14" customFormat="true" ht="17.25" hidden="true" customHeight="true" outlineLevel="1" collapsed="false">
      <c r="D33" s="33"/>
      <c r="E33" s="33"/>
      <c r="F33" s="33"/>
      <c r="G33" s="36"/>
      <c r="H33" s="33"/>
      <c r="I33" s="37"/>
      <c r="J33" s="39"/>
      <c r="Q33" s="16"/>
      <c r="R33" s="16"/>
    </row>
    <row r="34" s="14" customFormat="true" ht="17.25" hidden="true" customHeight="true" outlineLevel="1" collapsed="false">
      <c r="D34" s="33"/>
      <c r="E34" s="40"/>
      <c r="F34" s="40"/>
      <c r="G34" s="41"/>
      <c r="H34" s="40"/>
      <c r="I34" s="42"/>
      <c r="J34" s="53"/>
      <c r="Q34" s="16"/>
      <c r="R34" s="16"/>
    </row>
    <row r="35" s="14" customFormat="true" ht="17.25" hidden="true" customHeight="true" outlineLevel="1" collapsed="false">
      <c r="D35" s="33"/>
      <c r="E35" s="33"/>
      <c r="F35" s="33"/>
      <c r="G35" s="36"/>
      <c r="H35" s="33"/>
      <c r="I35" s="37"/>
      <c r="J35" s="33"/>
      <c r="Q35" s="16"/>
      <c r="R35" s="16"/>
    </row>
    <row r="36" s="14" customFormat="true" ht="17.25" hidden="true" customHeight="true" outlineLevel="1" collapsed="false">
      <c r="D36" s="32"/>
      <c r="E36" s="33"/>
      <c r="F36" s="33"/>
      <c r="G36" s="36"/>
      <c r="H36" s="32"/>
      <c r="I36" s="32"/>
      <c r="J36" s="34"/>
      <c r="Q36" s="16"/>
      <c r="R36" s="16"/>
    </row>
    <row r="37" s="14" customFormat="true" ht="17.25" hidden="true" customHeight="true" outlineLevel="1" collapsed="false">
      <c r="D37" s="33"/>
      <c r="E37" s="33"/>
      <c r="F37" s="33"/>
      <c r="G37" s="36"/>
      <c r="H37" s="33"/>
      <c r="I37" s="37"/>
      <c r="J37" s="54"/>
      <c r="Q37" s="16"/>
      <c r="R37" s="16"/>
    </row>
    <row r="38" s="14" customFormat="true" ht="17.25" hidden="true" customHeight="true" outlineLevel="1" collapsed="false">
      <c r="D38" s="33"/>
      <c r="E38" s="33"/>
      <c r="F38" s="33"/>
      <c r="G38" s="36"/>
      <c r="H38" s="33"/>
      <c r="I38" s="37"/>
      <c r="J38" s="44"/>
      <c r="Q38" s="16"/>
      <c r="R38" s="16"/>
    </row>
    <row r="39" s="14" customFormat="true" ht="17.25" hidden="true" customHeight="true" outlineLevel="1" collapsed="false">
      <c r="D39" s="33"/>
      <c r="E39" s="40"/>
      <c r="F39" s="40"/>
      <c r="G39" s="41"/>
      <c r="H39" s="40"/>
      <c r="I39" s="42"/>
      <c r="J39" s="53"/>
      <c r="Q39" s="16"/>
      <c r="R39" s="16"/>
    </row>
    <row r="40" s="14" customFormat="true" ht="17.25" hidden="true" customHeight="true" outlineLevel="1" collapsed="false">
      <c r="D40" s="33"/>
      <c r="E40" s="46"/>
      <c r="F40" s="46"/>
      <c r="G40" s="47"/>
      <c r="H40" s="46"/>
      <c r="I40" s="48"/>
      <c r="J40" s="49"/>
      <c r="Q40" s="16"/>
      <c r="R40" s="16"/>
    </row>
    <row r="41" s="14" customFormat="true" ht="17.25" hidden="true" customHeight="true" outlineLevel="1" collapsed="false">
      <c r="D41" s="32"/>
      <c r="E41" s="46"/>
      <c r="F41" s="46"/>
      <c r="G41" s="47"/>
      <c r="H41" s="46"/>
      <c r="I41" s="48"/>
      <c r="J41" s="49"/>
      <c r="Q41" s="16"/>
      <c r="R41" s="16"/>
    </row>
    <row r="42" s="14" customFormat="true" ht="17.25" hidden="true" customHeight="true" outlineLevel="1" collapsed="false">
      <c r="D42" s="32"/>
      <c r="E42" s="33"/>
      <c r="F42" s="46"/>
      <c r="G42" s="36"/>
      <c r="H42" s="46"/>
      <c r="I42" s="37"/>
      <c r="J42" s="52"/>
      <c r="Q42" s="16"/>
      <c r="R42" s="16"/>
    </row>
    <row r="43" s="14" customFormat="true" ht="17.25" hidden="true" customHeight="true" outlineLevel="1" collapsed="false">
      <c r="D43" s="32"/>
      <c r="E43" s="33"/>
      <c r="F43" s="46"/>
      <c r="G43" s="36"/>
      <c r="H43" s="46"/>
      <c r="I43" s="37"/>
      <c r="J43" s="55"/>
      <c r="Q43" s="16"/>
      <c r="R43" s="16"/>
    </row>
    <row r="44" s="14" customFormat="true" ht="17.25" hidden="false" customHeight="true" outlineLevel="0" collapsed="false">
      <c r="E44" s="21"/>
      <c r="F44" s="21"/>
      <c r="G44" s="21"/>
      <c r="H44" s="21"/>
      <c r="I44" s="56"/>
      <c r="J44" s="57"/>
      <c r="Q44" s="16"/>
      <c r="R44" s="16"/>
    </row>
    <row r="45" s="14" customFormat="true" ht="17.25" hidden="true" customHeight="true" outlineLevel="1" collapsed="false">
      <c r="D45" s="32"/>
      <c r="E45" s="33"/>
      <c r="F45" s="33"/>
      <c r="G45" s="33"/>
      <c r="H45" s="32"/>
      <c r="I45" s="32"/>
      <c r="J45" s="34"/>
      <c r="Q45" s="16"/>
      <c r="R45" s="16"/>
    </row>
    <row r="46" s="14" customFormat="true" ht="17.25" hidden="true" customHeight="true" outlineLevel="1" collapsed="false">
      <c r="D46" s="33"/>
      <c r="E46" s="33"/>
      <c r="F46" s="33"/>
      <c r="G46" s="36"/>
      <c r="H46" s="33"/>
      <c r="I46" s="37"/>
      <c r="J46" s="38"/>
      <c r="Q46" s="16"/>
      <c r="R46" s="16"/>
    </row>
    <row r="47" s="14" customFormat="true" ht="17.25" hidden="true" customHeight="true" outlineLevel="1" collapsed="false">
      <c r="D47" s="33"/>
      <c r="E47" s="33"/>
      <c r="F47" s="33"/>
      <c r="G47" s="36"/>
      <c r="H47" s="33"/>
      <c r="I47" s="37"/>
      <c r="J47" s="39"/>
      <c r="Q47" s="16"/>
      <c r="R47" s="16"/>
    </row>
    <row r="48" s="14" customFormat="true" ht="17.25" hidden="true" customHeight="true" outlineLevel="1" collapsed="false">
      <c r="D48" s="33"/>
      <c r="E48" s="40"/>
      <c r="F48" s="40"/>
      <c r="G48" s="41"/>
      <c r="H48" s="40"/>
      <c r="I48" s="42"/>
      <c r="J48" s="53"/>
      <c r="Q48" s="16"/>
      <c r="R48" s="16"/>
    </row>
    <row r="49" s="14" customFormat="true" ht="17.25" hidden="true" customHeight="true" outlineLevel="1" collapsed="false">
      <c r="D49" s="33"/>
      <c r="E49" s="33"/>
      <c r="F49" s="33"/>
      <c r="G49" s="36"/>
      <c r="H49" s="33"/>
      <c r="I49" s="37"/>
      <c r="J49" s="33"/>
      <c r="Q49" s="16"/>
      <c r="R49" s="16"/>
    </row>
    <row r="50" s="14" customFormat="true" ht="17.25" hidden="true" customHeight="true" outlineLevel="1" collapsed="false">
      <c r="D50" s="32"/>
      <c r="E50" s="33"/>
      <c r="F50" s="33"/>
      <c r="G50" s="36"/>
      <c r="H50" s="32"/>
      <c r="I50" s="32"/>
      <c r="J50" s="34"/>
      <c r="Q50" s="16"/>
      <c r="R50" s="16"/>
    </row>
    <row r="51" s="14" customFormat="true" ht="17.25" hidden="true" customHeight="true" outlineLevel="1" collapsed="false">
      <c r="D51" s="33"/>
      <c r="E51" s="33"/>
      <c r="F51" s="33"/>
      <c r="G51" s="36"/>
      <c r="H51" s="33"/>
      <c r="I51" s="37"/>
      <c r="J51" s="54"/>
      <c r="Q51" s="16"/>
      <c r="R51" s="16"/>
    </row>
    <row r="52" s="14" customFormat="true" ht="17.25" hidden="true" customHeight="true" outlineLevel="1" collapsed="false">
      <c r="D52" s="33"/>
      <c r="E52" s="33"/>
      <c r="F52" s="33"/>
      <c r="G52" s="36"/>
      <c r="H52" s="33"/>
      <c r="I52" s="37"/>
      <c r="J52" s="44"/>
      <c r="Q52" s="16"/>
      <c r="R52" s="16"/>
    </row>
    <row r="53" s="14" customFormat="true" ht="17.25" hidden="true" customHeight="true" outlineLevel="1" collapsed="false">
      <c r="D53" s="33"/>
      <c r="E53" s="40"/>
      <c r="F53" s="40"/>
      <c r="G53" s="41"/>
      <c r="H53" s="40"/>
      <c r="I53" s="42"/>
      <c r="J53" s="53"/>
      <c r="Q53" s="16"/>
      <c r="R53" s="16"/>
    </row>
    <row r="54" s="14" customFormat="true" ht="17.25" hidden="true" customHeight="true" outlineLevel="1" collapsed="false">
      <c r="D54" s="33"/>
      <c r="E54" s="46"/>
      <c r="F54" s="46"/>
      <c r="G54" s="47"/>
      <c r="H54" s="46"/>
      <c r="I54" s="48"/>
      <c r="J54" s="49"/>
      <c r="Q54" s="16"/>
      <c r="R54" s="16"/>
    </row>
    <row r="55" s="14" customFormat="true" ht="17.25" hidden="true" customHeight="true" outlineLevel="1" collapsed="false">
      <c r="D55" s="32"/>
      <c r="E55" s="46"/>
      <c r="F55" s="46"/>
      <c r="G55" s="47"/>
      <c r="H55" s="46"/>
      <c r="I55" s="48"/>
      <c r="J55" s="49"/>
      <c r="Q55" s="16"/>
      <c r="R55" s="16"/>
    </row>
    <row r="56" s="14" customFormat="true" ht="17.25" hidden="true" customHeight="true" outlineLevel="1" collapsed="false">
      <c r="D56" s="32"/>
      <c r="E56" s="33"/>
      <c r="F56" s="46"/>
      <c r="G56" s="36"/>
      <c r="H56" s="46"/>
      <c r="I56" s="37"/>
      <c r="J56" s="52"/>
      <c r="Q56" s="16"/>
      <c r="R56" s="16"/>
    </row>
    <row r="57" s="14" customFormat="true" ht="17.25" hidden="true" customHeight="true" outlineLevel="1" collapsed="false">
      <c r="D57" s="32"/>
      <c r="E57" s="33"/>
      <c r="F57" s="46"/>
      <c r="G57" s="36"/>
      <c r="H57" s="46"/>
      <c r="I57" s="37"/>
      <c r="J57" s="55"/>
      <c r="Q57" s="16"/>
      <c r="R57" s="16"/>
    </row>
    <row r="58" s="14" customFormat="true" ht="17.25" hidden="true" customHeight="true" outlineLevel="1" collapsed="false">
      <c r="E58" s="21"/>
      <c r="F58" s="21"/>
      <c r="G58" s="21"/>
      <c r="H58" s="21"/>
      <c r="I58" s="56"/>
      <c r="J58" s="57"/>
      <c r="Q58" s="16"/>
      <c r="R58" s="16"/>
    </row>
    <row r="59" s="14" customFormat="true" ht="16.5" hidden="true" customHeight="true" outlineLevel="1" collapsed="false">
      <c r="H59" s="58"/>
      <c r="Q59" s="16"/>
      <c r="R59" s="16"/>
    </row>
    <row r="60" s="14" customFormat="true" ht="16.5" hidden="false" customHeight="true" outlineLevel="0" collapsed="false">
      <c r="C60" s="19" t="s">
        <v>116</v>
      </c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20"/>
      <c r="R60" s="20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/>
      <c r="BG60" s="19"/>
      <c r="BH60" s="19"/>
      <c r="BI60" s="19"/>
      <c r="BJ60" s="19"/>
      <c r="BK60" s="19"/>
      <c r="BL60" s="19"/>
      <c r="BM60" s="19"/>
      <c r="BN60" s="19"/>
      <c r="BO60" s="19"/>
      <c r="BP60" s="19"/>
      <c r="BQ60" s="19"/>
      <c r="BR60" s="19"/>
      <c r="BS60" s="19"/>
      <c r="BT60" s="19"/>
      <c r="BU60" s="19"/>
      <c r="BV60" s="19"/>
      <c r="BW60" s="19"/>
      <c r="BX60" s="19"/>
      <c r="BY60" s="19"/>
      <c r="BZ60" s="19"/>
      <c r="CA60" s="19"/>
      <c r="CC60" s="19" t="s">
        <v>117</v>
      </c>
      <c r="CD60" s="19"/>
      <c r="CE60" s="19"/>
      <c r="CF60" s="19"/>
      <c r="CG60" s="19"/>
      <c r="CI60" s="19" t="s">
        <v>118</v>
      </c>
      <c r="CJ60" s="19"/>
      <c r="CK60" s="19"/>
      <c r="CL60" s="19"/>
      <c r="CM60" s="19"/>
    </row>
    <row r="61" s="14" customFormat="true" ht="16.5" hidden="false" customHeight="true" outlineLevel="0" collapsed="false">
      <c r="Q61" s="16"/>
    </row>
    <row r="62" s="14" customFormat="true" ht="16.5" hidden="false" customHeight="true" outlineLevel="0" collapsed="false">
      <c r="Q62" s="16"/>
      <c r="R62" s="16"/>
      <c r="T62" s="62" t="n">
        <v>2026</v>
      </c>
      <c r="U62" s="129"/>
      <c r="V62" s="129"/>
      <c r="W62" s="129"/>
      <c r="X62" s="129"/>
      <c r="Y62" s="129"/>
      <c r="Z62" s="129"/>
      <c r="AA62" s="129"/>
      <c r="AB62" s="129"/>
      <c r="AC62" s="129"/>
      <c r="AD62" s="129"/>
      <c r="AE62" s="129"/>
      <c r="AF62" s="62" t="n">
        <v>2027</v>
      </c>
      <c r="AG62" s="129"/>
      <c r="AH62" s="129"/>
      <c r="AI62" s="129"/>
      <c r="AJ62" s="129"/>
      <c r="AK62" s="129"/>
      <c r="AL62" s="129"/>
      <c r="AM62" s="129"/>
      <c r="AN62" s="129"/>
      <c r="AO62" s="129"/>
      <c r="AP62" s="129"/>
      <c r="AQ62" s="129"/>
      <c r="AR62" s="62" t="n">
        <v>2028</v>
      </c>
      <c r="AS62" s="129"/>
      <c r="AT62" s="129"/>
      <c r="AU62" s="129"/>
      <c r="AV62" s="129"/>
      <c r="AW62" s="129"/>
      <c r="AX62" s="129"/>
      <c r="AY62" s="129"/>
      <c r="AZ62" s="129"/>
      <c r="BA62" s="129"/>
      <c r="BB62" s="129"/>
      <c r="BC62" s="129"/>
      <c r="BD62" s="62" t="n">
        <v>2029</v>
      </c>
      <c r="BE62" s="129"/>
      <c r="BF62" s="129"/>
      <c r="BG62" s="129"/>
      <c r="BH62" s="129"/>
      <c r="BI62" s="129"/>
      <c r="BJ62" s="129"/>
      <c r="BK62" s="129"/>
      <c r="BL62" s="129"/>
      <c r="BM62" s="129"/>
      <c r="BN62" s="129"/>
      <c r="BO62" s="129"/>
      <c r="BP62" s="62" t="n">
        <v>2030</v>
      </c>
      <c r="BQ62" s="130"/>
      <c r="BR62" s="130"/>
      <c r="BS62" s="130"/>
      <c r="BT62" s="130"/>
      <c r="BU62" s="130"/>
      <c r="BV62" s="130"/>
      <c r="BW62" s="130"/>
      <c r="BX62" s="130"/>
      <c r="BY62" s="130"/>
      <c r="BZ62" s="130"/>
      <c r="CA62" s="130"/>
      <c r="CC62" s="206"/>
      <c r="CD62" s="130"/>
      <c r="CE62" s="130"/>
      <c r="CF62" s="130"/>
      <c r="CG62" s="130"/>
      <c r="CI62" s="206" t="s">
        <v>398</v>
      </c>
      <c r="CJ62" s="206"/>
      <c r="CK62" s="206"/>
      <c r="CL62" s="206"/>
      <c r="CM62" s="206"/>
    </row>
    <row r="63" s="14" customFormat="true" ht="16.5" hidden="false" customHeight="true" outlineLevel="0" collapsed="false">
      <c r="D63" s="30" t="s">
        <v>119</v>
      </c>
      <c r="E63" s="31"/>
      <c r="F63" s="31"/>
      <c r="G63" s="31"/>
      <c r="H63" s="30" t="s">
        <v>120</v>
      </c>
      <c r="I63" s="31" t="s">
        <v>67</v>
      </c>
      <c r="J63" s="31" t="s">
        <v>94</v>
      </c>
      <c r="K63" s="31" t="s">
        <v>121</v>
      </c>
      <c r="L63" s="31" t="n">
        <v>2026</v>
      </c>
      <c r="M63" s="31" t="n">
        <f aca="false">L63+1</f>
        <v>2027</v>
      </c>
      <c r="N63" s="31" t="n">
        <f aca="false">M63+1</f>
        <v>2028</v>
      </c>
      <c r="O63" s="31" t="n">
        <f aca="false">N63+1</f>
        <v>2029</v>
      </c>
      <c r="P63" s="31" t="n">
        <f aca="false">O63+1</f>
        <v>2030</v>
      </c>
      <c r="Q63" s="31" t="s">
        <v>122</v>
      </c>
      <c r="R63" s="31" t="s">
        <v>65</v>
      </c>
      <c r="T63" s="59" t="n">
        <v>46023</v>
      </c>
      <c r="U63" s="60" t="n">
        <f aca="false">EOMONTH(T63, 1)</f>
        <v>46081</v>
      </c>
      <c r="V63" s="60" t="n">
        <f aca="false">EOMONTH(U63, 1)</f>
        <v>46112</v>
      </c>
      <c r="W63" s="60" t="n">
        <f aca="false">EOMONTH(V63, 1)</f>
        <v>46142</v>
      </c>
      <c r="X63" s="60" t="n">
        <f aca="false">EOMONTH(W63, 1)</f>
        <v>46173</v>
      </c>
      <c r="Y63" s="60" t="n">
        <f aca="false">EOMONTH(X63, 1)</f>
        <v>46203</v>
      </c>
      <c r="Z63" s="60" t="n">
        <f aca="false">EOMONTH(Y63, 1)</f>
        <v>46234</v>
      </c>
      <c r="AA63" s="60" t="n">
        <f aca="false">EOMONTH(Z63, 1)</f>
        <v>46265</v>
      </c>
      <c r="AB63" s="60" t="n">
        <f aca="false">EOMONTH(AA63, 1)</f>
        <v>46295</v>
      </c>
      <c r="AC63" s="60" t="n">
        <f aca="false">EOMONTH(AB63, 1)</f>
        <v>46326</v>
      </c>
      <c r="AD63" s="60" t="n">
        <f aca="false">EOMONTH(AC63, 1)</f>
        <v>46356</v>
      </c>
      <c r="AE63" s="61" t="n">
        <f aca="false">EOMONTH(AD63, 1)</f>
        <v>46387</v>
      </c>
      <c r="AF63" s="59" t="n">
        <f aca="false">EOMONTH(AE63, 1)</f>
        <v>46418</v>
      </c>
      <c r="AG63" s="60" t="n">
        <f aca="false">EOMONTH(AF63, 1)</f>
        <v>46446</v>
      </c>
      <c r="AH63" s="60" t="n">
        <f aca="false">EOMONTH(AG63, 1)</f>
        <v>46477</v>
      </c>
      <c r="AI63" s="60" t="n">
        <f aca="false">EOMONTH(AH63, 1)</f>
        <v>46507</v>
      </c>
      <c r="AJ63" s="60" t="n">
        <f aca="false">EOMONTH(AI63, 1)</f>
        <v>46538</v>
      </c>
      <c r="AK63" s="60" t="n">
        <f aca="false">EOMONTH(AJ63, 1)</f>
        <v>46568</v>
      </c>
      <c r="AL63" s="60" t="n">
        <f aca="false">EOMONTH(AK63, 1)</f>
        <v>46599</v>
      </c>
      <c r="AM63" s="60" t="n">
        <f aca="false">EOMONTH(AL63, 1)</f>
        <v>46630</v>
      </c>
      <c r="AN63" s="60" t="n">
        <f aca="false">EOMONTH(AM63, 1)</f>
        <v>46660</v>
      </c>
      <c r="AO63" s="60" t="n">
        <f aca="false">EOMONTH(AN63, 1)</f>
        <v>46691</v>
      </c>
      <c r="AP63" s="60" t="n">
        <f aca="false">EOMONTH(AO63, 1)</f>
        <v>46721</v>
      </c>
      <c r="AQ63" s="61" t="n">
        <f aca="false">EOMONTH(AP63, 1)</f>
        <v>46752</v>
      </c>
      <c r="AR63" s="59" t="n">
        <f aca="false">EOMONTH(AQ63, 1)</f>
        <v>46783</v>
      </c>
      <c r="AS63" s="60" t="n">
        <f aca="false">EOMONTH(AR63, 1)</f>
        <v>46812</v>
      </c>
      <c r="AT63" s="60" t="n">
        <f aca="false">EOMONTH(AS63, 1)</f>
        <v>46843</v>
      </c>
      <c r="AU63" s="60" t="n">
        <f aca="false">EOMONTH(AT63, 1)</f>
        <v>46873</v>
      </c>
      <c r="AV63" s="60" t="n">
        <f aca="false">EOMONTH(AU63, 1)</f>
        <v>46904</v>
      </c>
      <c r="AW63" s="60" t="n">
        <f aca="false">EOMONTH(AV63, 1)</f>
        <v>46934</v>
      </c>
      <c r="AX63" s="60" t="n">
        <f aca="false">EOMONTH(AW63, 1)</f>
        <v>46965</v>
      </c>
      <c r="AY63" s="60" t="n">
        <f aca="false">EOMONTH(AX63, 1)</f>
        <v>46996</v>
      </c>
      <c r="AZ63" s="60" t="n">
        <f aca="false">EOMONTH(AY63, 1)</f>
        <v>47026</v>
      </c>
      <c r="BA63" s="60" t="n">
        <f aca="false">EOMONTH(AZ63, 1)</f>
        <v>47057</v>
      </c>
      <c r="BB63" s="60" t="n">
        <f aca="false">EOMONTH(BA63, 1)</f>
        <v>47087</v>
      </c>
      <c r="BC63" s="61" t="n">
        <f aca="false">EOMONTH(BB63, 1)</f>
        <v>47118</v>
      </c>
      <c r="BD63" s="59" t="n">
        <f aca="false">EOMONTH(BC63, 1)</f>
        <v>47149</v>
      </c>
      <c r="BE63" s="60" t="n">
        <f aca="false">EOMONTH(BD63, 1)</f>
        <v>47177</v>
      </c>
      <c r="BF63" s="60" t="n">
        <f aca="false">EOMONTH(BE63, 1)</f>
        <v>47208</v>
      </c>
      <c r="BG63" s="60" t="n">
        <f aca="false">EOMONTH(BF63, 1)</f>
        <v>47238</v>
      </c>
      <c r="BH63" s="60" t="n">
        <f aca="false">EOMONTH(BG63, 1)</f>
        <v>47269</v>
      </c>
      <c r="BI63" s="60" t="n">
        <f aca="false">EOMONTH(BH63, 1)</f>
        <v>47299</v>
      </c>
      <c r="BJ63" s="60" t="n">
        <f aca="false">EOMONTH(BI63, 1)</f>
        <v>47330</v>
      </c>
      <c r="BK63" s="60" t="n">
        <f aca="false">EOMONTH(BJ63, 1)</f>
        <v>47361</v>
      </c>
      <c r="BL63" s="60" t="n">
        <f aca="false">EOMONTH(BK63, 1)</f>
        <v>47391</v>
      </c>
      <c r="BM63" s="60" t="n">
        <f aca="false">EOMONTH(BL63, 1)</f>
        <v>47422</v>
      </c>
      <c r="BN63" s="60" t="n">
        <f aca="false">EOMONTH(BM63, 1)</f>
        <v>47452</v>
      </c>
      <c r="BO63" s="61" t="n">
        <f aca="false">EOMONTH(BN63, 1)</f>
        <v>47483</v>
      </c>
      <c r="BP63" s="59" t="n">
        <f aca="false">EOMONTH(BO63, 1)</f>
        <v>47514</v>
      </c>
      <c r="BQ63" s="60" t="n">
        <f aca="false">EOMONTH(BP63, 1)</f>
        <v>47542</v>
      </c>
      <c r="BR63" s="60" t="n">
        <f aca="false">EOMONTH(BQ63, 1)</f>
        <v>47573</v>
      </c>
      <c r="BS63" s="60" t="n">
        <f aca="false">EOMONTH(BR63, 1)</f>
        <v>47603</v>
      </c>
      <c r="BT63" s="60" t="n">
        <f aca="false">EOMONTH(BS63, 1)</f>
        <v>47634</v>
      </c>
      <c r="BU63" s="60" t="n">
        <f aca="false">EOMONTH(BT63, 1)</f>
        <v>47664</v>
      </c>
      <c r="BV63" s="60" t="n">
        <f aca="false">EOMONTH(BU63, 1)</f>
        <v>47695</v>
      </c>
      <c r="BW63" s="60" t="n">
        <f aca="false">EOMONTH(BV63, 1)</f>
        <v>47726</v>
      </c>
      <c r="BX63" s="60" t="n">
        <f aca="false">EOMONTH(BW63, 1)</f>
        <v>47756</v>
      </c>
      <c r="BY63" s="60" t="n">
        <f aca="false">EOMONTH(BX63, 1)</f>
        <v>47787</v>
      </c>
      <c r="BZ63" s="60" t="n">
        <f aca="false">EOMONTH(BY63, 1)</f>
        <v>47817</v>
      </c>
      <c r="CA63" s="60" t="n">
        <f aca="false">EOMONTH(BZ63, 1)</f>
        <v>47848</v>
      </c>
      <c r="CC63" s="62" t="n">
        <v>2026</v>
      </c>
      <c r="CD63" s="62" t="n">
        <f aca="false">CC63+1</f>
        <v>2027</v>
      </c>
      <c r="CE63" s="62" t="n">
        <f aca="false">CD63+1</f>
        <v>2028</v>
      </c>
      <c r="CF63" s="62" t="n">
        <f aca="false">CE63+1</f>
        <v>2029</v>
      </c>
      <c r="CG63" s="62" t="n">
        <f aca="false">CF63+1</f>
        <v>2030</v>
      </c>
      <c r="CI63" s="62" t="n">
        <v>2026</v>
      </c>
      <c r="CJ63" s="62" t="n">
        <f aca="false">CI63+1</f>
        <v>2027</v>
      </c>
      <c r="CK63" s="62" t="n">
        <f aca="false">CJ63+1</f>
        <v>2028</v>
      </c>
      <c r="CL63" s="62" t="n">
        <f aca="false">CK63+1</f>
        <v>2029</v>
      </c>
      <c r="CM63" s="62" t="n">
        <f aca="false">CL63+1</f>
        <v>2030</v>
      </c>
    </row>
    <row r="64" s="14" customFormat="true" ht="16.5" hidden="false" customHeight="true" outlineLevel="0" collapsed="false">
      <c r="D64" s="63"/>
      <c r="E64" s="64" t="s">
        <v>92</v>
      </c>
      <c r="H64" s="16"/>
      <c r="I64" s="65" t="str">
        <f aca="false">$H$18</f>
        <v>TTM 6/1/26</v>
      </c>
      <c r="J64" s="65" t="s">
        <v>124</v>
      </c>
      <c r="K64" s="65" t="s">
        <v>125</v>
      </c>
      <c r="L64" s="66"/>
      <c r="M64" s="66"/>
      <c r="N64" s="66"/>
      <c r="O64" s="66"/>
      <c r="P64" s="66"/>
      <c r="Q64" s="16"/>
      <c r="R64" s="16"/>
      <c r="T64" s="66"/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7"/>
      <c r="AG64" s="66"/>
      <c r="AH64" s="66"/>
      <c r="AI64" s="66"/>
      <c r="AJ64" s="66"/>
      <c r="AK64" s="66"/>
      <c r="AL64" s="66"/>
      <c r="AM64" s="66"/>
      <c r="AN64" s="66"/>
      <c r="AO64" s="66"/>
      <c r="AP64" s="66"/>
      <c r="AQ64" s="66"/>
      <c r="AR64" s="67"/>
      <c r="AS64" s="66"/>
      <c r="AT64" s="66"/>
      <c r="AU64" s="66"/>
      <c r="AV64" s="66"/>
      <c r="AW64" s="66"/>
      <c r="AX64" s="66"/>
      <c r="AY64" s="66"/>
      <c r="AZ64" s="66"/>
      <c r="BA64" s="66"/>
      <c r="BB64" s="66"/>
      <c r="BC64" s="66"/>
      <c r="BD64" s="67"/>
      <c r="BE64" s="66"/>
      <c r="BF64" s="66"/>
      <c r="BG64" s="66"/>
      <c r="BH64" s="66"/>
      <c r="BI64" s="66"/>
      <c r="BJ64" s="66"/>
      <c r="BK64" s="66"/>
      <c r="BL64" s="66"/>
      <c r="BM64" s="66"/>
      <c r="BN64" s="66"/>
      <c r="BO64" s="66"/>
      <c r="BP64" s="67"/>
      <c r="BQ64" s="66"/>
      <c r="BR64" s="66"/>
      <c r="BS64" s="66"/>
      <c r="BT64" s="66"/>
      <c r="BU64" s="66"/>
      <c r="BV64" s="66"/>
      <c r="BW64" s="66"/>
      <c r="BX64" s="66"/>
      <c r="BY64" s="66"/>
      <c r="BZ64" s="66"/>
      <c r="CA64" s="66"/>
    </row>
    <row r="65" s="14" customFormat="true" ht="16.5" hidden="false" customHeight="true" outlineLevel="0" collapsed="false">
      <c r="E65" s="68" t="s">
        <v>126</v>
      </c>
      <c r="F65" s="21"/>
      <c r="G65" s="21"/>
      <c r="H65" s="16"/>
      <c r="I65" s="65"/>
      <c r="J65" s="65"/>
      <c r="K65" s="65"/>
      <c r="Q65" s="16"/>
      <c r="R65" s="16"/>
      <c r="AF65" s="69"/>
      <c r="AR65" s="69"/>
      <c r="BD65" s="69"/>
      <c r="BP65" s="69"/>
    </row>
    <row r="66" s="14" customFormat="true" ht="16.5" hidden="false" customHeight="true" outlineLevel="0" collapsed="false">
      <c r="E66" s="70"/>
      <c r="H66" s="71"/>
      <c r="I66" s="76" t="n">
        <v>0</v>
      </c>
      <c r="J66" s="76" t="n">
        <v>0</v>
      </c>
      <c r="K66" s="207" t="n">
        <f aca="false">J66-I66</f>
        <v>0</v>
      </c>
      <c r="L66" s="76"/>
      <c r="M66" s="76"/>
      <c r="N66" s="76"/>
      <c r="O66" s="76"/>
      <c r="P66" s="77"/>
      <c r="Q66" s="75"/>
      <c r="R66" s="16" t="str">
        <f aca="false">IF(K66=P66, "", "Error")</f>
        <v/>
      </c>
      <c r="T66" s="76"/>
      <c r="U66" s="76"/>
      <c r="V66" s="76"/>
      <c r="W66" s="76"/>
      <c r="X66" s="76"/>
      <c r="Y66" s="76"/>
      <c r="Z66" s="76"/>
      <c r="AA66" s="76"/>
      <c r="AB66" s="76"/>
      <c r="AC66" s="76"/>
      <c r="AD66" s="76"/>
      <c r="AE66" s="77"/>
      <c r="AF66" s="78"/>
      <c r="AG66" s="76"/>
      <c r="AH66" s="76"/>
      <c r="AI66" s="76"/>
      <c r="AJ66" s="76"/>
      <c r="AK66" s="76"/>
      <c r="AL66" s="76"/>
      <c r="AM66" s="76"/>
      <c r="AN66" s="76"/>
      <c r="AO66" s="76"/>
      <c r="AP66" s="76"/>
      <c r="AQ66" s="77"/>
      <c r="AR66" s="78"/>
      <c r="AS66" s="76"/>
      <c r="AT66" s="76"/>
      <c r="AU66" s="76"/>
      <c r="AV66" s="76"/>
      <c r="AW66" s="76"/>
      <c r="AX66" s="76"/>
      <c r="AY66" s="76"/>
      <c r="AZ66" s="76"/>
      <c r="BA66" s="76"/>
      <c r="BB66" s="76"/>
      <c r="BC66" s="77"/>
      <c r="BD66" s="78"/>
      <c r="BE66" s="76"/>
      <c r="BF66" s="76"/>
      <c r="BG66" s="76"/>
      <c r="BH66" s="76"/>
      <c r="BI66" s="76"/>
      <c r="BJ66" s="76"/>
      <c r="BK66" s="76"/>
      <c r="BL66" s="76"/>
      <c r="BM66" s="76"/>
      <c r="BN66" s="76"/>
      <c r="BO66" s="77"/>
      <c r="BP66" s="78"/>
      <c r="BQ66" s="76"/>
      <c r="BR66" s="76"/>
      <c r="BS66" s="76"/>
      <c r="BT66" s="76"/>
      <c r="BU66" s="76"/>
      <c r="BV66" s="76"/>
      <c r="BW66" s="76"/>
      <c r="BX66" s="76"/>
      <c r="BY66" s="76"/>
      <c r="BZ66" s="76"/>
      <c r="CA66" s="76"/>
      <c r="CC66" s="79" t="n">
        <f aca="false">SUMIFS($T66:$CA66, $T$1:$CA$1, CC$63)</f>
        <v>0</v>
      </c>
      <c r="CD66" s="79" t="n">
        <f aca="false">SUMIFS($T66:$CA66, $T$1:$CA$1, CD$63)</f>
        <v>0</v>
      </c>
      <c r="CE66" s="79" t="n">
        <f aca="false">SUMIFS($T66:$CA66, $T$1:$CA$1, CE$63)</f>
        <v>0</v>
      </c>
      <c r="CF66" s="79" t="n">
        <f aca="false">SUMIFS($T66:$CA66, $T$1:$CA$1, CF$63)</f>
        <v>0</v>
      </c>
      <c r="CG66" s="79" t="n">
        <f aca="false">SUMIFS($T66:$CA66, $T$1:$CA$1, CG$63)</f>
        <v>0</v>
      </c>
      <c r="CI66" s="79" t="n">
        <f aca="false">CC66=L66</f>
        <v>1</v>
      </c>
      <c r="CJ66" s="79" t="n">
        <f aca="false">CD66=M66</f>
        <v>1</v>
      </c>
      <c r="CK66" s="79" t="n">
        <f aca="false">CE66=N66</f>
        <v>1</v>
      </c>
      <c r="CL66" s="79" t="n">
        <f aca="false">CF66=O66</f>
        <v>1</v>
      </c>
      <c r="CM66" s="79" t="n">
        <f aca="false">CG66=P66</f>
        <v>1</v>
      </c>
    </row>
    <row r="67" s="14" customFormat="true" ht="16.5" hidden="false" customHeight="true" outlineLevel="0" collapsed="false">
      <c r="E67" s="70"/>
      <c r="H67" s="71"/>
      <c r="I67" s="76" t="n">
        <v>0</v>
      </c>
      <c r="J67" s="76" t="n">
        <v>0</v>
      </c>
      <c r="K67" s="207" t="n">
        <f aca="false">J67-I67</f>
        <v>0</v>
      </c>
      <c r="L67" s="76"/>
      <c r="M67" s="76"/>
      <c r="N67" s="76"/>
      <c r="O67" s="76"/>
      <c r="P67" s="77"/>
      <c r="Q67" s="75"/>
      <c r="R67" s="16" t="str">
        <f aca="false">IF(K67=P67, "", "Error")</f>
        <v/>
      </c>
      <c r="T67" s="76"/>
      <c r="U67" s="76"/>
      <c r="V67" s="76"/>
      <c r="W67" s="76"/>
      <c r="X67" s="76"/>
      <c r="Y67" s="76"/>
      <c r="Z67" s="76"/>
      <c r="AA67" s="76"/>
      <c r="AB67" s="76"/>
      <c r="AC67" s="76"/>
      <c r="AD67" s="76"/>
      <c r="AE67" s="77"/>
      <c r="AF67" s="78"/>
      <c r="AG67" s="76"/>
      <c r="AH67" s="76"/>
      <c r="AI67" s="76"/>
      <c r="AJ67" s="76"/>
      <c r="AK67" s="76"/>
      <c r="AL67" s="76"/>
      <c r="AM67" s="76"/>
      <c r="AN67" s="76"/>
      <c r="AO67" s="76"/>
      <c r="AP67" s="76"/>
      <c r="AQ67" s="77"/>
      <c r="AR67" s="78"/>
      <c r="AS67" s="76"/>
      <c r="AT67" s="76"/>
      <c r="AU67" s="76"/>
      <c r="AV67" s="76"/>
      <c r="AW67" s="76"/>
      <c r="AX67" s="76"/>
      <c r="AY67" s="76"/>
      <c r="AZ67" s="76"/>
      <c r="BA67" s="76"/>
      <c r="BB67" s="76"/>
      <c r="BC67" s="77"/>
      <c r="BD67" s="78"/>
      <c r="BE67" s="76"/>
      <c r="BF67" s="76"/>
      <c r="BG67" s="76"/>
      <c r="BH67" s="76"/>
      <c r="BI67" s="76"/>
      <c r="BJ67" s="76"/>
      <c r="BK67" s="76"/>
      <c r="BL67" s="76"/>
      <c r="BM67" s="76"/>
      <c r="BN67" s="76"/>
      <c r="BO67" s="77"/>
      <c r="BP67" s="78"/>
      <c r="BQ67" s="76"/>
      <c r="BR67" s="76"/>
      <c r="BS67" s="76"/>
      <c r="BT67" s="76"/>
      <c r="BU67" s="76"/>
      <c r="BV67" s="76"/>
      <c r="BW67" s="76"/>
      <c r="BX67" s="76"/>
      <c r="BY67" s="76"/>
      <c r="BZ67" s="76"/>
      <c r="CA67" s="76"/>
      <c r="CC67" s="79" t="n">
        <f aca="false">SUMIFS($T67:$CA67, $T$1:$CA$1, CC$63)</f>
        <v>0</v>
      </c>
      <c r="CD67" s="79" t="n">
        <f aca="false">SUMIFS($T67:$CA67, $T$1:$CA$1, CD$63)</f>
        <v>0</v>
      </c>
      <c r="CE67" s="79" t="n">
        <f aca="false">SUMIFS($T67:$CA67, $T$1:$CA$1, CE$63)</f>
        <v>0</v>
      </c>
      <c r="CF67" s="79" t="n">
        <f aca="false">SUMIFS($T67:$CA67, $T$1:$CA$1, CF$63)</f>
        <v>0</v>
      </c>
      <c r="CG67" s="79" t="n">
        <f aca="false">SUMIFS($T67:$CA67, $T$1:$CA$1, CG$63)</f>
        <v>0</v>
      </c>
      <c r="CI67" s="79" t="n">
        <f aca="false">CC67=L67</f>
        <v>1</v>
      </c>
      <c r="CJ67" s="79" t="n">
        <f aca="false">CD67=M67</f>
        <v>1</v>
      </c>
      <c r="CK67" s="79" t="n">
        <f aca="false">CE67=N67</f>
        <v>1</v>
      </c>
      <c r="CL67" s="79" t="n">
        <f aca="false">CF67=O67</f>
        <v>1</v>
      </c>
      <c r="CM67" s="79" t="n">
        <f aca="false">CG67=P67</f>
        <v>1</v>
      </c>
    </row>
    <row r="68" s="14" customFormat="true" ht="16.5" hidden="false" customHeight="true" outlineLevel="0" collapsed="false">
      <c r="E68" s="80" t="s">
        <v>127</v>
      </c>
      <c r="H68" s="71"/>
      <c r="I68" s="82" t="n">
        <f aca="false">SUM(I66:I67)</f>
        <v>0</v>
      </c>
      <c r="J68" s="82" t="n">
        <f aca="false">SUM(J66:J67)</f>
        <v>0</v>
      </c>
      <c r="K68" s="82" t="n">
        <f aca="false">SUM(K66:K67)</f>
        <v>0</v>
      </c>
      <c r="L68" s="82" t="n">
        <f aca="false">SUM(L66:L67)</f>
        <v>0</v>
      </c>
      <c r="M68" s="82" t="n">
        <f aca="false">SUM(M66:M67)</f>
        <v>0</v>
      </c>
      <c r="N68" s="82" t="n">
        <f aca="false">SUM(N66:N67)</f>
        <v>0</v>
      </c>
      <c r="O68" s="82" t="n">
        <f aca="false">SUM(O66:O67)</f>
        <v>0</v>
      </c>
      <c r="P68" s="82" t="n">
        <f aca="false">SUM(P66:P67)</f>
        <v>0</v>
      </c>
      <c r="Q68" s="16"/>
      <c r="R68" s="16"/>
      <c r="T68" s="82" t="n">
        <f aca="false">SUM(T66:T67)</f>
        <v>0</v>
      </c>
      <c r="U68" s="82" t="n">
        <f aca="false">SUM(U66:U67)</f>
        <v>0</v>
      </c>
      <c r="V68" s="82" t="n">
        <f aca="false">SUM(V66:V67)</f>
        <v>0</v>
      </c>
      <c r="W68" s="82" t="n">
        <f aca="false">SUM(W66:W67)</f>
        <v>0</v>
      </c>
      <c r="X68" s="82" t="n">
        <f aca="false">SUM(X66:X67)</f>
        <v>0</v>
      </c>
      <c r="Y68" s="82" t="n">
        <f aca="false">SUM(Y66:Y67)</f>
        <v>0</v>
      </c>
      <c r="Z68" s="82" t="n">
        <f aca="false">SUM(Z66:Z67)</f>
        <v>0</v>
      </c>
      <c r="AA68" s="82" t="n">
        <f aca="false">SUM(AA66:AA67)</f>
        <v>0</v>
      </c>
      <c r="AB68" s="82" t="n">
        <f aca="false">SUM(AB66:AB67)</f>
        <v>0</v>
      </c>
      <c r="AC68" s="82" t="n">
        <f aca="false">SUM(AC66:AC67)</f>
        <v>0</v>
      </c>
      <c r="AD68" s="82" t="n">
        <f aca="false">SUM(AD66:AD67)</f>
        <v>0</v>
      </c>
      <c r="AE68" s="82" t="n">
        <f aca="false">SUM(AE66:AE67)</f>
        <v>0</v>
      </c>
      <c r="AF68" s="83" t="n">
        <f aca="false">SUM(AF66:AF67)</f>
        <v>0</v>
      </c>
      <c r="AG68" s="82" t="n">
        <f aca="false">SUM(AG66:AG67)</f>
        <v>0</v>
      </c>
      <c r="AH68" s="82" t="n">
        <f aca="false">SUM(AH66:AH67)</f>
        <v>0</v>
      </c>
      <c r="AI68" s="82" t="n">
        <f aca="false">SUM(AI66:AI67)</f>
        <v>0</v>
      </c>
      <c r="AJ68" s="82" t="n">
        <f aca="false">SUM(AJ66:AJ67)</f>
        <v>0</v>
      </c>
      <c r="AK68" s="82" t="n">
        <f aca="false">SUM(AK66:AK67)</f>
        <v>0</v>
      </c>
      <c r="AL68" s="82" t="n">
        <f aca="false">SUM(AL66:AL67)</f>
        <v>0</v>
      </c>
      <c r="AM68" s="82" t="n">
        <f aca="false">SUM(AM66:AM67)</f>
        <v>0</v>
      </c>
      <c r="AN68" s="82" t="n">
        <f aca="false">SUM(AN66:AN67)</f>
        <v>0</v>
      </c>
      <c r="AO68" s="82" t="n">
        <f aca="false">SUM(AO66:AO67)</f>
        <v>0</v>
      </c>
      <c r="AP68" s="82" t="n">
        <f aca="false">SUM(AP66:AP67)</f>
        <v>0</v>
      </c>
      <c r="AQ68" s="82" t="n">
        <f aca="false">SUM(AQ66:AQ67)</f>
        <v>0</v>
      </c>
      <c r="AR68" s="83" t="n">
        <f aca="false">SUM(AR66:AR67)</f>
        <v>0</v>
      </c>
      <c r="AS68" s="82" t="n">
        <f aca="false">SUM(AS66:AS67)</f>
        <v>0</v>
      </c>
      <c r="AT68" s="82" t="n">
        <f aca="false">SUM(AT66:AT67)</f>
        <v>0</v>
      </c>
      <c r="AU68" s="82" t="n">
        <f aca="false">SUM(AU66:AU67)</f>
        <v>0</v>
      </c>
      <c r="AV68" s="82" t="n">
        <f aca="false">SUM(AV66:AV67)</f>
        <v>0</v>
      </c>
      <c r="AW68" s="82" t="n">
        <f aca="false">SUM(AW66:AW67)</f>
        <v>0</v>
      </c>
      <c r="AX68" s="82" t="n">
        <f aca="false">SUM(AX66:AX67)</f>
        <v>0</v>
      </c>
      <c r="AY68" s="82" t="n">
        <f aca="false">SUM(AY66:AY67)</f>
        <v>0</v>
      </c>
      <c r="AZ68" s="82" t="n">
        <f aca="false">SUM(AZ66:AZ67)</f>
        <v>0</v>
      </c>
      <c r="BA68" s="82" t="n">
        <f aca="false">SUM(BA66:BA67)</f>
        <v>0</v>
      </c>
      <c r="BB68" s="82" t="n">
        <f aca="false">SUM(BB66:BB67)</f>
        <v>0</v>
      </c>
      <c r="BC68" s="82" t="n">
        <f aca="false">SUM(BC66:BC67)</f>
        <v>0</v>
      </c>
      <c r="BD68" s="83" t="n">
        <f aca="false">SUM(BD66:BD67)</f>
        <v>0</v>
      </c>
      <c r="BE68" s="82" t="n">
        <f aca="false">SUM(BE66:BE67)</f>
        <v>0</v>
      </c>
      <c r="BF68" s="82" t="n">
        <f aca="false">SUM(BF66:BF67)</f>
        <v>0</v>
      </c>
      <c r="BG68" s="82" t="n">
        <f aca="false">SUM(BG66:BG67)</f>
        <v>0</v>
      </c>
      <c r="BH68" s="82" t="n">
        <f aca="false">SUM(BH66:BH67)</f>
        <v>0</v>
      </c>
      <c r="BI68" s="82" t="n">
        <f aca="false">SUM(BI66:BI67)</f>
        <v>0</v>
      </c>
      <c r="BJ68" s="82" t="n">
        <f aca="false">SUM(BJ66:BJ67)</f>
        <v>0</v>
      </c>
      <c r="BK68" s="82" t="n">
        <f aca="false">SUM(BK66:BK67)</f>
        <v>0</v>
      </c>
      <c r="BL68" s="82" t="n">
        <f aca="false">SUM(BL66:BL67)</f>
        <v>0</v>
      </c>
      <c r="BM68" s="82" t="n">
        <f aca="false">SUM(BM66:BM67)</f>
        <v>0</v>
      </c>
      <c r="BN68" s="82" t="n">
        <f aca="false">SUM(BN66:BN67)</f>
        <v>0</v>
      </c>
      <c r="BO68" s="82" t="n">
        <f aca="false">SUM(BO66:BO67)</f>
        <v>0</v>
      </c>
      <c r="BP68" s="83" t="n">
        <f aca="false">SUM(BP66:BP67)</f>
        <v>0</v>
      </c>
      <c r="BQ68" s="82" t="n">
        <f aca="false">SUM(BQ66:BQ67)</f>
        <v>0</v>
      </c>
      <c r="BR68" s="82" t="n">
        <f aca="false">SUM(BR66:BR67)</f>
        <v>0</v>
      </c>
      <c r="BS68" s="82" t="n">
        <f aca="false">SUM(BS66:BS67)</f>
        <v>0</v>
      </c>
      <c r="BT68" s="82" t="n">
        <f aca="false">SUM(BT66:BT67)</f>
        <v>0</v>
      </c>
      <c r="BU68" s="82" t="n">
        <f aca="false">SUM(BU66:BU67)</f>
        <v>0</v>
      </c>
      <c r="BV68" s="82" t="n">
        <f aca="false">SUM(BV66:BV67)</f>
        <v>0</v>
      </c>
      <c r="BW68" s="82" t="n">
        <f aca="false">SUM(BW66:BW67)</f>
        <v>0</v>
      </c>
      <c r="BX68" s="82" t="n">
        <f aca="false">SUM(BX66:BX67)</f>
        <v>0</v>
      </c>
      <c r="BY68" s="82" t="n">
        <f aca="false">SUM(BY66:BY67)</f>
        <v>0</v>
      </c>
      <c r="BZ68" s="82" t="n">
        <f aca="false">SUM(BZ66:BZ67)</f>
        <v>0</v>
      </c>
      <c r="CA68" s="82" t="n">
        <f aca="false">SUM(CA66:CA67)</f>
        <v>0</v>
      </c>
      <c r="CC68" s="84" t="n">
        <f aca="false">SUM(CC66:CC67)</f>
        <v>0</v>
      </c>
      <c r="CD68" s="84" t="n">
        <f aca="false">SUM(CD66:CD67)</f>
        <v>0</v>
      </c>
      <c r="CE68" s="84" t="n">
        <f aca="false">SUM(CE66:CE67)</f>
        <v>0</v>
      </c>
      <c r="CF68" s="84" t="n">
        <f aca="false">SUM(CF66:CF67)</f>
        <v>0</v>
      </c>
      <c r="CG68" s="84" t="n">
        <f aca="false">SUM(CG66:CG67)</f>
        <v>0</v>
      </c>
      <c r="CI68" s="84" t="n">
        <f aca="false">CC68=L68</f>
        <v>1</v>
      </c>
      <c r="CJ68" s="84" t="n">
        <f aca="false">CD68=M68</f>
        <v>1</v>
      </c>
      <c r="CK68" s="84" t="n">
        <f aca="false">CE68=N68</f>
        <v>1</v>
      </c>
      <c r="CL68" s="84" t="n">
        <f aca="false">CF68=O68</f>
        <v>1</v>
      </c>
      <c r="CM68" s="84" t="n">
        <f aca="false">CG68=P68</f>
        <v>1</v>
      </c>
    </row>
    <row r="69" s="14" customFormat="true" ht="16.5" hidden="false" customHeight="true" outlineLevel="0" collapsed="false">
      <c r="E69" s="85"/>
      <c r="H69" s="86"/>
      <c r="I69" s="88"/>
      <c r="J69" s="88"/>
      <c r="K69" s="88"/>
      <c r="L69" s="88"/>
      <c r="M69" s="88"/>
      <c r="N69" s="88"/>
      <c r="O69" s="88"/>
      <c r="P69" s="88"/>
      <c r="Q69" s="16"/>
      <c r="R69" s="16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9"/>
      <c r="AG69" s="88"/>
      <c r="AH69" s="88"/>
      <c r="AI69" s="88"/>
      <c r="AJ69" s="88"/>
      <c r="AK69" s="88"/>
      <c r="AL69" s="88"/>
      <c r="AM69" s="88"/>
      <c r="AN69" s="88"/>
      <c r="AO69" s="88"/>
      <c r="AP69" s="88"/>
      <c r="AQ69" s="88"/>
      <c r="AR69" s="89"/>
      <c r="AS69" s="88"/>
      <c r="AT69" s="88"/>
      <c r="AU69" s="88"/>
      <c r="AV69" s="88"/>
      <c r="AW69" s="88"/>
      <c r="AX69" s="88"/>
      <c r="AY69" s="88"/>
      <c r="AZ69" s="88"/>
      <c r="BA69" s="88"/>
      <c r="BB69" s="88"/>
      <c r="BC69" s="88"/>
      <c r="BD69" s="89"/>
      <c r="BE69" s="88"/>
      <c r="BF69" s="88"/>
      <c r="BG69" s="88"/>
      <c r="BH69" s="88"/>
      <c r="BI69" s="88"/>
      <c r="BJ69" s="88"/>
      <c r="BK69" s="88"/>
      <c r="BL69" s="88"/>
      <c r="BM69" s="88"/>
      <c r="BN69" s="88"/>
      <c r="BO69" s="88"/>
      <c r="BP69" s="89"/>
      <c r="BQ69" s="88"/>
      <c r="BR69" s="88"/>
      <c r="BS69" s="88"/>
      <c r="BT69" s="88"/>
      <c r="BU69" s="88"/>
      <c r="BV69" s="88"/>
      <c r="BW69" s="88"/>
      <c r="BX69" s="88"/>
      <c r="BY69" s="88"/>
      <c r="BZ69" s="88"/>
      <c r="CA69" s="88"/>
      <c r="CC69" s="90"/>
      <c r="CD69" s="90"/>
      <c r="CE69" s="90"/>
      <c r="CF69" s="90"/>
      <c r="CG69" s="90"/>
      <c r="CI69" s="90"/>
      <c r="CJ69" s="90"/>
      <c r="CK69" s="90"/>
      <c r="CL69" s="90"/>
      <c r="CM69" s="90"/>
    </row>
    <row r="70" s="14" customFormat="true" ht="16.5" hidden="false" customHeight="true" outlineLevel="0" collapsed="false">
      <c r="E70" s="21" t="s">
        <v>128</v>
      </c>
      <c r="H70" s="71"/>
      <c r="I70" s="88"/>
      <c r="J70" s="88"/>
      <c r="K70" s="88"/>
      <c r="L70" s="88"/>
      <c r="M70" s="88"/>
      <c r="N70" s="88"/>
      <c r="O70" s="88"/>
      <c r="P70" s="88"/>
      <c r="Q70" s="16"/>
      <c r="R70" s="16"/>
      <c r="T70" s="88"/>
      <c r="U70" s="88"/>
      <c r="V70" s="88"/>
      <c r="W70" s="88"/>
      <c r="X70" s="88"/>
      <c r="Y70" s="88"/>
      <c r="Z70" s="88"/>
      <c r="AA70" s="88"/>
      <c r="AB70" s="88"/>
      <c r="AC70" s="88"/>
      <c r="AD70" s="88"/>
      <c r="AE70" s="88"/>
      <c r="AF70" s="89"/>
      <c r="AG70" s="88"/>
      <c r="AH70" s="88"/>
      <c r="AI70" s="88"/>
      <c r="AJ70" s="88"/>
      <c r="AK70" s="88"/>
      <c r="AL70" s="88"/>
      <c r="AM70" s="88"/>
      <c r="AN70" s="88"/>
      <c r="AO70" s="88"/>
      <c r="AP70" s="88"/>
      <c r="AQ70" s="88"/>
      <c r="AR70" s="89"/>
      <c r="AS70" s="88"/>
      <c r="AT70" s="88"/>
      <c r="AU70" s="88"/>
      <c r="AV70" s="88"/>
      <c r="AW70" s="88"/>
      <c r="AX70" s="88"/>
      <c r="AY70" s="88"/>
      <c r="AZ70" s="88"/>
      <c r="BA70" s="88"/>
      <c r="BB70" s="88"/>
      <c r="BC70" s="88"/>
      <c r="BD70" s="89"/>
      <c r="BE70" s="88"/>
      <c r="BF70" s="88"/>
      <c r="BG70" s="88"/>
      <c r="BH70" s="88"/>
      <c r="BI70" s="88"/>
      <c r="BJ70" s="88"/>
      <c r="BK70" s="88"/>
      <c r="BL70" s="88"/>
      <c r="BM70" s="88"/>
      <c r="BN70" s="88"/>
      <c r="BO70" s="88"/>
      <c r="BP70" s="89"/>
      <c r="BQ70" s="88"/>
      <c r="BR70" s="88"/>
      <c r="BS70" s="88"/>
      <c r="BT70" s="88"/>
      <c r="BU70" s="88"/>
      <c r="BV70" s="88"/>
      <c r="BW70" s="88"/>
      <c r="BX70" s="88"/>
      <c r="BY70" s="88"/>
      <c r="BZ70" s="88"/>
      <c r="CA70" s="88"/>
      <c r="CC70" s="90"/>
      <c r="CD70" s="90"/>
      <c r="CE70" s="90"/>
      <c r="CF70" s="90"/>
      <c r="CG70" s="90"/>
      <c r="CI70" s="90"/>
      <c r="CJ70" s="90"/>
      <c r="CK70" s="90"/>
      <c r="CL70" s="90"/>
      <c r="CM70" s="90"/>
    </row>
    <row r="71" s="14" customFormat="true" ht="16.5" hidden="false" customHeight="true" outlineLevel="0" collapsed="false">
      <c r="E71" s="91"/>
      <c r="H71" s="71"/>
      <c r="I71" s="91"/>
      <c r="J71" s="91"/>
      <c r="K71" s="207" t="n">
        <f aca="false">I71-J71</f>
        <v>0</v>
      </c>
      <c r="L71" s="91"/>
      <c r="M71" s="91"/>
      <c r="N71" s="91"/>
      <c r="O71" s="91"/>
      <c r="P71" s="91"/>
      <c r="Q71" s="93"/>
      <c r="R71" s="16" t="str">
        <f aca="false">IF(K71=P71, "", "Error")</f>
        <v/>
      </c>
      <c r="T71" s="91"/>
      <c r="U71" s="91"/>
      <c r="V71" s="91"/>
      <c r="W71" s="91"/>
      <c r="X71" s="91"/>
      <c r="Y71" s="91"/>
      <c r="Z71" s="91"/>
      <c r="AA71" s="91"/>
      <c r="AB71" s="91"/>
      <c r="AC71" s="91"/>
      <c r="AD71" s="91"/>
      <c r="AE71" s="94"/>
      <c r="AF71" s="95"/>
      <c r="AG71" s="91"/>
      <c r="AH71" s="91"/>
      <c r="AI71" s="91"/>
      <c r="AJ71" s="91"/>
      <c r="AK71" s="91"/>
      <c r="AL71" s="91"/>
      <c r="AM71" s="91"/>
      <c r="AN71" s="91"/>
      <c r="AO71" s="91"/>
      <c r="AP71" s="91"/>
      <c r="AQ71" s="94"/>
      <c r="AR71" s="95"/>
      <c r="AS71" s="91"/>
      <c r="AT71" s="91"/>
      <c r="AU71" s="91"/>
      <c r="AV71" s="91"/>
      <c r="AW71" s="91"/>
      <c r="AX71" s="91"/>
      <c r="AY71" s="91"/>
      <c r="AZ71" s="91"/>
      <c r="BA71" s="91"/>
      <c r="BB71" s="91"/>
      <c r="BC71" s="94"/>
      <c r="BD71" s="95"/>
      <c r="BE71" s="91"/>
      <c r="BF71" s="91"/>
      <c r="BG71" s="91"/>
      <c r="BH71" s="91"/>
      <c r="BI71" s="91"/>
      <c r="BJ71" s="91"/>
      <c r="BK71" s="91"/>
      <c r="BL71" s="91"/>
      <c r="BM71" s="91"/>
      <c r="BN71" s="91"/>
      <c r="BO71" s="94"/>
      <c r="BP71" s="95"/>
      <c r="BQ71" s="91"/>
      <c r="BR71" s="91"/>
      <c r="BS71" s="91"/>
      <c r="BT71" s="91"/>
      <c r="BU71" s="91"/>
      <c r="BV71" s="91"/>
      <c r="BW71" s="91"/>
      <c r="BX71" s="91"/>
      <c r="BY71" s="91"/>
      <c r="BZ71" s="91"/>
      <c r="CA71" s="91"/>
      <c r="CC71" s="79" t="n">
        <f aca="false">SUMIFS($T71:$CA71, $T$1:$CA$1, CC$63)</f>
        <v>0</v>
      </c>
      <c r="CD71" s="79" t="n">
        <f aca="false">SUMIFS($T71:$CA71, $T$1:$CA$1, CD$63)</f>
        <v>0</v>
      </c>
      <c r="CE71" s="79" t="n">
        <f aca="false">SUMIFS($T71:$CA71, $T$1:$CA$1, CE$63)</f>
        <v>0</v>
      </c>
      <c r="CF71" s="79" t="n">
        <f aca="false">SUMIFS($T71:$CA71, $T$1:$CA$1, CF$63)</f>
        <v>0</v>
      </c>
      <c r="CG71" s="79" t="n">
        <f aca="false">SUMIFS($T71:$CA71, $T$1:$CA$1, CG$63)</f>
        <v>0</v>
      </c>
      <c r="CI71" s="79" t="n">
        <f aca="false">CC71=L71</f>
        <v>1</v>
      </c>
      <c r="CJ71" s="79" t="n">
        <f aca="false">CD71=M71</f>
        <v>1</v>
      </c>
      <c r="CK71" s="79" t="n">
        <f aca="false">CE71=N71</f>
        <v>1</v>
      </c>
      <c r="CL71" s="79" t="n">
        <f aca="false">CF71=O71</f>
        <v>1</v>
      </c>
      <c r="CM71" s="79" t="n">
        <f aca="false">CG71=P71</f>
        <v>1</v>
      </c>
    </row>
    <row r="72" s="14" customFormat="true" ht="16.5" hidden="false" customHeight="true" outlineLevel="0" collapsed="false">
      <c r="E72" s="91"/>
      <c r="H72" s="71"/>
      <c r="I72" s="91" t="n">
        <v>0</v>
      </c>
      <c r="J72" s="91" t="n">
        <v>0</v>
      </c>
      <c r="K72" s="207" t="n">
        <f aca="false">I72-J72</f>
        <v>0</v>
      </c>
      <c r="L72" s="91"/>
      <c r="M72" s="91"/>
      <c r="N72" s="91"/>
      <c r="O72" s="91"/>
      <c r="P72" s="91"/>
      <c r="Q72" s="93"/>
      <c r="R72" s="16" t="str">
        <f aca="false">IF(K72=P72, "", "Error")</f>
        <v/>
      </c>
      <c r="T72" s="91"/>
      <c r="U72" s="91"/>
      <c r="V72" s="91"/>
      <c r="W72" s="91"/>
      <c r="X72" s="91"/>
      <c r="Y72" s="91"/>
      <c r="Z72" s="91"/>
      <c r="AA72" s="91"/>
      <c r="AB72" s="91"/>
      <c r="AC72" s="91"/>
      <c r="AD72" s="91"/>
      <c r="AE72" s="94"/>
      <c r="AF72" s="95"/>
      <c r="AG72" s="91"/>
      <c r="AH72" s="91"/>
      <c r="AI72" s="91"/>
      <c r="AJ72" s="91"/>
      <c r="AK72" s="91"/>
      <c r="AL72" s="91"/>
      <c r="AM72" s="91"/>
      <c r="AN72" s="91"/>
      <c r="AO72" s="91"/>
      <c r="AP72" s="91"/>
      <c r="AQ72" s="94"/>
      <c r="AR72" s="95"/>
      <c r="AS72" s="91"/>
      <c r="AT72" s="91"/>
      <c r="AU72" s="91"/>
      <c r="AV72" s="91"/>
      <c r="AW72" s="91"/>
      <c r="AX72" s="91"/>
      <c r="AY72" s="91"/>
      <c r="AZ72" s="91"/>
      <c r="BA72" s="91"/>
      <c r="BB72" s="91"/>
      <c r="BC72" s="94"/>
      <c r="BD72" s="95"/>
      <c r="BE72" s="91"/>
      <c r="BF72" s="91"/>
      <c r="BG72" s="91"/>
      <c r="BH72" s="91"/>
      <c r="BI72" s="91"/>
      <c r="BJ72" s="91"/>
      <c r="BK72" s="91"/>
      <c r="BL72" s="91"/>
      <c r="BM72" s="91"/>
      <c r="BN72" s="91"/>
      <c r="BO72" s="94"/>
      <c r="BP72" s="95"/>
      <c r="BQ72" s="91"/>
      <c r="BR72" s="91"/>
      <c r="BS72" s="91"/>
      <c r="BT72" s="91"/>
      <c r="BU72" s="91"/>
      <c r="BV72" s="91"/>
      <c r="BW72" s="91"/>
      <c r="BX72" s="91"/>
      <c r="BY72" s="91"/>
      <c r="BZ72" s="91"/>
      <c r="CA72" s="91"/>
      <c r="CC72" s="79" t="n">
        <f aca="false">SUMIFS($T72:$CA72, $T$1:$CA$1, CC$63)</f>
        <v>0</v>
      </c>
      <c r="CD72" s="79" t="n">
        <f aca="false">SUMIFS($T72:$CA72, $T$1:$CA$1, CD$63)</f>
        <v>0</v>
      </c>
      <c r="CE72" s="79" t="n">
        <f aca="false">SUMIFS($T72:$CA72, $T$1:$CA$1, CE$63)</f>
        <v>0</v>
      </c>
      <c r="CF72" s="79" t="n">
        <f aca="false">SUMIFS($T72:$CA72, $T$1:$CA$1, CF$63)</f>
        <v>0</v>
      </c>
      <c r="CG72" s="79" t="n">
        <f aca="false">SUMIFS($T72:$CA72, $T$1:$CA$1, CG$63)</f>
        <v>0</v>
      </c>
      <c r="CI72" s="79" t="n">
        <f aca="false">CC72=L72</f>
        <v>1</v>
      </c>
      <c r="CJ72" s="79" t="n">
        <f aca="false">CD72=M72</f>
        <v>1</v>
      </c>
      <c r="CK72" s="79" t="n">
        <f aca="false">CE72=N72</f>
        <v>1</v>
      </c>
      <c r="CL72" s="79" t="n">
        <f aca="false">CF72=O72</f>
        <v>1</v>
      </c>
      <c r="CM72" s="79" t="n">
        <f aca="false">CG72=P72</f>
        <v>1</v>
      </c>
    </row>
    <row r="73" s="14" customFormat="true" ht="16.5" hidden="false" customHeight="true" outlineLevel="0" collapsed="false">
      <c r="E73" s="91"/>
      <c r="H73" s="71"/>
      <c r="I73" s="91" t="n">
        <v>0</v>
      </c>
      <c r="J73" s="91" t="n">
        <v>0</v>
      </c>
      <c r="K73" s="207" t="n">
        <f aca="false">I73-J73</f>
        <v>0</v>
      </c>
      <c r="L73" s="91"/>
      <c r="M73" s="91"/>
      <c r="N73" s="91"/>
      <c r="O73" s="91"/>
      <c r="P73" s="91"/>
      <c r="Q73" s="93"/>
      <c r="R73" s="16" t="str">
        <f aca="false">IF(K73=P73, "", "Error")</f>
        <v/>
      </c>
      <c r="T73" s="91"/>
      <c r="U73" s="91"/>
      <c r="V73" s="91"/>
      <c r="W73" s="91"/>
      <c r="X73" s="91"/>
      <c r="Y73" s="91"/>
      <c r="Z73" s="91"/>
      <c r="AA73" s="91"/>
      <c r="AB73" s="91"/>
      <c r="AC73" s="91"/>
      <c r="AD73" s="91"/>
      <c r="AE73" s="94"/>
      <c r="AF73" s="95"/>
      <c r="AG73" s="91"/>
      <c r="AH73" s="91"/>
      <c r="AI73" s="91"/>
      <c r="AJ73" s="91"/>
      <c r="AK73" s="91"/>
      <c r="AL73" s="91"/>
      <c r="AM73" s="91"/>
      <c r="AN73" s="91"/>
      <c r="AO73" s="91"/>
      <c r="AP73" s="91"/>
      <c r="AQ73" s="94"/>
      <c r="AR73" s="95"/>
      <c r="AS73" s="91"/>
      <c r="AT73" s="91"/>
      <c r="AU73" s="91"/>
      <c r="AV73" s="91"/>
      <c r="AW73" s="91"/>
      <c r="AX73" s="91"/>
      <c r="AY73" s="91"/>
      <c r="AZ73" s="91"/>
      <c r="BA73" s="91"/>
      <c r="BB73" s="91"/>
      <c r="BC73" s="94"/>
      <c r="BD73" s="95"/>
      <c r="BE73" s="91"/>
      <c r="BF73" s="91"/>
      <c r="BG73" s="91"/>
      <c r="BH73" s="91"/>
      <c r="BI73" s="91"/>
      <c r="BJ73" s="91"/>
      <c r="BK73" s="91"/>
      <c r="BL73" s="91"/>
      <c r="BM73" s="91"/>
      <c r="BN73" s="91"/>
      <c r="BO73" s="94"/>
      <c r="BP73" s="95"/>
      <c r="BQ73" s="91"/>
      <c r="BR73" s="91"/>
      <c r="BS73" s="91"/>
      <c r="BT73" s="91"/>
      <c r="BU73" s="91"/>
      <c r="BV73" s="91"/>
      <c r="BW73" s="91"/>
      <c r="BX73" s="91"/>
      <c r="BY73" s="91"/>
      <c r="BZ73" s="91"/>
      <c r="CA73" s="91"/>
      <c r="CC73" s="79" t="n">
        <f aca="false">SUMIFS($T73:$CA73, $T$1:$CA$1, CC$63)</f>
        <v>0</v>
      </c>
      <c r="CD73" s="79" t="n">
        <f aca="false">SUMIFS($T73:$CA73, $T$1:$CA$1, CD$63)</f>
        <v>0</v>
      </c>
      <c r="CE73" s="79" t="n">
        <f aca="false">SUMIFS($T73:$CA73, $T$1:$CA$1, CE$63)</f>
        <v>0</v>
      </c>
      <c r="CF73" s="79" t="n">
        <f aca="false">SUMIFS($T73:$CA73, $T$1:$CA$1, CF$63)</f>
        <v>0</v>
      </c>
      <c r="CG73" s="79" t="n">
        <f aca="false">SUMIFS($T73:$CA73, $T$1:$CA$1, CG$63)</f>
        <v>0</v>
      </c>
      <c r="CI73" s="79" t="n">
        <f aca="false">CC73=L73</f>
        <v>1</v>
      </c>
      <c r="CJ73" s="79" t="n">
        <f aca="false">CD73=M73</f>
        <v>1</v>
      </c>
      <c r="CK73" s="79" t="n">
        <f aca="false">CE73=N73</f>
        <v>1</v>
      </c>
      <c r="CL73" s="79" t="n">
        <f aca="false">CF73=O73</f>
        <v>1</v>
      </c>
      <c r="CM73" s="79" t="n">
        <f aca="false">CG73=P73</f>
        <v>1</v>
      </c>
    </row>
    <row r="74" s="14" customFormat="true" ht="16.5" hidden="false" customHeight="true" outlineLevel="0" collapsed="false">
      <c r="E74" s="91"/>
      <c r="H74" s="71"/>
      <c r="I74" s="91" t="n">
        <v>0</v>
      </c>
      <c r="J74" s="91" t="n">
        <v>0</v>
      </c>
      <c r="K74" s="207" t="n">
        <f aca="false">I74-J74</f>
        <v>0</v>
      </c>
      <c r="L74" s="91"/>
      <c r="M74" s="91"/>
      <c r="N74" s="91"/>
      <c r="O74" s="91"/>
      <c r="P74" s="91"/>
      <c r="Q74" s="93"/>
      <c r="R74" s="16" t="str">
        <f aca="false">IF(K74=P74, "", "Error")</f>
        <v/>
      </c>
      <c r="T74" s="91"/>
      <c r="U74" s="91"/>
      <c r="V74" s="91"/>
      <c r="W74" s="91"/>
      <c r="X74" s="91"/>
      <c r="Y74" s="91"/>
      <c r="Z74" s="91"/>
      <c r="AA74" s="91"/>
      <c r="AB74" s="91"/>
      <c r="AC74" s="91"/>
      <c r="AD74" s="91"/>
      <c r="AE74" s="94"/>
      <c r="AF74" s="95"/>
      <c r="AG74" s="91"/>
      <c r="AH74" s="91"/>
      <c r="AI74" s="91"/>
      <c r="AJ74" s="91"/>
      <c r="AK74" s="91"/>
      <c r="AL74" s="91"/>
      <c r="AM74" s="91"/>
      <c r="AN74" s="91"/>
      <c r="AO74" s="91"/>
      <c r="AP74" s="91"/>
      <c r="AQ74" s="94"/>
      <c r="AR74" s="95"/>
      <c r="AS74" s="91"/>
      <c r="AT74" s="91"/>
      <c r="AU74" s="91"/>
      <c r="AV74" s="91"/>
      <c r="AW74" s="91"/>
      <c r="AX74" s="91"/>
      <c r="AY74" s="91"/>
      <c r="AZ74" s="91"/>
      <c r="BA74" s="91"/>
      <c r="BB74" s="91"/>
      <c r="BC74" s="94"/>
      <c r="BD74" s="95"/>
      <c r="BE74" s="91"/>
      <c r="BF74" s="91"/>
      <c r="BG74" s="91"/>
      <c r="BH74" s="91"/>
      <c r="BI74" s="91"/>
      <c r="BJ74" s="91"/>
      <c r="BK74" s="91"/>
      <c r="BL74" s="91"/>
      <c r="BM74" s="91"/>
      <c r="BN74" s="91"/>
      <c r="BO74" s="94"/>
      <c r="BP74" s="95"/>
      <c r="BQ74" s="91"/>
      <c r="BR74" s="91"/>
      <c r="BS74" s="91"/>
      <c r="BT74" s="91"/>
      <c r="BU74" s="91"/>
      <c r="BV74" s="91"/>
      <c r="BW74" s="91"/>
      <c r="BX74" s="91"/>
      <c r="BY74" s="91"/>
      <c r="BZ74" s="91"/>
      <c r="CA74" s="91"/>
      <c r="CC74" s="79" t="n">
        <f aca="false">SUMIFS($T74:$CA74, $T$1:$CA$1, CC$63)</f>
        <v>0</v>
      </c>
      <c r="CD74" s="79" t="n">
        <f aca="false">SUMIFS($T74:$CA74, $T$1:$CA$1, CD$63)</f>
        <v>0</v>
      </c>
      <c r="CE74" s="79" t="n">
        <f aca="false">SUMIFS($T74:$CA74, $T$1:$CA$1, CE$63)</f>
        <v>0</v>
      </c>
      <c r="CF74" s="79" t="n">
        <f aca="false">SUMIFS($T74:$CA74, $T$1:$CA$1, CF$63)</f>
        <v>0</v>
      </c>
      <c r="CG74" s="79" t="n">
        <f aca="false">SUMIFS($T74:$CA74, $T$1:$CA$1, CG$63)</f>
        <v>0</v>
      </c>
      <c r="CI74" s="79" t="n">
        <f aca="false">CC74=L74</f>
        <v>1</v>
      </c>
      <c r="CJ74" s="79" t="n">
        <f aca="false">CD74=M74</f>
        <v>1</v>
      </c>
      <c r="CK74" s="79" t="n">
        <f aca="false">CE74=N74</f>
        <v>1</v>
      </c>
      <c r="CL74" s="79" t="n">
        <f aca="false">CF74=O74</f>
        <v>1</v>
      </c>
      <c r="CM74" s="79" t="n">
        <f aca="false">CG74=P74</f>
        <v>1</v>
      </c>
    </row>
    <row r="75" s="14" customFormat="true" ht="16.5" hidden="false" customHeight="true" outlineLevel="0" collapsed="false">
      <c r="E75" s="91"/>
      <c r="H75" s="71"/>
      <c r="I75" s="91"/>
      <c r="J75" s="91"/>
      <c r="K75" s="207" t="n">
        <f aca="false">I75-J75</f>
        <v>0</v>
      </c>
      <c r="L75" s="91"/>
      <c r="M75" s="91"/>
      <c r="N75" s="91"/>
      <c r="O75" s="91"/>
      <c r="P75" s="91"/>
      <c r="Q75" s="93"/>
      <c r="R75" s="16" t="str">
        <f aca="false">IF(K75=P75, "", "Error")</f>
        <v/>
      </c>
      <c r="T75" s="91"/>
      <c r="U75" s="91"/>
      <c r="V75" s="91"/>
      <c r="W75" s="91"/>
      <c r="X75" s="91"/>
      <c r="Y75" s="91"/>
      <c r="Z75" s="91"/>
      <c r="AA75" s="91"/>
      <c r="AB75" s="91"/>
      <c r="AC75" s="91"/>
      <c r="AD75" s="91"/>
      <c r="AE75" s="94"/>
      <c r="AF75" s="95"/>
      <c r="AG75" s="91"/>
      <c r="AH75" s="91"/>
      <c r="AI75" s="91"/>
      <c r="AJ75" s="91"/>
      <c r="AK75" s="91"/>
      <c r="AL75" s="91"/>
      <c r="AM75" s="91"/>
      <c r="AN75" s="91"/>
      <c r="AO75" s="91"/>
      <c r="AP75" s="91"/>
      <c r="AQ75" s="94"/>
      <c r="AR75" s="95"/>
      <c r="AS75" s="91"/>
      <c r="AT75" s="91"/>
      <c r="AU75" s="91"/>
      <c r="AV75" s="91"/>
      <c r="AW75" s="91"/>
      <c r="AX75" s="91"/>
      <c r="AY75" s="91"/>
      <c r="AZ75" s="91"/>
      <c r="BA75" s="91"/>
      <c r="BB75" s="91"/>
      <c r="BC75" s="94"/>
      <c r="BD75" s="95"/>
      <c r="BE75" s="91"/>
      <c r="BF75" s="91"/>
      <c r="BG75" s="91"/>
      <c r="BH75" s="91"/>
      <c r="BI75" s="91"/>
      <c r="BJ75" s="91"/>
      <c r="BK75" s="91"/>
      <c r="BL75" s="91"/>
      <c r="BM75" s="91"/>
      <c r="BN75" s="91"/>
      <c r="BO75" s="94"/>
      <c r="BP75" s="95"/>
      <c r="BQ75" s="91"/>
      <c r="BR75" s="91"/>
      <c r="BS75" s="91"/>
      <c r="BT75" s="91"/>
      <c r="BU75" s="91"/>
      <c r="BV75" s="91"/>
      <c r="BW75" s="91"/>
      <c r="BX75" s="91"/>
      <c r="BY75" s="91"/>
      <c r="BZ75" s="91"/>
      <c r="CA75" s="91"/>
      <c r="CC75" s="79" t="n">
        <f aca="false">SUMIFS($T75:$CA75, $T$1:$CA$1, CC$63)</f>
        <v>0</v>
      </c>
      <c r="CD75" s="79" t="n">
        <f aca="false">SUMIFS($T75:$CA75, $T$1:$CA$1, CD$63)</f>
        <v>0</v>
      </c>
      <c r="CE75" s="79" t="n">
        <f aca="false">SUMIFS($T75:$CA75, $T$1:$CA$1, CE$63)</f>
        <v>0</v>
      </c>
      <c r="CF75" s="79" t="n">
        <f aca="false">SUMIFS($T75:$CA75, $T$1:$CA$1, CF$63)</f>
        <v>0</v>
      </c>
      <c r="CG75" s="79" t="n">
        <f aca="false">SUMIFS($T75:$CA75, $T$1:$CA$1, CG$63)</f>
        <v>0</v>
      </c>
      <c r="CI75" s="79" t="n">
        <f aca="false">CC75=L75</f>
        <v>1</v>
      </c>
      <c r="CJ75" s="79" t="n">
        <f aca="false">CD75=M75</f>
        <v>1</v>
      </c>
      <c r="CK75" s="79" t="n">
        <f aca="false">CE75=N75</f>
        <v>1</v>
      </c>
      <c r="CL75" s="79" t="n">
        <f aca="false">CF75=O75</f>
        <v>1</v>
      </c>
      <c r="CM75" s="79" t="n">
        <f aca="false">CG75=P75</f>
        <v>1</v>
      </c>
    </row>
    <row r="76" s="14" customFormat="true" ht="16.5" hidden="false" customHeight="true" outlineLevel="0" collapsed="false">
      <c r="E76" s="96" t="s">
        <v>129</v>
      </c>
      <c r="H76" s="71"/>
      <c r="I76" s="82" t="n">
        <f aca="false">SUM(I71:I75)</f>
        <v>0</v>
      </c>
      <c r="J76" s="82" t="n">
        <f aca="false">SUM(J71:J75)</f>
        <v>0</v>
      </c>
      <c r="K76" s="82" t="n">
        <f aca="false">SUM(K71:K75)</f>
        <v>0</v>
      </c>
      <c r="L76" s="82" t="n">
        <f aca="false">SUM(L71:L75)</f>
        <v>0</v>
      </c>
      <c r="M76" s="82" t="n">
        <f aca="false">SUM(M71:M75)</f>
        <v>0</v>
      </c>
      <c r="N76" s="82" t="n">
        <f aca="false">SUM(N71:N75)</f>
        <v>0</v>
      </c>
      <c r="O76" s="82" t="n">
        <f aca="false">SUM(O71:O75)</f>
        <v>0</v>
      </c>
      <c r="P76" s="82" t="n">
        <f aca="false">SUM(P71:P75)</f>
        <v>0</v>
      </c>
      <c r="Q76" s="16"/>
      <c r="R76" s="16"/>
      <c r="T76" s="82" t="n">
        <f aca="false">SUM(T71:T75)</f>
        <v>0</v>
      </c>
      <c r="U76" s="82" t="n">
        <f aca="false">SUM(U71:U75)</f>
        <v>0</v>
      </c>
      <c r="V76" s="82" t="n">
        <f aca="false">SUM(V71:V75)</f>
        <v>0</v>
      </c>
      <c r="W76" s="82" t="n">
        <f aca="false">SUM(W71:W75)</f>
        <v>0</v>
      </c>
      <c r="X76" s="82" t="n">
        <f aca="false">SUM(X71:X75)</f>
        <v>0</v>
      </c>
      <c r="Y76" s="82" t="n">
        <f aca="false">SUM(Y71:Y75)</f>
        <v>0</v>
      </c>
      <c r="Z76" s="82" t="n">
        <f aca="false">SUM(Z71:Z75)</f>
        <v>0</v>
      </c>
      <c r="AA76" s="82" t="n">
        <f aca="false">SUM(AA71:AA75)</f>
        <v>0</v>
      </c>
      <c r="AB76" s="82" t="n">
        <f aca="false">SUM(AB71:AB75)</f>
        <v>0</v>
      </c>
      <c r="AC76" s="82" t="n">
        <f aca="false">SUM(AC71:AC75)</f>
        <v>0</v>
      </c>
      <c r="AD76" s="82" t="n">
        <f aca="false">SUM(AD71:AD75)</f>
        <v>0</v>
      </c>
      <c r="AE76" s="82" t="n">
        <f aca="false">SUM(AE71:AE75)</f>
        <v>0</v>
      </c>
      <c r="AF76" s="83" t="n">
        <f aca="false">SUM(AF71:AF75)</f>
        <v>0</v>
      </c>
      <c r="AG76" s="82" t="n">
        <f aca="false">SUM(AG71:AG75)</f>
        <v>0</v>
      </c>
      <c r="AH76" s="82" t="n">
        <f aca="false">SUM(AH71:AH75)</f>
        <v>0</v>
      </c>
      <c r="AI76" s="82" t="n">
        <f aca="false">SUM(AI71:AI75)</f>
        <v>0</v>
      </c>
      <c r="AJ76" s="82" t="n">
        <f aca="false">SUM(AJ71:AJ75)</f>
        <v>0</v>
      </c>
      <c r="AK76" s="82" t="n">
        <f aca="false">SUM(AK71:AK75)</f>
        <v>0</v>
      </c>
      <c r="AL76" s="82" t="n">
        <f aca="false">SUM(AL71:AL75)</f>
        <v>0</v>
      </c>
      <c r="AM76" s="82" t="n">
        <f aca="false">SUM(AM71:AM75)</f>
        <v>0</v>
      </c>
      <c r="AN76" s="82" t="n">
        <f aca="false">SUM(AN71:AN75)</f>
        <v>0</v>
      </c>
      <c r="AO76" s="82" t="n">
        <f aca="false">SUM(AO71:AO75)</f>
        <v>0</v>
      </c>
      <c r="AP76" s="82" t="n">
        <f aca="false">SUM(AP71:AP75)</f>
        <v>0</v>
      </c>
      <c r="AQ76" s="82" t="n">
        <f aca="false">SUM(AQ71:AQ75)</f>
        <v>0</v>
      </c>
      <c r="AR76" s="83" t="n">
        <f aca="false">SUM(AR71:AR75)</f>
        <v>0</v>
      </c>
      <c r="AS76" s="82" t="n">
        <f aca="false">SUM(AS71:AS75)</f>
        <v>0</v>
      </c>
      <c r="AT76" s="82" t="n">
        <f aca="false">SUM(AT71:AT75)</f>
        <v>0</v>
      </c>
      <c r="AU76" s="82" t="n">
        <f aca="false">SUM(AU71:AU75)</f>
        <v>0</v>
      </c>
      <c r="AV76" s="82" t="n">
        <f aca="false">SUM(AV71:AV75)</f>
        <v>0</v>
      </c>
      <c r="AW76" s="82" t="n">
        <f aca="false">SUM(AW71:AW75)</f>
        <v>0</v>
      </c>
      <c r="AX76" s="82" t="n">
        <f aca="false">SUM(AX71:AX75)</f>
        <v>0</v>
      </c>
      <c r="AY76" s="82" t="n">
        <f aca="false">SUM(AY71:AY75)</f>
        <v>0</v>
      </c>
      <c r="AZ76" s="82" t="n">
        <f aca="false">SUM(AZ71:AZ75)</f>
        <v>0</v>
      </c>
      <c r="BA76" s="82" t="n">
        <f aca="false">SUM(BA71:BA75)</f>
        <v>0</v>
      </c>
      <c r="BB76" s="82" t="n">
        <f aca="false">SUM(BB71:BB75)</f>
        <v>0</v>
      </c>
      <c r="BC76" s="82" t="n">
        <f aca="false">SUM(BC71:BC75)</f>
        <v>0</v>
      </c>
      <c r="BD76" s="83" t="n">
        <f aca="false">SUM(BD71:BD75)</f>
        <v>0</v>
      </c>
      <c r="BE76" s="82" t="n">
        <f aca="false">SUM(BE71:BE75)</f>
        <v>0</v>
      </c>
      <c r="BF76" s="82" t="n">
        <f aca="false">SUM(BF71:BF75)</f>
        <v>0</v>
      </c>
      <c r="BG76" s="82" t="n">
        <f aca="false">SUM(BG71:BG75)</f>
        <v>0</v>
      </c>
      <c r="BH76" s="82" t="n">
        <f aca="false">SUM(BH71:BH75)</f>
        <v>0</v>
      </c>
      <c r="BI76" s="82" t="n">
        <f aca="false">SUM(BI71:BI75)</f>
        <v>0</v>
      </c>
      <c r="BJ76" s="82" t="n">
        <f aca="false">SUM(BJ71:BJ75)</f>
        <v>0</v>
      </c>
      <c r="BK76" s="82" t="n">
        <f aca="false">SUM(BK71:BK75)</f>
        <v>0</v>
      </c>
      <c r="BL76" s="82" t="n">
        <f aca="false">SUM(BL71:BL75)</f>
        <v>0</v>
      </c>
      <c r="BM76" s="82" t="n">
        <f aca="false">SUM(BM71:BM75)</f>
        <v>0</v>
      </c>
      <c r="BN76" s="82" t="n">
        <f aca="false">SUM(BN71:BN75)</f>
        <v>0</v>
      </c>
      <c r="BO76" s="82" t="n">
        <f aca="false">SUM(BO71:BO75)</f>
        <v>0</v>
      </c>
      <c r="BP76" s="83" t="n">
        <f aca="false">SUM(BP71:BP75)</f>
        <v>0</v>
      </c>
      <c r="BQ76" s="82" t="n">
        <f aca="false">SUM(BQ71:BQ75)</f>
        <v>0</v>
      </c>
      <c r="BR76" s="82" t="n">
        <f aca="false">SUM(BR71:BR75)</f>
        <v>0</v>
      </c>
      <c r="BS76" s="82" t="n">
        <f aca="false">SUM(BS71:BS75)</f>
        <v>0</v>
      </c>
      <c r="BT76" s="82" t="n">
        <f aca="false">SUM(BT71:BT75)</f>
        <v>0</v>
      </c>
      <c r="BU76" s="82" t="n">
        <f aca="false">SUM(BU71:BU75)</f>
        <v>0</v>
      </c>
      <c r="BV76" s="82" t="n">
        <f aca="false">SUM(BV71:BV75)</f>
        <v>0</v>
      </c>
      <c r="BW76" s="82" t="n">
        <f aca="false">SUM(BW71:BW75)</f>
        <v>0</v>
      </c>
      <c r="BX76" s="82" t="n">
        <f aca="false">SUM(BX71:BX75)</f>
        <v>0</v>
      </c>
      <c r="BY76" s="82" t="n">
        <f aca="false">SUM(BY71:BY75)</f>
        <v>0</v>
      </c>
      <c r="BZ76" s="82" t="n">
        <f aca="false">SUM(BZ71:BZ75)</f>
        <v>0</v>
      </c>
      <c r="CA76" s="82" t="n">
        <f aca="false">SUM(CA71:CA75)</f>
        <v>0</v>
      </c>
      <c r="CC76" s="84" t="n">
        <f aca="false">SUM(CC71:CC75)</f>
        <v>0</v>
      </c>
      <c r="CD76" s="84" t="n">
        <f aca="false">SUM(CD71:CD75)</f>
        <v>0</v>
      </c>
      <c r="CE76" s="84" t="n">
        <f aca="false">SUM(CE71:CE75)</f>
        <v>0</v>
      </c>
      <c r="CF76" s="84" t="n">
        <f aca="false">SUM(CF71:CF75)</f>
        <v>0</v>
      </c>
      <c r="CG76" s="84" t="n">
        <f aca="false">SUM(CG71:CG75)</f>
        <v>0</v>
      </c>
      <c r="CI76" s="84" t="n">
        <f aca="false">CC76=L76</f>
        <v>1</v>
      </c>
      <c r="CJ76" s="84" t="n">
        <f aca="false">CD76=M76</f>
        <v>1</v>
      </c>
      <c r="CK76" s="84" t="n">
        <f aca="false">CE76=N76</f>
        <v>1</v>
      </c>
      <c r="CL76" s="84" t="n">
        <f aca="false">CF76=O76</f>
        <v>1</v>
      </c>
      <c r="CM76" s="84" t="n">
        <f aca="false">CG76=P76</f>
        <v>1</v>
      </c>
    </row>
    <row r="77" s="14" customFormat="true" ht="16.5" hidden="false" customHeight="true" outlineLevel="0" collapsed="false">
      <c r="H77" s="71"/>
      <c r="I77" s="88"/>
      <c r="J77" s="88"/>
      <c r="K77" s="88"/>
      <c r="L77" s="88"/>
      <c r="M77" s="88"/>
      <c r="N77" s="88"/>
      <c r="O77" s="88"/>
      <c r="P77" s="88"/>
      <c r="Q77" s="16"/>
      <c r="R77" s="16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9"/>
      <c r="AG77" s="88"/>
      <c r="AH77" s="88"/>
      <c r="AI77" s="88"/>
      <c r="AJ77" s="88"/>
      <c r="AK77" s="88"/>
      <c r="AL77" s="88"/>
      <c r="AM77" s="88"/>
      <c r="AN77" s="88"/>
      <c r="AO77" s="88"/>
      <c r="AP77" s="88"/>
      <c r="AQ77" s="88"/>
      <c r="AR77" s="89"/>
      <c r="AS77" s="88"/>
      <c r="AT77" s="88"/>
      <c r="AU77" s="88"/>
      <c r="AV77" s="88"/>
      <c r="AW77" s="88"/>
      <c r="AX77" s="88"/>
      <c r="AY77" s="88"/>
      <c r="AZ77" s="88"/>
      <c r="BA77" s="88"/>
      <c r="BB77" s="88"/>
      <c r="BC77" s="88"/>
      <c r="BD77" s="89"/>
      <c r="BE77" s="88"/>
      <c r="BF77" s="88"/>
      <c r="BG77" s="88"/>
      <c r="BH77" s="88"/>
      <c r="BI77" s="88"/>
      <c r="BJ77" s="88"/>
      <c r="BK77" s="88"/>
      <c r="BL77" s="88"/>
      <c r="BM77" s="88"/>
      <c r="BN77" s="88"/>
      <c r="BO77" s="88"/>
      <c r="BP77" s="89"/>
      <c r="BQ77" s="88"/>
      <c r="BR77" s="88"/>
      <c r="BS77" s="88"/>
      <c r="BT77" s="88"/>
      <c r="BU77" s="88"/>
      <c r="BV77" s="88"/>
      <c r="BW77" s="88"/>
      <c r="BX77" s="88"/>
      <c r="BY77" s="88"/>
      <c r="BZ77" s="88"/>
      <c r="CA77" s="88"/>
      <c r="CC77" s="90"/>
      <c r="CD77" s="90"/>
      <c r="CE77" s="90"/>
      <c r="CF77" s="90"/>
      <c r="CG77" s="90"/>
      <c r="CI77" s="90"/>
      <c r="CJ77" s="90"/>
      <c r="CK77" s="90"/>
      <c r="CL77" s="90"/>
      <c r="CM77" s="90"/>
    </row>
    <row r="78" s="14" customFormat="true" ht="16.5" hidden="false" customHeight="true" outlineLevel="0" collapsed="false">
      <c r="E78" s="21" t="s">
        <v>130</v>
      </c>
      <c r="H78" s="71"/>
      <c r="I78" s="88"/>
      <c r="J78" s="88"/>
      <c r="K78" s="88"/>
      <c r="L78" s="88"/>
      <c r="M78" s="88"/>
      <c r="N78" s="88"/>
      <c r="O78" s="88"/>
      <c r="P78" s="88"/>
      <c r="Q78" s="16"/>
      <c r="R78" s="16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9"/>
      <c r="AG78" s="88"/>
      <c r="AH78" s="88"/>
      <c r="AI78" s="88"/>
      <c r="AJ78" s="88"/>
      <c r="AK78" s="88"/>
      <c r="AL78" s="88"/>
      <c r="AM78" s="88"/>
      <c r="AN78" s="88"/>
      <c r="AO78" s="88"/>
      <c r="AP78" s="88"/>
      <c r="AQ78" s="88"/>
      <c r="AR78" s="89"/>
      <c r="AS78" s="88"/>
      <c r="AT78" s="88"/>
      <c r="AU78" s="88"/>
      <c r="AV78" s="88"/>
      <c r="AW78" s="88"/>
      <c r="AX78" s="88"/>
      <c r="AY78" s="88"/>
      <c r="AZ78" s="88"/>
      <c r="BA78" s="88"/>
      <c r="BB78" s="88"/>
      <c r="BC78" s="88"/>
      <c r="BD78" s="89"/>
      <c r="BE78" s="88"/>
      <c r="BF78" s="88"/>
      <c r="BG78" s="88"/>
      <c r="BH78" s="88"/>
      <c r="BI78" s="88"/>
      <c r="BJ78" s="88"/>
      <c r="BK78" s="88"/>
      <c r="BL78" s="88"/>
      <c r="BM78" s="88"/>
      <c r="BN78" s="88"/>
      <c r="BO78" s="88"/>
      <c r="BP78" s="89"/>
      <c r="BQ78" s="88"/>
      <c r="BR78" s="88"/>
      <c r="BS78" s="88"/>
      <c r="BT78" s="88"/>
      <c r="BU78" s="88"/>
      <c r="BV78" s="88"/>
      <c r="BW78" s="88"/>
      <c r="BX78" s="88"/>
      <c r="BY78" s="88"/>
      <c r="BZ78" s="88"/>
      <c r="CA78" s="88"/>
      <c r="CC78" s="90"/>
      <c r="CD78" s="90"/>
      <c r="CE78" s="90"/>
      <c r="CF78" s="90"/>
      <c r="CG78" s="90"/>
      <c r="CI78" s="90"/>
      <c r="CJ78" s="90"/>
      <c r="CK78" s="90"/>
      <c r="CL78" s="90"/>
      <c r="CM78" s="90"/>
    </row>
    <row r="79" s="14" customFormat="true" ht="16.5" hidden="false" customHeight="true" outlineLevel="0" collapsed="false">
      <c r="E79" s="91" t="s">
        <v>399</v>
      </c>
      <c r="H79" s="71" t="s">
        <v>400</v>
      </c>
      <c r="I79" s="208" t="n">
        <f aca="false">'SDLC-1 Model'!$D$58</f>
        <v>0</v>
      </c>
      <c r="J79" s="208" t="n">
        <f aca="false">I79-'SDLC-1 Model'!$K$58</f>
        <v>0</v>
      </c>
      <c r="K79" s="209" t="n">
        <f aca="false">'SDLC-1 Model'!$K$58</f>
        <v>0</v>
      </c>
      <c r="L79" s="208" t="n">
        <f aca="false">'SDLC-1 Model'!L58</f>
        <v>0</v>
      </c>
      <c r="M79" s="208" t="n">
        <f aca="false">'SDLC-1 Model'!M58</f>
        <v>0</v>
      </c>
      <c r="N79" s="208" t="n">
        <f aca="false">'SDLC-1 Model'!N58</f>
        <v>0</v>
      </c>
      <c r="O79" s="208" t="n">
        <f aca="false">'SDLC-1 Model'!O58</f>
        <v>0</v>
      </c>
      <c r="P79" s="208" t="n">
        <f aca="false">'SDLC-1 Model'!P58</f>
        <v>0</v>
      </c>
      <c r="Q79" s="93" t="s">
        <v>251</v>
      </c>
      <c r="R79" s="16" t="str">
        <f aca="false">IF(K79=P79, "", "Error")</f>
        <v/>
      </c>
      <c r="T79" s="208" t="n">
        <f aca="false">'SDLC-1 Model'!T58</f>
        <v>0</v>
      </c>
      <c r="U79" s="208" t="n">
        <f aca="false">'SDLC-1 Model'!U58</f>
        <v>0</v>
      </c>
      <c r="V79" s="208" t="n">
        <f aca="false">'SDLC-1 Model'!V58</f>
        <v>0</v>
      </c>
      <c r="W79" s="208" t="n">
        <f aca="false">'SDLC-1 Model'!W58</f>
        <v>0</v>
      </c>
      <c r="X79" s="208" t="n">
        <f aca="false">'SDLC-1 Model'!X58</f>
        <v>0</v>
      </c>
      <c r="Y79" s="208" t="n">
        <f aca="false">'SDLC-1 Model'!Y58</f>
        <v>0</v>
      </c>
      <c r="Z79" s="208" t="n">
        <f aca="false">'SDLC-1 Model'!Z58</f>
        <v>0</v>
      </c>
      <c r="AA79" s="208" t="n">
        <f aca="false">'SDLC-1 Model'!AA58</f>
        <v>0</v>
      </c>
      <c r="AB79" s="208" t="n">
        <f aca="false">'SDLC-1 Model'!AB58</f>
        <v>0</v>
      </c>
      <c r="AC79" s="208" t="n">
        <f aca="false">'SDLC-1 Model'!AC58</f>
        <v>0</v>
      </c>
      <c r="AD79" s="208" t="n">
        <f aca="false">'SDLC-1 Model'!AD58</f>
        <v>0</v>
      </c>
      <c r="AE79" s="210" t="n">
        <f aca="false">'SDLC-1 Model'!AE58</f>
        <v>0</v>
      </c>
      <c r="AF79" s="211" t="n">
        <f aca="false">'SDLC-1 Model'!AF58</f>
        <v>0</v>
      </c>
      <c r="AG79" s="211" t="n">
        <f aca="false">'SDLC-1 Model'!AG58</f>
        <v>0</v>
      </c>
      <c r="AH79" s="211" t="n">
        <f aca="false">'SDLC-1 Model'!AH58</f>
        <v>0</v>
      </c>
      <c r="AI79" s="211" t="n">
        <f aca="false">'SDLC-1 Model'!AI58</f>
        <v>0</v>
      </c>
      <c r="AJ79" s="211" t="n">
        <f aca="false">'SDLC-1 Model'!AJ58</f>
        <v>0</v>
      </c>
      <c r="AK79" s="211" t="n">
        <f aca="false">'SDLC-1 Model'!AK58</f>
        <v>0</v>
      </c>
      <c r="AL79" s="211" t="n">
        <f aca="false">'SDLC-1 Model'!AL58</f>
        <v>0</v>
      </c>
      <c r="AM79" s="211" t="n">
        <f aca="false">'SDLC-1 Model'!AM58</f>
        <v>0</v>
      </c>
      <c r="AN79" s="211" t="n">
        <f aca="false">'SDLC-1 Model'!AN58</f>
        <v>0</v>
      </c>
      <c r="AO79" s="211" t="n">
        <f aca="false">'SDLC-1 Model'!AO58</f>
        <v>0</v>
      </c>
      <c r="AP79" s="211" t="n">
        <f aca="false">'SDLC-1 Model'!AP58</f>
        <v>0</v>
      </c>
      <c r="AQ79" s="211" t="n">
        <f aca="false">'SDLC-1 Model'!AQ58</f>
        <v>0</v>
      </c>
      <c r="AR79" s="211" t="n">
        <f aca="false">'SDLC-1 Model'!AR58</f>
        <v>0</v>
      </c>
      <c r="AS79" s="211" t="n">
        <f aca="false">'SDLC-1 Model'!AS58</f>
        <v>0</v>
      </c>
      <c r="AT79" s="211" t="n">
        <f aca="false">'SDLC-1 Model'!AT58</f>
        <v>0</v>
      </c>
      <c r="AU79" s="211" t="n">
        <f aca="false">'SDLC-1 Model'!AU58</f>
        <v>0</v>
      </c>
      <c r="AV79" s="211" t="n">
        <f aca="false">'SDLC-1 Model'!AV58</f>
        <v>0</v>
      </c>
      <c r="AW79" s="211" t="n">
        <f aca="false">'SDLC-1 Model'!AW58</f>
        <v>0</v>
      </c>
      <c r="AX79" s="211" t="n">
        <f aca="false">'SDLC-1 Model'!AX58</f>
        <v>0</v>
      </c>
      <c r="AY79" s="211" t="n">
        <f aca="false">'SDLC-1 Model'!AY58</f>
        <v>0</v>
      </c>
      <c r="AZ79" s="211" t="n">
        <f aca="false">'SDLC-1 Model'!AZ58</f>
        <v>0</v>
      </c>
      <c r="BA79" s="211" t="n">
        <f aca="false">'SDLC-1 Model'!BA58</f>
        <v>0</v>
      </c>
      <c r="BB79" s="211" t="n">
        <f aca="false">'SDLC-1 Model'!BB58</f>
        <v>0</v>
      </c>
      <c r="BC79" s="211" t="n">
        <f aca="false">'SDLC-1 Model'!BC58</f>
        <v>0</v>
      </c>
      <c r="BD79" s="211" t="n">
        <f aca="false">'SDLC-1 Model'!BD58</f>
        <v>0</v>
      </c>
      <c r="BE79" s="211" t="n">
        <f aca="false">'SDLC-1 Model'!BE58</f>
        <v>0</v>
      </c>
      <c r="BF79" s="211" t="n">
        <f aca="false">'SDLC-1 Model'!BF58</f>
        <v>0</v>
      </c>
      <c r="BG79" s="211" t="n">
        <f aca="false">'SDLC-1 Model'!BG58</f>
        <v>0</v>
      </c>
      <c r="BH79" s="211" t="n">
        <f aca="false">'SDLC-1 Model'!BH58</f>
        <v>0</v>
      </c>
      <c r="BI79" s="211" t="n">
        <f aca="false">'SDLC-1 Model'!BI58</f>
        <v>0</v>
      </c>
      <c r="BJ79" s="211" t="n">
        <f aca="false">'SDLC-1 Model'!BJ58</f>
        <v>0</v>
      </c>
      <c r="BK79" s="211" t="n">
        <f aca="false">'SDLC-1 Model'!BK58</f>
        <v>0</v>
      </c>
      <c r="BL79" s="211" t="n">
        <f aca="false">'SDLC-1 Model'!BL58</f>
        <v>0</v>
      </c>
      <c r="BM79" s="211" t="n">
        <f aca="false">'SDLC-1 Model'!BM58</f>
        <v>0</v>
      </c>
      <c r="BN79" s="211" t="n">
        <f aca="false">'SDLC-1 Model'!BN58</f>
        <v>0</v>
      </c>
      <c r="BO79" s="211" t="n">
        <f aca="false">'SDLC-1 Model'!BO58</f>
        <v>0</v>
      </c>
      <c r="BP79" s="211" t="n">
        <f aca="false">'SDLC-1 Model'!BP58</f>
        <v>0</v>
      </c>
      <c r="BQ79" s="211" t="n">
        <f aca="false">'SDLC-1 Model'!BQ58</f>
        <v>0</v>
      </c>
      <c r="BR79" s="211" t="n">
        <f aca="false">'SDLC-1 Model'!BR58</f>
        <v>0</v>
      </c>
      <c r="BS79" s="211" t="n">
        <f aca="false">'SDLC-1 Model'!BS58</f>
        <v>0</v>
      </c>
      <c r="BT79" s="211" t="n">
        <f aca="false">'SDLC-1 Model'!BT58</f>
        <v>0</v>
      </c>
      <c r="BU79" s="211" t="n">
        <f aca="false">'SDLC-1 Model'!BU58</f>
        <v>0</v>
      </c>
      <c r="BV79" s="211" t="n">
        <f aca="false">'SDLC-1 Model'!BV58</f>
        <v>0</v>
      </c>
      <c r="BW79" s="211" t="n">
        <f aca="false">'SDLC-1 Model'!BW58</f>
        <v>0</v>
      </c>
      <c r="BX79" s="211" t="n">
        <f aca="false">'SDLC-1 Model'!BX58</f>
        <v>0</v>
      </c>
      <c r="BY79" s="211" t="n">
        <f aca="false">'SDLC-1 Model'!BY58</f>
        <v>0</v>
      </c>
      <c r="BZ79" s="211" t="n">
        <f aca="false">'SDLC-1 Model'!BZ58</f>
        <v>0</v>
      </c>
      <c r="CA79" s="211" t="n">
        <f aca="false">'SDLC-1 Model'!CA58</f>
        <v>0</v>
      </c>
      <c r="CC79" s="79" t="n">
        <f aca="false">SUMIFS($T79:$CA79, $T$1:$CA$1, CC$63)</f>
        <v>0</v>
      </c>
      <c r="CD79" s="79" t="n">
        <f aca="false">SUMIFS($T79:$CA79, $T$1:$CA$1, CD$63)</f>
        <v>0</v>
      </c>
      <c r="CE79" s="79" t="n">
        <f aca="false">SUMIFS($T79:$CA79, $T$1:$CA$1, CE$63)</f>
        <v>0</v>
      </c>
      <c r="CF79" s="79" t="n">
        <f aca="false">SUMIFS($T79:$CA79, $T$1:$CA$1, CF$63)</f>
        <v>0</v>
      </c>
      <c r="CG79" s="79" t="n">
        <f aca="false">SUMIFS($T79:$CA79, $T$1:$CA$1, CG$63)</f>
        <v>0</v>
      </c>
      <c r="CI79" s="79" t="n">
        <f aca="false">CC79=L79</f>
        <v>1</v>
      </c>
      <c r="CJ79" s="79" t="n">
        <f aca="false">CD79=M79</f>
        <v>1</v>
      </c>
      <c r="CK79" s="79" t="n">
        <f aca="false">CE79=N79</f>
        <v>1</v>
      </c>
      <c r="CL79" s="79" t="n">
        <f aca="false">CF79=O79</f>
        <v>1</v>
      </c>
      <c r="CM79" s="79" t="n">
        <f aca="false">CG79=P79</f>
        <v>1</v>
      </c>
    </row>
    <row r="80" s="14" customFormat="true" ht="16.5" hidden="false" customHeight="true" outlineLevel="0" collapsed="false">
      <c r="E80" s="91"/>
      <c r="H80" s="71"/>
      <c r="I80" s="91" t="n">
        <v>0</v>
      </c>
      <c r="J80" s="91" t="n">
        <v>0</v>
      </c>
      <c r="K80" s="207" t="n">
        <f aca="false">I80-J80</f>
        <v>0</v>
      </c>
      <c r="L80" s="91"/>
      <c r="M80" s="91"/>
      <c r="N80" s="91"/>
      <c r="O80" s="91"/>
      <c r="P80" s="91"/>
      <c r="Q80" s="93"/>
      <c r="R80" s="16" t="str">
        <f aca="false">IF(K80=P80, "", "Error")</f>
        <v/>
      </c>
      <c r="T80" s="91"/>
      <c r="U80" s="91"/>
      <c r="V80" s="91"/>
      <c r="W80" s="91"/>
      <c r="X80" s="91"/>
      <c r="Y80" s="91"/>
      <c r="Z80" s="91"/>
      <c r="AA80" s="91"/>
      <c r="AB80" s="91"/>
      <c r="AC80" s="91"/>
      <c r="AD80" s="91"/>
      <c r="AE80" s="94"/>
      <c r="AF80" s="95"/>
      <c r="AG80" s="91"/>
      <c r="AH80" s="91"/>
      <c r="AI80" s="91"/>
      <c r="AJ80" s="91"/>
      <c r="AK80" s="91"/>
      <c r="AL80" s="91"/>
      <c r="AM80" s="91"/>
      <c r="AN80" s="91"/>
      <c r="AO80" s="91"/>
      <c r="AP80" s="91"/>
      <c r="AQ80" s="94"/>
      <c r="AR80" s="95"/>
      <c r="AS80" s="91"/>
      <c r="AT80" s="91"/>
      <c r="AU80" s="91"/>
      <c r="AV80" s="91"/>
      <c r="AW80" s="91"/>
      <c r="AX80" s="91"/>
      <c r="AY80" s="91"/>
      <c r="AZ80" s="91"/>
      <c r="BA80" s="91"/>
      <c r="BB80" s="91"/>
      <c r="BC80" s="94"/>
      <c r="BD80" s="95"/>
      <c r="BE80" s="91"/>
      <c r="BF80" s="91"/>
      <c r="BG80" s="91"/>
      <c r="BH80" s="91"/>
      <c r="BI80" s="91"/>
      <c r="BJ80" s="91"/>
      <c r="BK80" s="91"/>
      <c r="BL80" s="91"/>
      <c r="BM80" s="91"/>
      <c r="BN80" s="91"/>
      <c r="BO80" s="94"/>
      <c r="BP80" s="95"/>
      <c r="BQ80" s="91"/>
      <c r="BR80" s="91"/>
      <c r="BS80" s="91"/>
      <c r="BT80" s="91"/>
      <c r="BU80" s="91"/>
      <c r="BV80" s="91"/>
      <c r="BW80" s="91"/>
      <c r="BX80" s="91"/>
      <c r="BY80" s="91"/>
      <c r="BZ80" s="91"/>
      <c r="CA80" s="91"/>
      <c r="CC80" s="79" t="n">
        <f aca="false">SUMIFS($T80:$CA80, $T$1:$CA$1, CC$63)</f>
        <v>0</v>
      </c>
      <c r="CD80" s="79" t="n">
        <f aca="false">SUMIFS($T80:$CA80, $T$1:$CA$1, CD$63)</f>
        <v>0</v>
      </c>
      <c r="CE80" s="79" t="n">
        <f aca="false">SUMIFS($T80:$CA80, $T$1:$CA$1, CE$63)</f>
        <v>0</v>
      </c>
      <c r="CF80" s="79" t="n">
        <f aca="false">SUMIFS($T80:$CA80, $T$1:$CA$1, CF$63)</f>
        <v>0</v>
      </c>
      <c r="CG80" s="79" t="n">
        <f aca="false">SUMIFS($T80:$CA80, $T$1:$CA$1, CG$63)</f>
        <v>0</v>
      </c>
      <c r="CI80" s="79" t="n">
        <f aca="false">CC80=L80</f>
        <v>1</v>
      </c>
      <c r="CJ80" s="79" t="n">
        <f aca="false">CD80=M80</f>
        <v>1</v>
      </c>
      <c r="CK80" s="79" t="n">
        <f aca="false">CE80=N80</f>
        <v>1</v>
      </c>
      <c r="CL80" s="79" t="n">
        <f aca="false">CF80=O80</f>
        <v>1</v>
      </c>
      <c r="CM80" s="79" t="n">
        <f aca="false">CG80=P80</f>
        <v>1</v>
      </c>
    </row>
    <row r="81" s="14" customFormat="true" ht="16.5" hidden="false" customHeight="true" outlineLevel="0" collapsed="false">
      <c r="E81" s="91"/>
      <c r="H81" s="71"/>
      <c r="I81" s="91" t="n">
        <v>0</v>
      </c>
      <c r="J81" s="91" t="n">
        <v>0</v>
      </c>
      <c r="K81" s="207" t="n">
        <f aca="false">I81-J81</f>
        <v>0</v>
      </c>
      <c r="L81" s="91"/>
      <c r="M81" s="91"/>
      <c r="N81" s="91"/>
      <c r="O81" s="91"/>
      <c r="P81" s="91"/>
      <c r="Q81" s="93"/>
      <c r="R81" s="16" t="str">
        <f aca="false">IF(K81=P81, "", "Error")</f>
        <v/>
      </c>
      <c r="T81" s="91"/>
      <c r="U81" s="91"/>
      <c r="V81" s="91"/>
      <c r="W81" s="91"/>
      <c r="X81" s="91"/>
      <c r="Y81" s="91"/>
      <c r="Z81" s="91"/>
      <c r="AA81" s="91"/>
      <c r="AB81" s="91"/>
      <c r="AC81" s="91"/>
      <c r="AD81" s="91"/>
      <c r="AE81" s="94"/>
      <c r="AF81" s="95"/>
      <c r="AG81" s="91"/>
      <c r="AH81" s="91"/>
      <c r="AI81" s="91"/>
      <c r="AJ81" s="91"/>
      <c r="AK81" s="91"/>
      <c r="AL81" s="91"/>
      <c r="AM81" s="91"/>
      <c r="AN81" s="91"/>
      <c r="AO81" s="91"/>
      <c r="AP81" s="91"/>
      <c r="AQ81" s="94"/>
      <c r="AR81" s="95"/>
      <c r="AS81" s="91"/>
      <c r="AT81" s="91"/>
      <c r="AU81" s="91"/>
      <c r="AV81" s="91"/>
      <c r="AW81" s="91"/>
      <c r="AX81" s="91"/>
      <c r="AY81" s="91"/>
      <c r="AZ81" s="91"/>
      <c r="BA81" s="91"/>
      <c r="BB81" s="91"/>
      <c r="BC81" s="94"/>
      <c r="BD81" s="95"/>
      <c r="BE81" s="91"/>
      <c r="BF81" s="91"/>
      <c r="BG81" s="91"/>
      <c r="BH81" s="91"/>
      <c r="BI81" s="91"/>
      <c r="BJ81" s="91"/>
      <c r="BK81" s="91"/>
      <c r="BL81" s="91"/>
      <c r="BM81" s="91"/>
      <c r="BN81" s="91"/>
      <c r="BO81" s="94"/>
      <c r="BP81" s="95"/>
      <c r="BQ81" s="91"/>
      <c r="BR81" s="91"/>
      <c r="BS81" s="91"/>
      <c r="BT81" s="91"/>
      <c r="BU81" s="91"/>
      <c r="BV81" s="91"/>
      <c r="BW81" s="91"/>
      <c r="BX81" s="91"/>
      <c r="BY81" s="91"/>
      <c r="BZ81" s="91"/>
      <c r="CA81" s="91"/>
      <c r="CC81" s="79" t="n">
        <f aca="false">SUMIFS($T81:$CA81, $T$1:$CA$1, CC$63)</f>
        <v>0</v>
      </c>
      <c r="CD81" s="79" t="n">
        <f aca="false">SUMIFS($T81:$CA81, $T$1:$CA$1, CD$63)</f>
        <v>0</v>
      </c>
      <c r="CE81" s="79" t="n">
        <f aca="false">SUMIFS($T81:$CA81, $T$1:$CA$1, CE$63)</f>
        <v>0</v>
      </c>
      <c r="CF81" s="79" t="n">
        <f aca="false">SUMIFS($T81:$CA81, $T$1:$CA$1, CF$63)</f>
        <v>0</v>
      </c>
      <c r="CG81" s="79" t="n">
        <f aca="false">SUMIFS($T81:$CA81, $T$1:$CA$1, CG$63)</f>
        <v>0</v>
      </c>
      <c r="CI81" s="79" t="n">
        <f aca="false">CC81=L81</f>
        <v>1</v>
      </c>
      <c r="CJ81" s="79" t="n">
        <f aca="false">CD81=M81</f>
        <v>1</v>
      </c>
      <c r="CK81" s="79" t="n">
        <f aca="false">CE81=N81</f>
        <v>1</v>
      </c>
      <c r="CL81" s="79" t="n">
        <f aca="false">CF81=O81</f>
        <v>1</v>
      </c>
      <c r="CM81" s="79" t="n">
        <f aca="false">CG81=P81</f>
        <v>1</v>
      </c>
    </row>
    <row r="82" s="14" customFormat="true" ht="16.5" hidden="false" customHeight="true" outlineLevel="0" collapsed="false">
      <c r="E82" s="91"/>
      <c r="H82" s="71"/>
      <c r="I82" s="91" t="n">
        <v>0</v>
      </c>
      <c r="J82" s="91" t="n">
        <v>0</v>
      </c>
      <c r="K82" s="207" t="n">
        <f aca="false">I82-J82</f>
        <v>0</v>
      </c>
      <c r="L82" s="91"/>
      <c r="M82" s="91"/>
      <c r="N82" s="91"/>
      <c r="O82" s="91"/>
      <c r="P82" s="91"/>
      <c r="Q82" s="93"/>
      <c r="R82" s="16" t="str">
        <f aca="false">IF(K82=P82, "", "Error")</f>
        <v/>
      </c>
      <c r="T82" s="91"/>
      <c r="U82" s="91"/>
      <c r="V82" s="91"/>
      <c r="W82" s="91"/>
      <c r="X82" s="91"/>
      <c r="Y82" s="91"/>
      <c r="Z82" s="91"/>
      <c r="AA82" s="91"/>
      <c r="AB82" s="91"/>
      <c r="AC82" s="91"/>
      <c r="AD82" s="91"/>
      <c r="AE82" s="94"/>
      <c r="AF82" s="95"/>
      <c r="AG82" s="91"/>
      <c r="AH82" s="91"/>
      <c r="AI82" s="91"/>
      <c r="AJ82" s="91"/>
      <c r="AK82" s="91"/>
      <c r="AL82" s="91"/>
      <c r="AM82" s="91"/>
      <c r="AN82" s="91"/>
      <c r="AO82" s="91"/>
      <c r="AP82" s="91"/>
      <c r="AQ82" s="94"/>
      <c r="AR82" s="95"/>
      <c r="AS82" s="91"/>
      <c r="AT82" s="91"/>
      <c r="AU82" s="91"/>
      <c r="AV82" s="91"/>
      <c r="AW82" s="91"/>
      <c r="AX82" s="91"/>
      <c r="AY82" s="91"/>
      <c r="AZ82" s="91"/>
      <c r="BA82" s="91"/>
      <c r="BB82" s="91"/>
      <c r="BC82" s="94"/>
      <c r="BD82" s="95"/>
      <c r="BE82" s="91"/>
      <c r="BF82" s="91"/>
      <c r="BG82" s="91"/>
      <c r="BH82" s="91"/>
      <c r="BI82" s="91"/>
      <c r="BJ82" s="91"/>
      <c r="BK82" s="91"/>
      <c r="BL82" s="91"/>
      <c r="BM82" s="91"/>
      <c r="BN82" s="91"/>
      <c r="BO82" s="94"/>
      <c r="BP82" s="95"/>
      <c r="BQ82" s="91"/>
      <c r="BR82" s="91"/>
      <c r="BS82" s="91"/>
      <c r="BT82" s="91"/>
      <c r="BU82" s="91"/>
      <c r="BV82" s="91"/>
      <c r="BW82" s="91"/>
      <c r="BX82" s="91"/>
      <c r="BY82" s="91"/>
      <c r="BZ82" s="91"/>
      <c r="CA82" s="91"/>
      <c r="CC82" s="79" t="n">
        <f aca="false">SUMIFS($T82:$CA82, $T$1:$CA$1, CC$63)</f>
        <v>0</v>
      </c>
      <c r="CD82" s="79" t="n">
        <f aca="false">SUMIFS($T82:$CA82, $T$1:$CA$1, CD$63)</f>
        <v>0</v>
      </c>
      <c r="CE82" s="79" t="n">
        <f aca="false">SUMIFS($T82:$CA82, $T$1:$CA$1, CE$63)</f>
        <v>0</v>
      </c>
      <c r="CF82" s="79" t="n">
        <f aca="false">SUMIFS($T82:$CA82, $T$1:$CA$1, CF$63)</f>
        <v>0</v>
      </c>
      <c r="CG82" s="79" t="n">
        <f aca="false">SUMIFS($T82:$CA82, $T$1:$CA$1, CG$63)</f>
        <v>0</v>
      </c>
      <c r="CI82" s="79" t="n">
        <f aca="false">CC82=L82</f>
        <v>1</v>
      </c>
      <c r="CJ82" s="79" t="n">
        <f aca="false">CD82=M82</f>
        <v>1</v>
      </c>
      <c r="CK82" s="79" t="n">
        <f aca="false">CE82=N82</f>
        <v>1</v>
      </c>
      <c r="CL82" s="79" t="n">
        <f aca="false">CF82=O82</f>
        <v>1</v>
      </c>
      <c r="CM82" s="79" t="n">
        <f aca="false">CG82=P82</f>
        <v>1</v>
      </c>
    </row>
    <row r="83" s="14" customFormat="true" ht="16.5" hidden="false" customHeight="true" outlineLevel="0" collapsed="false">
      <c r="E83" s="91"/>
      <c r="H83" s="71"/>
      <c r="I83" s="91" t="n">
        <v>0</v>
      </c>
      <c r="J83" s="91" t="n">
        <v>0</v>
      </c>
      <c r="K83" s="207" t="n">
        <f aca="false">I83-J83</f>
        <v>0</v>
      </c>
      <c r="L83" s="91"/>
      <c r="M83" s="91"/>
      <c r="N83" s="91"/>
      <c r="O83" s="91"/>
      <c r="P83" s="91"/>
      <c r="Q83" s="93"/>
      <c r="R83" s="16" t="str">
        <f aca="false">IF(K83=P83, "", "Error")</f>
        <v/>
      </c>
      <c r="T83" s="91"/>
      <c r="U83" s="91"/>
      <c r="V83" s="91"/>
      <c r="W83" s="91"/>
      <c r="X83" s="91"/>
      <c r="Y83" s="91"/>
      <c r="Z83" s="91"/>
      <c r="AA83" s="91"/>
      <c r="AB83" s="91"/>
      <c r="AC83" s="91"/>
      <c r="AD83" s="91"/>
      <c r="AE83" s="94"/>
      <c r="AF83" s="95"/>
      <c r="AG83" s="91"/>
      <c r="AH83" s="91"/>
      <c r="AI83" s="91"/>
      <c r="AJ83" s="91"/>
      <c r="AK83" s="91"/>
      <c r="AL83" s="91"/>
      <c r="AM83" s="91"/>
      <c r="AN83" s="91"/>
      <c r="AO83" s="91"/>
      <c r="AP83" s="91"/>
      <c r="AQ83" s="94"/>
      <c r="AR83" s="95"/>
      <c r="AS83" s="91"/>
      <c r="AT83" s="91"/>
      <c r="AU83" s="91"/>
      <c r="AV83" s="91"/>
      <c r="AW83" s="91"/>
      <c r="AX83" s="91"/>
      <c r="AY83" s="91"/>
      <c r="AZ83" s="91"/>
      <c r="BA83" s="91"/>
      <c r="BB83" s="91"/>
      <c r="BC83" s="94"/>
      <c r="BD83" s="95"/>
      <c r="BE83" s="91"/>
      <c r="BF83" s="91"/>
      <c r="BG83" s="91"/>
      <c r="BH83" s="91"/>
      <c r="BI83" s="91"/>
      <c r="BJ83" s="91"/>
      <c r="BK83" s="91"/>
      <c r="BL83" s="91"/>
      <c r="BM83" s="91"/>
      <c r="BN83" s="91"/>
      <c r="BO83" s="94"/>
      <c r="BP83" s="95"/>
      <c r="BQ83" s="91"/>
      <c r="BR83" s="91"/>
      <c r="BS83" s="91"/>
      <c r="BT83" s="91"/>
      <c r="BU83" s="91"/>
      <c r="BV83" s="91"/>
      <c r="BW83" s="91"/>
      <c r="BX83" s="91"/>
      <c r="BY83" s="91"/>
      <c r="BZ83" s="91"/>
      <c r="CA83" s="91"/>
      <c r="CC83" s="79" t="n">
        <f aca="false">SUMIFS($T83:$CA83, $T$1:$CA$1, CC$63)</f>
        <v>0</v>
      </c>
      <c r="CD83" s="79" t="n">
        <f aca="false">SUMIFS($T83:$CA83, $T$1:$CA$1, CD$63)</f>
        <v>0</v>
      </c>
      <c r="CE83" s="79" t="n">
        <f aca="false">SUMIFS($T83:$CA83, $T$1:$CA$1, CE$63)</f>
        <v>0</v>
      </c>
      <c r="CF83" s="79" t="n">
        <f aca="false">SUMIFS($T83:$CA83, $T$1:$CA$1, CF$63)</f>
        <v>0</v>
      </c>
      <c r="CG83" s="79" t="n">
        <f aca="false">SUMIFS($T83:$CA83, $T$1:$CA$1, CG$63)</f>
        <v>0</v>
      </c>
      <c r="CI83" s="79" t="n">
        <f aca="false">CC83=L83</f>
        <v>1</v>
      </c>
      <c r="CJ83" s="79" t="n">
        <f aca="false">CD83=M83</f>
        <v>1</v>
      </c>
      <c r="CK83" s="79" t="n">
        <f aca="false">CE83=N83</f>
        <v>1</v>
      </c>
      <c r="CL83" s="79" t="n">
        <f aca="false">CF83=O83</f>
        <v>1</v>
      </c>
      <c r="CM83" s="79" t="n">
        <f aca="false">CG83=P83</f>
        <v>1</v>
      </c>
    </row>
    <row r="84" s="14" customFormat="true" ht="16.5" hidden="false" customHeight="true" outlineLevel="0" collapsed="false">
      <c r="E84" s="96" t="s">
        <v>133</v>
      </c>
      <c r="H84" s="71"/>
      <c r="I84" s="82" t="n">
        <f aca="false">SUM(I79:I83)</f>
        <v>0</v>
      </c>
      <c r="J84" s="82" t="n">
        <f aca="false">SUM(J79:J83)</f>
        <v>0</v>
      </c>
      <c r="K84" s="82" t="n">
        <f aca="false">SUM(K79:K83)</f>
        <v>0</v>
      </c>
      <c r="L84" s="82" t="n">
        <f aca="false">SUM(L79:L83)</f>
        <v>0</v>
      </c>
      <c r="M84" s="82" t="n">
        <f aca="false">SUM(M79:M83)</f>
        <v>0</v>
      </c>
      <c r="N84" s="82" t="n">
        <f aca="false">SUM(N79:N83)</f>
        <v>0</v>
      </c>
      <c r="O84" s="82" t="n">
        <f aca="false">SUM(O79:O83)</f>
        <v>0</v>
      </c>
      <c r="P84" s="82" t="n">
        <f aca="false">SUM(P79:P83)</f>
        <v>0</v>
      </c>
      <c r="Q84" s="103"/>
      <c r="R84" s="103"/>
      <c r="S84" s="104"/>
      <c r="T84" s="82" t="n">
        <f aca="false">SUM(T79:T83)</f>
        <v>0</v>
      </c>
      <c r="U84" s="82" t="n">
        <f aca="false">SUM(U79:U83)</f>
        <v>0</v>
      </c>
      <c r="V84" s="82" t="n">
        <f aca="false">SUM(V79:V83)</f>
        <v>0</v>
      </c>
      <c r="W84" s="82" t="n">
        <f aca="false">SUM(W79:W83)</f>
        <v>0</v>
      </c>
      <c r="X84" s="82" t="n">
        <f aca="false">SUM(X79:X83)</f>
        <v>0</v>
      </c>
      <c r="Y84" s="82" t="n">
        <f aca="false">SUM(Y79:Y83)</f>
        <v>0</v>
      </c>
      <c r="Z84" s="82" t="n">
        <f aca="false">SUM(Z79:Z83)</f>
        <v>0</v>
      </c>
      <c r="AA84" s="82" t="n">
        <f aca="false">SUM(AA79:AA83)</f>
        <v>0</v>
      </c>
      <c r="AB84" s="82" t="n">
        <f aca="false">SUM(AB79:AB83)</f>
        <v>0</v>
      </c>
      <c r="AC84" s="82" t="n">
        <f aca="false">SUM(AC79:AC83)</f>
        <v>0</v>
      </c>
      <c r="AD84" s="82" t="n">
        <f aca="false">SUM(AD79:AD83)</f>
        <v>0</v>
      </c>
      <c r="AE84" s="82" t="n">
        <f aca="false">SUM(AE79:AE83)</f>
        <v>0</v>
      </c>
      <c r="AF84" s="82" t="n">
        <f aca="false">SUM(AF79:AF83)</f>
        <v>0</v>
      </c>
      <c r="AG84" s="82" t="n">
        <f aca="false">SUM(AG79:AG83)</f>
        <v>0</v>
      </c>
      <c r="AH84" s="82" t="n">
        <f aca="false">SUM(AH79:AH83)</f>
        <v>0</v>
      </c>
      <c r="AI84" s="82" t="n">
        <f aca="false">SUM(AI79:AI83)</f>
        <v>0</v>
      </c>
      <c r="AJ84" s="82" t="n">
        <f aca="false">SUM(AJ79:AJ83)</f>
        <v>0</v>
      </c>
      <c r="AK84" s="82" t="n">
        <f aca="false">SUM(AK79:AK83)</f>
        <v>0</v>
      </c>
      <c r="AL84" s="82" t="n">
        <f aca="false">SUM(AL79:AL83)</f>
        <v>0</v>
      </c>
      <c r="AM84" s="82" t="n">
        <f aca="false">SUM(AM79:AM83)</f>
        <v>0</v>
      </c>
      <c r="AN84" s="82" t="n">
        <f aca="false">SUM(AN79:AN83)</f>
        <v>0</v>
      </c>
      <c r="AO84" s="82" t="n">
        <f aca="false">SUM(AO79:AO83)</f>
        <v>0</v>
      </c>
      <c r="AP84" s="82" t="n">
        <f aca="false">SUM(AP79:AP83)</f>
        <v>0</v>
      </c>
      <c r="AQ84" s="82" t="n">
        <f aca="false">SUM(AQ79:AQ83)</f>
        <v>0</v>
      </c>
      <c r="AR84" s="82" t="n">
        <f aca="false">SUM(AR79:AR83)</f>
        <v>0</v>
      </c>
      <c r="AS84" s="82" t="n">
        <f aca="false">SUM(AS79:AS83)</f>
        <v>0</v>
      </c>
      <c r="AT84" s="82" t="n">
        <f aca="false">SUM(AT79:AT83)</f>
        <v>0</v>
      </c>
      <c r="AU84" s="82" t="n">
        <f aca="false">SUM(AU79:AU83)</f>
        <v>0</v>
      </c>
      <c r="AV84" s="82" t="n">
        <f aca="false">SUM(AV79:AV83)</f>
        <v>0</v>
      </c>
      <c r="AW84" s="82" t="n">
        <f aca="false">SUM(AW79:AW83)</f>
        <v>0</v>
      </c>
      <c r="AX84" s="82" t="n">
        <f aca="false">SUM(AX79:AX83)</f>
        <v>0</v>
      </c>
      <c r="AY84" s="82" t="n">
        <f aca="false">SUM(AY79:AY83)</f>
        <v>0</v>
      </c>
      <c r="AZ84" s="82" t="n">
        <f aca="false">SUM(AZ79:AZ83)</f>
        <v>0</v>
      </c>
      <c r="BA84" s="82" t="n">
        <f aca="false">SUM(BA79:BA83)</f>
        <v>0</v>
      </c>
      <c r="BB84" s="82" t="n">
        <f aca="false">SUM(BB79:BB83)</f>
        <v>0</v>
      </c>
      <c r="BC84" s="82" t="n">
        <f aca="false">SUM(BC79:BC83)</f>
        <v>0</v>
      </c>
      <c r="BD84" s="82" t="n">
        <f aca="false">SUM(BD79:BD83)</f>
        <v>0</v>
      </c>
      <c r="BE84" s="82" t="n">
        <f aca="false">SUM(BE79:BE83)</f>
        <v>0</v>
      </c>
      <c r="BF84" s="82" t="n">
        <f aca="false">SUM(BF79:BF83)</f>
        <v>0</v>
      </c>
      <c r="BG84" s="82" t="n">
        <f aca="false">SUM(BG79:BG83)</f>
        <v>0</v>
      </c>
      <c r="BH84" s="82" t="n">
        <f aca="false">SUM(BH79:BH83)</f>
        <v>0</v>
      </c>
      <c r="BI84" s="82" t="n">
        <f aca="false">SUM(BI79:BI83)</f>
        <v>0</v>
      </c>
      <c r="BJ84" s="82" t="n">
        <f aca="false">SUM(BJ79:BJ83)</f>
        <v>0</v>
      </c>
      <c r="BK84" s="82" t="n">
        <f aca="false">SUM(BK79:BK83)</f>
        <v>0</v>
      </c>
      <c r="BL84" s="82" t="n">
        <f aca="false">SUM(BL79:BL83)</f>
        <v>0</v>
      </c>
      <c r="BM84" s="82" t="n">
        <f aca="false">SUM(BM79:BM83)</f>
        <v>0</v>
      </c>
      <c r="BN84" s="82" t="n">
        <f aca="false">SUM(BN79:BN83)</f>
        <v>0</v>
      </c>
      <c r="BO84" s="82" t="n">
        <f aca="false">SUM(BO79:BO83)</f>
        <v>0</v>
      </c>
      <c r="BP84" s="82" t="n">
        <f aca="false">SUM(BP79:BP83)</f>
        <v>0</v>
      </c>
      <c r="BQ84" s="82" t="n">
        <f aca="false">SUM(BQ79:BQ83)</f>
        <v>0</v>
      </c>
      <c r="BR84" s="82" t="n">
        <f aca="false">SUM(BR79:BR83)</f>
        <v>0</v>
      </c>
      <c r="BS84" s="82" t="n">
        <f aca="false">SUM(BS79:BS83)</f>
        <v>0</v>
      </c>
      <c r="BT84" s="82" t="n">
        <f aca="false">SUM(BT79:BT83)</f>
        <v>0</v>
      </c>
      <c r="BU84" s="82" t="n">
        <f aca="false">SUM(BU79:BU83)</f>
        <v>0</v>
      </c>
      <c r="BV84" s="82" t="n">
        <f aca="false">SUM(BV79:BV83)</f>
        <v>0</v>
      </c>
      <c r="BW84" s="82" t="n">
        <f aca="false">SUM(BW79:BW83)</f>
        <v>0</v>
      </c>
      <c r="BX84" s="82" t="n">
        <f aca="false">SUM(BX79:BX83)</f>
        <v>0</v>
      </c>
      <c r="BY84" s="82" t="n">
        <f aca="false">SUM(BY79:BY83)</f>
        <v>0</v>
      </c>
      <c r="BZ84" s="82" t="n">
        <f aca="false">SUM(BZ79:BZ83)</f>
        <v>0</v>
      </c>
      <c r="CA84" s="82" t="n">
        <f aca="false">SUM(CA79:CA83)</f>
        <v>0</v>
      </c>
      <c r="CB84" s="104"/>
      <c r="CC84" s="105" t="n">
        <f aca="false">SUM(CC79:CC83)</f>
        <v>0</v>
      </c>
      <c r="CD84" s="105" t="n">
        <f aca="false">SUM(CD79:CD83)</f>
        <v>0</v>
      </c>
      <c r="CE84" s="105" t="n">
        <f aca="false">SUM(CE79:CE83)</f>
        <v>0</v>
      </c>
      <c r="CF84" s="105" t="n">
        <f aca="false">SUM(CF79:CF83)</f>
        <v>0</v>
      </c>
      <c r="CG84" s="105" t="n">
        <f aca="false">SUM(CG79:CG83)</f>
        <v>0</v>
      </c>
      <c r="CI84" s="84" t="n">
        <f aca="false">CC84=L84</f>
        <v>1</v>
      </c>
      <c r="CJ84" s="84" t="n">
        <f aca="false">CD84=M84</f>
        <v>1</v>
      </c>
      <c r="CK84" s="84" t="n">
        <f aca="false">CE84=N84</f>
        <v>1</v>
      </c>
      <c r="CL84" s="84" t="n">
        <f aca="false">CF84=O84</f>
        <v>1</v>
      </c>
      <c r="CM84" s="84" t="n">
        <f aca="false">CG84=P84</f>
        <v>1</v>
      </c>
    </row>
    <row r="85" s="14" customFormat="true" ht="16.5" hidden="false" customHeight="true" outlineLevel="0" collapsed="false">
      <c r="E85" s="96"/>
      <c r="H85" s="71"/>
      <c r="I85" s="82"/>
      <c r="J85" s="82"/>
      <c r="K85" s="82"/>
      <c r="L85" s="82"/>
      <c r="M85" s="82"/>
      <c r="N85" s="82"/>
      <c r="O85" s="82"/>
      <c r="P85" s="82"/>
      <c r="Q85" s="16"/>
      <c r="R85" s="16"/>
      <c r="T85" s="82"/>
      <c r="U85" s="82"/>
      <c r="V85" s="82"/>
      <c r="W85" s="82"/>
      <c r="X85" s="82"/>
      <c r="Y85" s="82"/>
      <c r="Z85" s="82"/>
      <c r="AA85" s="82"/>
      <c r="AB85" s="82"/>
      <c r="AC85" s="82"/>
      <c r="AD85" s="82"/>
      <c r="AE85" s="82"/>
      <c r="AF85" s="83"/>
      <c r="AG85" s="82"/>
      <c r="AH85" s="82"/>
      <c r="AI85" s="82"/>
      <c r="AJ85" s="82"/>
      <c r="AK85" s="82"/>
      <c r="AL85" s="82"/>
      <c r="AM85" s="82"/>
      <c r="AN85" s="82"/>
      <c r="AO85" s="82"/>
      <c r="AP85" s="82"/>
      <c r="AQ85" s="82"/>
      <c r="AR85" s="83"/>
      <c r="AS85" s="82"/>
      <c r="AT85" s="82"/>
      <c r="AU85" s="82"/>
      <c r="AV85" s="82"/>
      <c r="AW85" s="82"/>
      <c r="AX85" s="82"/>
      <c r="AY85" s="82"/>
      <c r="AZ85" s="82"/>
      <c r="BA85" s="82"/>
      <c r="BB85" s="82"/>
      <c r="BC85" s="82"/>
      <c r="BD85" s="83"/>
      <c r="BE85" s="82"/>
      <c r="BF85" s="82"/>
      <c r="BG85" s="82"/>
      <c r="BH85" s="82"/>
      <c r="BI85" s="82"/>
      <c r="BJ85" s="82"/>
      <c r="BK85" s="82"/>
      <c r="BL85" s="82"/>
      <c r="BM85" s="82"/>
      <c r="BN85" s="82"/>
      <c r="BO85" s="82"/>
      <c r="BP85" s="83"/>
      <c r="BQ85" s="82"/>
      <c r="BR85" s="82"/>
      <c r="BS85" s="82"/>
      <c r="BT85" s="82"/>
      <c r="BU85" s="82"/>
      <c r="BV85" s="82"/>
      <c r="BW85" s="82"/>
      <c r="BX85" s="82"/>
      <c r="BY85" s="82"/>
      <c r="BZ85" s="82"/>
      <c r="CA85" s="82"/>
      <c r="CC85" s="84"/>
      <c r="CD85" s="84"/>
      <c r="CE85" s="84"/>
      <c r="CF85" s="84"/>
      <c r="CG85" s="84"/>
      <c r="CI85" s="84"/>
      <c r="CJ85" s="84"/>
      <c r="CK85" s="84"/>
      <c r="CL85" s="84"/>
      <c r="CM85" s="84"/>
    </row>
    <row r="86" s="14" customFormat="true" ht="16.5" hidden="false" customHeight="true" outlineLevel="0" collapsed="false">
      <c r="E86" s="96"/>
      <c r="H86" s="71"/>
      <c r="I86" s="82"/>
      <c r="J86" s="82"/>
      <c r="K86" s="82"/>
      <c r="L86" s="82"/>
      <c r="M86" s="82"/>
      <c r="N86" s="82"/>
      <c r="O86" s="82"/>
      <c r="P86" s="82"/>
      <c r="Q86" s="16"/>
      <c r="R86" s="16"/>
      <c r="T86" s="82"/>
      <c r="U86" s="82"/>
      <c r="V86" s="82"/>
      <c r="W86" s="82"/>
      <c r="X86" s="82"/>
      <c r="Y86" s="82"/>
      <c r="Z86" s="82"/>
      <c r="AA86" s="82"/>
      <c r="AB86" s="82"/>
      <c r="AC86" s="82"/>
      <c r="AD86" s="82"/>
      <c r="AE86" s="82"/>
      <c r="AF86" s="83"/>
      <c r="AG86" s="82"/>
      <c r="AH86" s="82"/>
      <c r="AI86" s="82"/>
      <c r="AJ86" s="82"/>
      <c r="AK86" s="82"/>
      <c r="AL86" s="82"/>
      <c r="AM86" s="82"/>
      <c r="AN86" s="82"/>
      <c r="AO86" s="82"/>
      <c r="AP86" s="82"/>
      <c r="AQ86" s="82"/>
      <c r="AR86" s="83"/>
      <c r="AS86" s="82"/>
      <c r="AT86" s="82"/>
      <c r="AU86" s="82"/>
      <c r="AV86" s="82"/>
      <c r="AW86" s="82"/>
      <c r="AX86" s="82"/>
      <c r="AY86" s="82"/>
      <c r="AZ86" s="82"/>
      <c r="BA86" s="82"/>
      <c r="BB86" s="82"/>
      <c r="BC86" s="82"/>
      <c r="BD86" s="83"/>
      <c r="BE86" s="82"/>
      <c r="BF86" s="82"/>
      <c r="BG86" s="82"/>
      <c r="BH86" s="82"/>
      <c r="BI86" s="82"/>
      <c r="BJ86" s="82"/>
      <c r="BK86" s="82"/>
      <c r="BL86" s="82"/>
      <c r="BM86" s="82"/>
      <c r="BN86" s="82"/>
      <c r="BO86" s="82"/>
      <c r="BP86" s="83"/>
      <c r="BQ86" s="82"/>
      <c r="BR86" s="82"/>
      <c r="BS86" s="82"/>
      <c r="BT86" s="82"/>
      <c r="BU86" s="82"/>
      <c r="BV86" s="82"/>
      <c r="BW86" s="82"/>
      <c r="BX86" s="82"/>
      <c r="BY86" s="82"/>
      <c r="BZ86" s="82"/>
      <c r="CA86" s="82"/>
      <c r="CC86" s="84"/>
      <c r="CD86" s="84"/>
      <c r="CE86" s="84"/>
      <c r="CF86" s="84"/>
      <c r="CG86" s="84"/>
      <c r="CI86" s="84"/>
      <c r="CJ86" s="84"/>
      <c r="CK86" s="84"/>
      <c r="CL86" s="84"/>
      <c r="CM86" s="84"/>
    </row>
    <row r="87" s="14" customFormat="true" ht="16.5" hidden="false" customHeight="true" outlineLevel="0" collapsed="false">
      <c r="E87" s="85"/>
      <c r="H87" s="71"/>
      <c r="I87" s="88"/>
      <c r="J87" s="88"/>
      <c r="K87" s="88"/>
      <c r="L87" s="88"/>
      <c r="M87" s="88"/>
      <c r="N87" s="88"/>
      <c r="O87" s="88"/>
      <c r="P87" s="88"/>
      <c r="Q87" s="16"/>
      <c r="R87" s="16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9"/>
      <c r="AG87" s="88"/>
      <c r="AH87" s="88"/>
      <c r="AI87" s="88"/>
      <c r="AJ87" s="88"/>
      <c r="AK87" s="88"/>
      <c r="AL87" s="88"/>
      <c r="AM87" s="88"/>
      <c r="AN87" s="88"/>
      <c r="AO87" s="88"/>
      <c r="AP87" s="88"/>
      <c r="AQ87" s="88"/>
      <c r="AR87" s="89"/>
      <c r="AS87" s="88"/>
      <c r="AT87" s="88"/>
      <c r="AU87" s="88"/>
      <c r="AV87" s="88"/>
      <c r="AW87" s="88"/>
      <c r="AX87" s="88"/>
      <c r="AY87" s="88"/>
      <c r="AZ87" s="88"/>
      <c r="BA87" s="88"/>
      <c r="BB87" s="88"/>
      <c r="BC87" s="88"/>
      <c r="BD87" s="89"/>
      <c r="BE87" s="88"/>
      <c r="BF87" s="88"/>
      <c r="BG87" s="88"/>
      <c r="BH87" s="88"/>
      <c r="BI87" s="88"/>
      <c r="BJ87" s="88"/>
      <c r="BK87" s="88"/>
      <c r="BL87" s="88"/>
      <c r="BM87" s="88"/>
      <c r="BN87" s="88"/>
      <c r="BO87" s="88"/>
      <c r="BP87" s="89"/>
      <c r="BQ87" s="88"/>
      <c r="BR87" s="88"/>
      <c r="BS87" s="88"/>
      <c r="BT87" s="88"/>
      <c r="BU87" s="88"/>
      <c r="BV87" s="88"/>
      <c r="BW87" s="88"/>
      <c r="BX87" s="88"/>
      <c r="BY87" s="88"/>
      <c r="BZ87" s="88"/>
      <c r="CA87" s="88"/>
      <c r="CC87" s="90"/>
      <c r="CD87" s="90"/>
      <c r="CE87" s="90"/>
      <c r="CF87" s="90"/>
      <c r="CG87" s="90"/>
      <c r="CI87" s="90"/>
      <c r="CJ87" s="90"/>
      <c r="CK87" s="90"/>
      <c r="CL87" s="90"/>
      <c r="CM87" s="90"/>
    </row>
    <row r="88" s="14" customFormat="true" ht="16.5" hidden="false" customHeight="true" outlineLevel="0" collapsed="false">
      <c r="E88" s="109" t="s">
        <v>134</v>
      </c>
      <c r="F88" s="109"/>
      <c r="G88" s="109"/>
      <c r="H88" s="110"/>
      <c r="I88" s="212" t="n">
        <f aca="false">SUM(I68, I76, I84)</f>
        <v>0</v>
      </c>
      <c r="J88" s="212" t="n">
        <f aca="false">SUM(J68, J76, J84)</f>
        <v>0</v>
      </c>
      <c r="K88" s="212" t="n">
        <f aca="false">SUM(K68, K76, K84)</f>
        <v>0</v>
      </c>
      <c r="L88" s="212" t="n">
        <f aca="false">SUM(L68, L76, L84)</f>
        <v>0</v>
      </c>
      <c r="M88" s="212" t="n">
        <f aca="false">SUM(M68, M76, M84)</f>
        <v>0</v>
      </c>
      <c r="N88" s="212" t="n">
        <f aca="false">SUM(N68, N76, N84)</f>
        <v>0</v>
      </c>
      <c r="O88" s="212" t="n">
        <f aca="false">SUM(O68, O76, O84)</f>
        <v>0</v>
      </c>
      <c r="P88" s="212" t="n">
        <f aca="false">SUM(P68, P76, P84)</f>
        <v>0</v>
      </c>
      <c r="Q88" s="16"/>
      <c r="R88" s="16"/>
      <c r="T88" s="213" t="n">
        <f aca="false">SUM(T68, T76, T84)</f>
        <v>0</v>
      </c>
      <c r="U88" s="213" t="n">
        <f aca="false">SUM(U68, U76, U84)</f>
        <v>0</v>
      </c>
      <c r="V88" s="213" t="n">
        <f aca="false">SUM(V68, V76, V84)</f>
        <v>0</v>
      </c>
      <c r="W88" s="213" t="n">
        <f aca="false">SUM(W68, W76, W84)</f>
        <v>0</v>
      </c>
      <c r="X88" s="213" t="n">
        <f aca="false">SUM(X68, X76, X84)</f>
        <v>0</v>
      </c>
      <c r="Y88" s="213" t="n">
        <f aca="false">SUM(Y68, Y76, Y84)</f>
        <v>0</v>
      </c>
      <c r="Z88" s="213" t="n">
        <f aca="false">SUM(Z68, Z76, Z84)</f>
        <v>0</v>
      </c>
      <c r="AA88" s="213" t="n">
        <f aca="false">SUM(AA68, AA76, AA84)</f>
        <v>0</v>
      </c>
      <c r="AB88" s="213" t="n">
        <f aca="false">SUM(AB68, AB76, AB84)</f>
        <v>0</v>
      </c>
      <c r="AC88" s="213" t="n">
        <f aca="false">SUM(AC68, AC76, AC84)</f>
        <v>0</v>
      </c>
      <c r="AD88" s="213" t="n">
        <f aca="false">SUM(AD68, AD76, AD84)</f>
        <v>0</v>
      </c>
      <c r="AE88" s="213" t="n">
        <f aca="false">SUM(AE68, AE76, AE84)</f>
        <v>0</v>
      </c>
      <c r="AF88" s="213" t="n">
        <f aca="false">SUM(AF68, AF76, AF84)</f>
        <v>0</v>
      </c>
      <c r="AG88" s="213" t="n">
        <f aca="false">SUM(AG68, AG76, AG84)</f>
        <v>0</v>
      </c>
      <c r="AH88" s="213" t="n">
        <f aca="false">SUM(AH68, AH76, AH84)</f>
        <v>0</v>
      </c>
      <c r="AI88" s="213" t="n">
        <f aca="false">SUM(AI68, AI76, AI84)</f>
        <v>0</v>
      </c>
      <c r="AJ88" s="213" t="n">
        <f aca="false">SUM(AJ68, AJ76, AJ84)</f>
        <v>0</v>
      </c>
      <c r="AK88" s="213" t="n">
        <f aca="false">SUM(AK68, AK76, AK84)</f>
        <v>0</v>
      </c>
      <c r="AL88" s="213" t="n">
        <f aca="false">SUM(AL68, AL76, AL84)</f>
        <v>0</v>
      </c>
      <c r="AM88" s="213" t="n">
        <f aca="false">SUM(AM68, AM76, AM84)</f>
        <v>0</v>
      </c>
      <c r="AN88" s="213" t="n">
        <f aca="false">SUM(AN68, AN76, AN84)</f>
        <v>0</v>
      </c>
      <c r="AO88" s="213" t="n">
        <f aca="false">SUM(AO68, AO76, AO84)</f>
        <v>0</v>
      </c>
      <c r="AP88" s="213" t="n">
        <f aca="false">SUM(AP68, AP76, AP84)</f>
        <v>0</v>
      </c>
      <c r="AQ88" s="213" t="n">
        <f aca="false">SUM(AQ68, AQ76, AQ84)</f>
        <v>0</v>
      </c>
      <c r="AR88" s="213" t="n">
        <f aca="false">SUM(AR68, AR76, AR84)</f>
        <v>0</v>
      </c>
      <c r="AS88" s="213" t="n">
        <f aca="false">SUM(AS68, AS76, AS84)</f>
        <v>0</v>
      </c>
      <c r="AT88" s="213" t="n">
        <f aca="false">SUM(AT68, AT76, AT84)</f>
        <v>0</v>
      </c>
      <c r="AU88" s="213" t="n">
        <f aca="false">SUM(AU68, AU76, AU84)</f>
        <v>0</v>
      </c>
      <c r="AV88" s="213" t="n">
        <f aca="false">SUM(AV68, AV76, AV84)</f>
        <v>0</v>
      </c>
      <c r="AW88" s="213" t="n">
        <f aca="false">SUM(AW68, AW76, AW84)</f>
        <v>0</v>
      </c>
      <c r="AX88" s="213" t="n">
        <f aca="false">SUM(AX68, AX76, AX84)</f>
        <v>0</v>
      </c>
      <c r="AY88" s="213" t="n">
        <f aca="false">SUM(AY68, AY76, AY84)</f>
        <v>0</v>
      </c>
      <c r="AZ88" s="213" t="n">
        <f aca="false">SUM(AZ68, AZ76, AZ84)</f>
        <v>0</v>
      </c>
      <c r="BA88" s="213" t="n">
        <f aca="false">SUM(BA68, BA76, BA84)</f>
        <v>0</v>
      </c>
      <c r="BB88" s="213" t="n">
        <f aca="false">SUM(BB68, BB76, BB84)</f>
        <v>0</v>
      </c>
      <c r="BC88" s="213" t="n">
        <f aca="false">SUM(BC68, BC76, BC84)</f>
        <v>0</v>
      </c>
      <c r="BD88" s="213" t="n">
        <f aca="false">SUM(BD68, BD76, BD84)</f>
        <v>0</v>
      </c>
      <c r="BE88" s="213" t="n">
        <f aca="false">SUM(BE68, BE76, BE84)</f>
        <v>0</v>
      </c>
      <c r="BF88" s="213" t="n">
        <f aca="false">SUM(BF68, BF76, BF84)</f>
        <v>0</v>
      </c>
      <c r="BG88" s="213" t="n">
        <f aca="false">SUM(BG68, BG76, BG84)</f>
        <v>0</v>
      </c>
      <c r="BH88" s="213" t="n">
        <f aca="false">SUM(BH68, BH76, BH84)</f>
        <v>0</v>
      </c>
      <c r="BI88" s="213" t="n">
        <f aca="false">SUM(BI68, BI76, BI84)</f>
        <v>0</v>
      </c>
      <c r="BJ88" s="213" t="n">
        <f aca="false">SUM(BJ68, BJ76, BJ84)</f>
        <v>0</v>
      </c>
      <c r="BK88" s="213" t="n">
        <f aca="false">SUM(BK68, BK76, BK84)</f>
        <v>0</v>
      </c>
      <c r="BL88" s="213" t="n">
        <f aca="false">SUM(BL68, BL76, BL84)</f>
        <v>0</v>
      </c>
      <c r="BM88" s="213" t="n">
        <f aca="false">SUM(BM68, BM76, BM84)</f>
        <v>0</v>
      </c>
      <c r="BN88" s="213" t="n">
        <f aca="false">SUM(BN68, BN76, BN84)</f>
        <v>0</v>
      </c>
      <c r="BO88" s="213" t="n">
        <f aca="false">SUM(BO68, BO76, BO84)</f>
        <v>0</v>
      </c>
      <c r="BP88" s="213" t="n">
        <f aca="false">SUM(BP68, BP76, BP84)</f>
        <v>0</v>
      </c>
      <c r="BQ88" s="213" t="n">
        <f aca="false">SUM(BQ68, BQ76, BQ84)</f>
        <v>0</v>
      </c>
      <c r="BR88" s="213" t="n">
        <f aca="false">SUM(BR68, BR76, BR84)</f>
        <v>0</v>
      </c>
      <c r="BS88" s="213" t="n">
        <f aca="false">SUM(BS68, BS76, BS84)</f>
        <v>0</v>
      </c>
      <c r="BT88" s="213" t="n">
        <f aca="false">SUM(BT68, BT76, BT84)</f>
        <v>0</v>
      </c>
      <c r="BU88" s="213" t="n">
        <f aca="false">SUM(BU68, BU76, BU84)</f>
        <v>0</v>
      </c>
      <c r="BV88" s="213" t="n">
        <f aca="false">SUM(BV68, BV76, BV84)</f>
        <v>0</v>
      </c>
      <c r="BW88" s="213" t="n">
        <f aca="false">SUM(BW68, BW76, BW84)</f>
        <v>0</v>
      </c>
      <c r="BX88" s="213" t="n">
        <f aca="false">SUM(BX68, BX76, BX84)</f>
        <v>0</v>
      </c>
      <c r="BY88" s="213" t="n">
        <f aca="false">SUM(BY68, BY76, BY84)</f>
        <v>0</v>
      </c>
      <c r="BZ88" s="213" t="n">
        <f aca="false">SUM(BZ68, BZ76, BZ84)</f>
        <v>0</v>
      </c>
      <c r="CA88" s="213" t="n">
        <f aca="false">SUM(CA68, CA76, CA84)</f>
        <v>0</v>
      </c>
      <c r="CC88" s="112" t="n">
        <f aca="false">SUM(CC68, CC76, CC84)</f>
        <v>0</v>
      </c>
      <c r="CD88" s="112" t="n">
        <f aca="false">SUM(CD68, CD76, CD84)</f>
        <v>0</v>
      </c>
      <c r="CE88" s="112" t="n">
        <f aca="false">SUM(CE68, CE76, CE84)</f>
        <v>0</v>
      </c>
      <c r="CF88" s="112" t="n">
        <f aca="false">SUM(CF68, CF76, CF84)</f>
        <v>0</v>
      </c>
      <c r="CG88" s="112" t="n">
        <f aca="false">SUM(CG68, CG76, CG84)</f>
        <v>0</v>
      </c>
      <c r="CH88" s="112" t="n">
        <f aca="false">SUM(CH68, CH76, CH84)</f>
        <v>0</v>
      </c>
      <c r="CI88" s="113" t="n">
        <f aca="false">CC88=L88</f>
        <v>1</v>
      </c>
      <c r="CJ88" s="113" t="n">
        <f aca="false">CD88=M88</f>
        <v>1</v>
      </c>
      <c r="CK88" s="113" t="n">
        <f aca="false">CE88=N88</f>
        <v>1</v>
      </c>
      <c r="CL88" s="113" t="n">
        <f aca="false">CF88=O88</f>
        <v>1</v>
      </c>
      <c r="CM88" s="113" t="n">
        <f aca="false">CG88=P88</f>
        <v>1</v>
      </c>
    </row>
    <row r="89" s="14" customFormat="true" ht="16.5" hidden="false" customHeight="true" outlineLevel="0" collapsed="false">
      <c r="H89" s="29"/>
      <c r="Q89" s="16"/>
      <c r="R89" s="16"/>
    </row>
    <row r="90" s="14" customFormat="true" ht="16.5" hidden="false" customHeight="true" outlineLevel="0" collapsed="false">
      <c r="H90" s="29"/>
      <c r="Q90" s="16"/>
      <c r="R90" s="16"/>
      <c r="T90" s="62" t="n">
        <v>2026</v>
      </c>
      <c r="U90" s="129"/>
      <c r="V90" s="129"/>
      <c r="W90" s="129"/>
      <c r="X90" s="129"/>
      <c r="Y90" s="129"/>
      <c r="Z90" s="129"/>
      <c r="AA90" s="129"/>
      <c r="AB90" s="129"/>
      <c r="AC90" s="129"/>
      <c r="AD90" s="129"/>
      <c r="AE90" s="129"/>
      <c r="AF90" s="62" t="n">
        <v>2027</v>
      </c>
      <c r="AG90" s="129"/>
      <c r="AH90" s="129"/>
      <c r="AI90" s="129"/>
      <c r="AJ90" s="129"/>
      <c r="AK90" s="129"/>
      <c r="AL90" s="129"/>
      <c r="AM90" s="129"/>
      <c r="AN90" s="129"/>
      <c r="AO90" s="129"/>
      <c r="AP90" s="129"/>
      <c r="AQ90" s="129"/>
      <c r="AR90" s="62" t="n">
        <v>2028</v>
      </c>
      <c r="AS90" s="129"/>
      <c r="AT90" s="129"/>
      <c r="AU90" s="129"/>
      <c r="AV90" s="129"/>
      <c r="AW90" s="129"/>
      <c r="AX90" s="129"/>
      <c r="AY90" s="129"/>
      <c r="AZ90" s="129"/>
      <c r="BA90" s="129"/>
      <c r="BB90" s="129"/>
      <c r="BC90" s="129"/>
      <c r="BD90" s="62" t="n">
        <v>2029</v>
      </c>
      <c r="BE90" s="129"/>
      <c r="BF90" s="129"/>
      <c r="BG90" s="129"/>
      <c r="BH90" s="129"/>
      <c r="BI90" s="129"/>
      <c r="BJ90" s="129"/>
      <c r="BK90" s="129"/>
      <c r="BL90" s="129"/>
      <c r="BM90" s="129"/>
      <c r="BN90" s="129"/>
      <c r="BO90" s="129"/>
      <c r="BP90" s="62" t="n">
        <v>2030</v>
      </c>
      <c r="BQ90" s="130"/>
      <c r="BR90" s="130"/>
      <c r="BS90" s="130"/>
      <c r="BT90" s="130"/>
      <c r="BU90" s="130"/>
      <c r="BV90" s="130"/>
      <c r="BW90" s="130"/>
      <c r="BX90" s="130"/>
      <c r="BY90" s="130"/>
      <c r="BZ90" s="130"/>
      <c r="CA90" s="130"/>
      <c r="CI90" s="206" t="s">
        <v>398</v>
      </c>
      <c r="CJ90" s="206"/>
      <c r="CK90" s="206"/>
      <c r="CL90" s="206"/>
      <c r="CM90" s="206"/>
    </row>
    <row r="91" s="14" customFormat="true" ht="16.5" hidden="false" customHeight="true" outlineLevel="0" collapsed="false">
      <c r="D91" s="30" t="s">
        <v>135</v>
      </c>
      <c r="E91" s="31"/>
      <c r="F91" s="31"/>
      <c r="G91" s="31"/>
      <c r="H91" s="214" t="s">
        <v>120</v>
      </c>
      <c r="I91" s="31" t="s">
        <v>67</v>
      </c>
      <c r="J91" s="31" t="s">
        <v>94</v>
      </c>
      <c r="K91" s="31" t="s">
        <v>121</v>
      </c>
      <c r="L91" s="31" t="n">
        <v>2026</v>
      </c>
      <c r="M91" s="31" t="n">
        <f aca="false">L91+1</f>
        <v>2027</v>
      </c>
      <c r="N91" s="31" t="n">
        <f aca="false">M91+1</f>
        <v>2028</v>
      </c>
      <c r="O91" s="31" t="n">
        <f aca="false">N91+1</f>
        <v>2029</v>
      </c>
      <c r="P91" s="31" t="n">
        <f aca="false">O91+1</f>
        <v>2030</v>
      </c>
      <c r="Q91" s="31" t="s">
        <v>122</v>
      </c>
      <c r="R91" s="31" t="s">
        <v>65</v>
      </c>
      <c r="T91" s="59" t="n">
        <v>46023</v>
      </c>
      <c r="U91" s="60" t="n">
        <f aca="false">EOMONTH(T91, 1)</f>
        <v>46081</v>
      </c>
      <c r="V91" s="60" t="n">
        <f aca="false">EOMONTH(U91, 1)</f>
        <v>46112</v>
      </c>
      <c r="W91" s="60" t="n">
        <f aca="false">EOMONTH(V91, 1)</f>
        <v>46142</v>
      </c>
      <c r="X91" s="60" t="n">
        <f aca="false">EOMONTH(W91, 1)</f>
        <v>46173</v>
      </c>
      <c r="Y91" s="60" t="n">
        <f aca="false">EOMONTH(X91, 1)</f>
        <v>46203</v>
      </c>
      <c r="Z91" s="60" t="n">
        <f aca="false">EOMONTH(Y91, 1)</f>
        <v>46234</v>
      </c>
      <c r="AA91" s="60" t="n">
        <f aca="false">EOMONTH(Z91, 1)</f>
        <v>46265</v>
      </c>
      <c r="AB91" s="60" t="n">
        <f aca="false">EOMONTH(AA91, 1)</f>
        <v>46295</v>
      </c>
      <c r="AC91" s="60" t="n">
        <f aca="false">EOMONTH(AB91, 1)</f>
        <v>46326</v>
      </c>
      <c r="AD91" s="60" t="n">
        <f aca="false">EOMONTH(AC91, 1)</f>
        <v>46356</v>
      </c>
      <c r="AE91" s="61" t="n">
        <f aca="false">EOMONTH(AD91, 1)</f>
        <v>46387</v>
      </c>
      <c r="AF91" s="59" t="n">
        <f aca="false">EOMONTH(AE91, 1)</f>
        <v>46418</v>
      </c>
      <c r="AG91" s="60" t="n">
        <f aca="false">EOMONTH(AF91, 1)</f>
        <v>46446</v>
      </c>
      <c r="AH91" s="60" t="n">
        <f aca="false">EOMONTH(AG91, 1)</f>
        <v>46477</v>
      </c>
      <c r="AI91" s="60" t="n">
        <f aca="false">EOMONTH(AH91, 1)</f>
        <v>46507</v>
      </c>
      <c r="AJ91" s="60" t="n">
        <f aca="false">EOMONTH(AI91, 1)</f>
        <v>46538</v>
      </c>
      <c r="AK91" s="60" t="n">
        <f aca="false">EOMONTH(AJ91, 1)</f>
        <v>46568</v>
      </c>
      <c r="AL91" s="60" t="n">
        <f aca="false">EOMONTH(AK91, 1)</f>
        <v>46599</v>
      </c>
      <c r="AM91" s="60" t="n">
        <f aca="false">EOMONTH(AL91, 1)</f>
        <v>46630</v>
      </c>
      <c r="AN91" s="60" t="n">
        <f aca="false">EOMONTH(AM91, 1)</f>
        <v>46660</v>
      </c>
      <c r="AO91" s="60" t="n">
        <f aca="false">EOMONTH(AN91, 1)</f>
        <v>46691</v>
      </c>
      <c r="AP91" s="60" t="n">
        <f aca="false">EOMONTH(AO91, 1)</f>
        <v>46721</v>
      </c>
      <c r="AQ91" s="61" t="n">
        <f aca="false">EOMONTH(AP91, 1)</f>
        <v>46752</v>
      </c>
      <c r="AR91" s="59" t="n">
        <f aca="false">EOMONTH(AQ91, 1)</f>
        <v>46783</v>
      </c>
      <c r="AS91" s="60" t="n">
        <f aca="false">EOMONTH(AR91, 1)</f>
        <v>46812</v>
      </c>
      <c r="AT91" s="60" t="n">
        <f aca="false">EOMONTH(AS91, 1)</f>
        <v>46843</v>
      </c>
      <c r="AU91" s="60" t="n">
        <f aca="false">EOMONTH(AT91, 1)</f>
        <v>46873</v>
      </c>
      <c r="AV91" s="60" t="n">
        <f aca="false">EOMONTH(AU91, 1)</f>
        <v>46904</v>
      </c>
      <c r="AW91" s="60" t="n">
        <f aca="false">EOMONTH(AV91, 1)</f>
        <v>46934</v>
      </c>
      <c r="AX91" s="60" t="n">
        <f aca="false">EOMONTH(AW91, 1)</f>
        <v>46965</v>
      </c>
      <c r="AY91" s="60" t="n">
        <f aca="false">EOMONTH(AX91, 1)</f>
        <v>46996</v>
      </c>
      <c r="AZ91" s="60" t="n">
        <f aca="false">EOMONTH(AY91, 1)</f>
        <v>47026</v>
      </c>
      <c r="BA91" s="60" t="n">
        <f aca="false">EOMONTH(AZ91, 1)</f>
        <v>47057</v>
      </c>
      <c r="BB91" s="60" t="n">
        <f aca="false">EOMONTH(BA91, 1)</f>
        <v>47087</v>
      </c>
      <c r="BC91" s="61" t="n">
        <f aca="false">EOMONTH(BB91, 1)</f>
        <v>47118</v>
      </c>
      <c r="BD91" s="59" t="n">
        <f aca="false">EOMONTH(BC91, 1)</f>
        <v>47149</v>
      </c>
      <c r="BE91" s="60" t="n">
        <f aca="false">EOMONTH(BD91, 1)</f>
        <v>47177</v>
      </c>
      <c r="BF91" s="60" t="n">
        <f aca="false">EOMONTH(BE91, 1)</f>
        <v>47208</v>
      </c>
      <c r="BG91" s="60" t="n">
        <f aca="false">EOMONTH(BF91, 1)</f>
        <v>47238</v>
      </c>
      <c r="BH91" s="60" t="n">
        <f aca="false">EOMONTH(BG91, 1)</f>
        <v>47269</v>
      </c>
      <c r="BI91" s="60" t="n">
        <f aca="false">EOMONTH(BH91, 1)</f>
        <v>47299</v>
      </c>
      <c r="BJ91" s="60" t="n">
        <f aca="false">EOMONTH(BI91, 1)</f>
        <v>47330</v>
      </c>
      <c r="BK91" s="60" t="n">
        <f aca="false">EOMONTH(BJ91, 1)</f>
        <v>47361</v>
      </c>
      <c r="BL91" s="60" t="n">
        <f aca="false">EOMONTH(BK91, 1)</f>
        <v>47391</v>
      </c>
      <c r="BM91" s="60" t="n">
        <f aca="false">EOMONTH(BL91, 1)</f>
        <v>47422</v>
      </c>
      <c r="BN91" s="60" t="n">
        <f aca="false">EOMONTH(BM91, 1)</f>
        <v>47452</v>
      </c>
      <c r="BO91" s="61" t="n">
        <f aca="false">EOMONTH(BN91, 1)</f>
        <v>47483</v>
      </c>
      <c r="BP91" s="59" t="n">
        <f aca="false">EOMONTH(BO91, 1)</f>
        <v>47514</v>
      </c>
      <c r="BQ91" s="60" t="n">
        <f aca="false">EOMONTH(BP91, 1)</f>
        <v>47542</v>
      </c>
      <c r="BR91" s="60" t="n">
        <f aca="false">EOMONTH(BQ91, 1)</f>
        <v>47573</v>
      </c>
      <c r="BS91" s="60" t="n">
        <f aca="false">EOMONTH(BR91, 1)</f>
        <v>47603</v>
      </c>
      <c r="BT91" s="60" t="n">
        <f aca="false">EOMONTH(BS91, 1)</f>
        <v>47634</v>
      </c>
      <c r="BU91" s="60" t="n">
        <f aca="false">EOMONTH(BT91, 1)</f>
        <v>47664</v>
      </c>
      <c r="BV91" s="60" t="n">
        <f aca="false">EOMONTH(BU91, 1)</f>
        <v>47695</v>
      </c>
      <c r="BW91" s="60" t="n">
        <f aca="false">EOMONTH(BV91, 1)</f>
        <v>47726</v>
      </c>
      <c r="BX91" s="60" t="n">
        <f aca="false">EOMONTH(BW91, 1)</f>
        <v>47756</v>
      </c>
      <c r="BY91" s="60" t="n">
        <f aca="false">EOMONTH(BX91, 1)</f>
        <v>47787</v>
      </c>
      <c r="BZ91" s="60" t="n">
        <f aca="false">EOMONTH(BY91, 1)</f>
        <v>47817</v>
      </c>
      <c r="CA91" s="60" t="n">
        <f aca="false">EOMONTH(BZ91, 1)</f>
        <v>47848</v>
      </c>
      <c r="CC91" s="62" t="n">
        <v>2026</v>
      </c>
      <c r="CD91" s="62" t="n">
        <f aca="false">CC91+1</f>
        <v>2027</v>
      </c>
      <c r="CE91" s="62" t="n">
        <f aca="false">CD91+1</f>
        <v>2028</v>
      </c>
      <c r="CF91" s="62" t="n">
        <f aca="false">CE91+1</f>
        <v>2029</v>
      </c>
      <c r="CG91" s="62" t="n">
        <f aca="false">CF91+1</f>
        <v>2030</v>
      </c>
      <c r="CI91" s="62" t="n">
        <v>2026</v>
      </c>
      <c r="CJ91" s="62" t="n">
        <f aca="false">CI91+1</f>
        <v>2027</v>
      </c>
      <c r="CK91" s="62" t="n">
        <f aca="false">CJ91+1</f>
        <v>2028</v>
      </c>
      <c r="CL91" s="62" t="n">
        <f aca="false">CK91+1</f>
        <v>2029</v>
      </c>
      <c r="CM91" s="62" t="n">
        <f aca="false">CL91+1</f>
        <v>2030</v>
      </c>
    </row>
    <row r="92" s="14" customFormat="true" ht="16.5" hidden="false" customHeight="true" outlineLevel="0" collapsed="false">
      <c r="D92" s="63"/>
      <c r="E92" s="64" t="s">
        <v>92</v>
      </c>
      <c r="H92" s="29"/>
      <c r="I92" s="65" t="str">
        <f aca="false">$H$18</f>
        <v>TTM 6/1/26</v>
      </c>
      <c r="J92" s="65" t="s">
        <v>124</v>
      </c>
      <c r="K92" s="65" t="s">
        <v>125</v>
      </c>
      <c r="L92" s="66"/>
      <c r="M92" s="66"/>
      <c r="N92" s="66"/>
      <c r="O92" s="66"/>
      <c r="P92" s="66"/>
      <c r="Q92" s="16"/>
      <c r="R92" s="16"/>
      <c r="T92" s="66"/>
      <c r="U92" s="66"/>
      <c r="V92" s="66"/>
      <c r="W92" s="66"/>
      <c r="X92" s="66"/>
      <c r="Y92" s="66"/>
      <c r="Z92" s="66"/>
      <c r="AA92" s="66"/>
      <c r="AB92" s="66"/>
      <c r="AC92" s="66"/>
      <c r="AD92" s="66"/>
      <c r="AE92" s="66"/>
      <c r="AF92" s="67"/>
      <c r="AG92" s="66"/>
      <c r="AH92" s="66"/>
      <c r="AI92" s="66"/>
      <c r="AJ92" s="66"/>
      <c r="AK92" s="66"/>
      <c r="AL92" s="66"/>
      <c r="AM92" s="66"/>
      <c r="AN92" s="66"/>
      <c r="AO92" s="66"/>
      <c r="AP92" s="66"/>
      <c r="AQ92" s="66"/>
      <c r="AR92" s="67"/>
      <c r="AS92" s="66"/>
      <c r="AT92" s="66"/>
      <c r="AU92" s="66"/>
      <c r="AV92" s="66"/>
      <c r="AW92" s="66"/>
      <c r="AX92" s="66"/>
      <c r="AY92" s="66"/>
      <c r="AZ92" s="66"/>
      <c r="BA92" s="66"/>
      <c r="BB92" s="66"/>
      <c r="BC92" s="66"/>
      <c r="BD92" s="67"/>
      <c r="BE92" s="66"/>
      <c r="BF92" s="66"/>
      <c r="BG92" s="66"/>
      <c r="BH92" s="66"/>
      <c r="BI92" s="66"/>
      <c r="BJ92" s="66"/>
      <c r="BK92" s="66"/>
      <c r="BL92" s="66"/>
      <c r="BM92" s="66"/>
      <c r="BN92" s="66"/>
      <c r="BO92" s="66"/>
      <c r="BP92" s="67"/>
      <c r="BQ92" s="66"/>
      <c r="BR92" s="66"/>
      <c r="BS92" s="66"/>
      <c r="BT92" s="66"/>
      <c r="BU92" s="66"/>
      <c r="BV92" s="66"/>
      <c r="BW92" s="66"/>
      <c r="BX92" s="66"/>
      <c r="BY92" s="66"/>
      <c r="BZ92" s="66"/>
      <c r="CA92" s="66"/>
    </row>
    <row r="93" s="14" customFormat="true" ht="16.5" hidden="false" customHeight="true" outlineLevel="0" collapsed="false">
      <c r="E93" s="68" t="s">
        <v>126</v>
      </c>
      <c r="F93" s="21"/>
      <c r="G93" s="21"/>
      <c r="H93" s="29"/>
      <c r="I93" s="65"/>
      <c r="J93" s="65"/>
      <c r="K93" s="65"/>
      <c r="Q93" s="16"/>
      <c r="R93" s="16"/>
      <c r="AF93" s="69"/>
      <c r="AR93" s="69"/>
      <c r="BD93" s="69"/>
      <c r="BP93" s="69"/>
    </row>
    <row r="94" s="14" customFormat="true" ht="16.5" hidden="false" customHeight="true" outlineLevel="0" collapsed="false">
      <c r="E94" s="70"/>
      <c r="H94" s="71"/>
      <c r="I94" s="76" t="n">
        <v>0</v>
      </c>
      <c r="J94" s="76" t="n">
        <v>0</v>
      </c>
      <c r="K94" s="207" t="n">
        <f aca="false">J94-I94</f>
        <v>0</v>
      </c>
      <c r="L94" s="76"/>
      <c r="M94" s="76"/>
      <c r="N94" s="76"/>
      <c r="O94" s="76"/>
      <c r="P94" s="77"/>
      <c r="Q94" s="75"/>
      <c r="R94" s="16" t="str">
        <f aca="false">IF(K94=P94, "", "Error")</f>
        <v/>
      </c>
      <c r="T94" s="76"/>
      <c r="U94" s="76"/>
      <c r="V94" s="76"/>
      <c r="W94" s="76"/>
      <c r="X94" s="76"/>
      <c r="Y94" s="76"/>
      <c r="Z94" s="76"/>
      <c r="AA94" s="76"/>
      <c r="AB94" s="76"/>
      <c r="AC94" s="76"/>
      <c r="AD94" s="76"/>
      <c r="AE94" s="77"/>
      <c r="AF94" s="78"/>
      <c r="AG94" s="76"/>
      <c r="AH94" s="76"/>
      <c r="AI94" s="76"/>
      <c r="AJ94" s="76"/>
      <c r="AK94" s="76"/>
      <c r="AL94" s="76"/>
      <c r="AM94" s="76"/>
      <c r="AN94" s="76"/>
      <c r="AO94" s="76"/>
      <c r="AP94" s="76"/>
      <c r="AQ94" s="77"/>
      <c r="AR94" s="78"/>
      <c r="AS94" s="76"/>
      <c r="AT94" s="76"/>
      <c r="AU94" s="76"/>
      <c r="AV94" s="76"/>
      <c r="AW94" s="76"/>
      <c r="AX94" s="76"/>
      <c r="AY94" s="76"/>
      <c r="AZ94" s="76"/>
      <c r="BA94" s="76"/>
      <c r="BB94" s="76"/>
      <c r="BC94" s="77"/>
      <c r="BD94" s="78"/>
      <c r="BE94" s="76"/>
      <c r="BF94" s="76"/>
      <c r="BG94" s="76"/>
      <c r="BH94" s="76"/>
      <c r="BI94" s="76"/>
      <c r="BJ94" s="76"/>
      <c r="BK94" s="76"/>
      <c r="BL94" s="76"/>
      <c r="BM94" s="76"/>
      <c r="BN94" s="76"/>
      <c r="BO94" s="77"/>
      <c r="BP94" s="78"/>
      <c r="BQ94" s="76"/>
      <c r="BR94" s="76"/>
      <c r="BS94" s="76"/>
      <c r="BT94" s="76"/>
      <c r="BU94" s="76"/>
      <c r="BV94" s="76"/>
      <c r="BW94" s="76"/>
      <c r="BX94" s="76"/>
      <c r="BY94" s="76"/>
      <c r="BZ94" s="76"/>
      <c r="CA94" s="76"/>
      <c r="CC94" s="79" t="n">
        <f aca="false">SUMIFS($T94:$CA94, $T$1:$CA$1, CC$63)</f>
        <v>0</v>
      </c>
      <c r="CD94" s="79" t="n">
        <f aca="false">SUMIFS($T94:$CA94, $T$1:$CA$1, CD$63)</f>
        <v>0</v>
      </c>
      <c r="CE94" s="79" t="n">
        <f aca="false">SUMIFS($T94:$CA94, $T$1:$CA$1, CE$63)</f>
        <v>0</v>
      </c>
      <c r="CF94" s="79" t="n">
        <f aca="false">SUMIFS($T94:$CA94, $T$1:$CA$1, CF$63)</f>
        <v>0</v>
      </c>
      <c r="CG94" s="79" t="n">
        <f aca="false">SUMIFS($T94:$CA94, $T$1:$CA$1, CG$63)</f>
        <v>0</v>
      </c>
      <c r="CI94" s="79" t="n">
        <f aca="false">CC94=L94</f>
        <v>1</v>
      </c>
      <c r="CJ94" s="79" t="n">
        <f aca="false">CD94=M94</f>
        <v>1</v>
      </c>
      <c r="CK94" s="79" t="n">
        <f aca="false">CE94=N94</f>
        <v>1</v>
      </c>
      <c r="CL94" s="79" t="n">
        <f aca="false">CF94=O94</f>
        <v>1</v>
      </c>
      <c r="CM94" s="79" t="n">
        <f aca="false">CG94=P94</f>
        <v>1</v>
      </c>
    </row>
    <row r="95" s="14" customFormat="true" ht="16.5" hidden="false" customHeight="true" outlineLevel="0" collapsed="false">
      <c r="E95" s="70"/>
      <c r="H95" s="71"/>
      <c r="I95" s="76" t="n">
        <v>0</v>
      </c>
      <c r="J95" s="76" t="n">
        <v>0</v>
      </c>
      <c r="K95" s="207" t="n">
        <f aca="false">J95-I95</f>
        <v>0</v>
      </c>
      <c r="L95" s="76"/>
      <c r="M95" s="76"/>
      <c r="N95" s="76"/>
      <c r="O95" s="76"/>
      <c r="P95" s="77"/>
      <c r="Q95" s="75"/>
      <c r="R95" s="16" t="str">
        <f aca="false">IF(K95=P95, "", "Error")</f>
        <v/>
      </c>
      <c r="T95" s="76"/>
      <c r="U95" s="76"/>
      <c r="V95" s="76"/>
      <c r="W95" s="76"/>
      <c r="X95" s="76"/>
      <c r="Y95" s="76"/>
      <c r="Z95" s="76"/>
      <c r="AA95" s="76"/>
      <c r="AB95" s="76"/>
      <c r="AC95" s="76"/>
      <c r="AD95" s="76"/>
      <c r="AE95" s="77"/>
      <c r="AF95" s="78"/>
      <c r="AG95" s="76"/>
      <c r="AH95" s="76"/>
      <c r="AI95" s="76"/>
      <c r="AJ95" s="76"/>
      <c r="AK95" s="76"/>
      <c r="AL95" s="76"/>
      <c r="AM95" s="76"/>
      <c r="AN95" s="76"/>
      <c r="AO95" s="76"/>
      <c r="AP95" s="76"/>
      <c r="AQ95" s="77"/>
      <c r="AR95" s="78"/>
      <c r="AS95" s="76"/>
      <c r="AT95" s="76"/>
      <c r="AU95" s="76"/>
      <c r="AV95" s="76"/>
      <c r="AW95" s="76"/>
      <c r="AX95" s="76"/>
      <c r="AY95" s="76"/>
      <c r="AZ95" s="76"/>
      <c r="BA95" s="76"/>
      <c r="BB95" s="76"/>
      <c r="BC95" s="77"/>
      <c r="BD95" s="78"/>
      <c r="BE95" s="76"/>
      <c r="BF95" s="76"/>
      <c r="BG95" s="76"/>
      <c r="BH95" s="76"/>
      <c r="BI95" s="76"/>
      <c r="BJ95" s="76"/>
      <c r="BK95" s="76"/>
      <c r="BL95" s="76"/>
      <c r="BM95" s="76"/>
      <c r="BN95" s="76"/>
      <c r="BO95" s="77"/>
      <c r="BP95" s="78"/>
      <c r="BQ95" s="76"/>
      <c r="BR95" s="76"/>
      <c r="BS95" s="76"/>
      <c r="BT95" s="76"/>
      <c r="BU95" s="76"/>
      <c r="BV95" s="76"/>
      <c r="BW95" s="76"/>
      <c r="BX95" s="76"/>
      <c r="BY95" s="76"/>
      <c r="BZ95" s="76"/>
      <c r="CA95" s="76"/>
      <c r="CC95" s="79" t="n">
        <f aca="false">SUMIFS($T95:$CA95, $T$1:$CA$1, CC$63)</f>
        <v>0</v>
      </c>
      <c r="CD95" s="79" t="n">
        <f aca="false">SUMIFS($T95:$CA95, $T$1:$CA$1, CD$63)</f>
        <v>0</v>
      </c>
      <c r="CE95" s="79" t="n">
        <f aca="false">SUMIFS($T95:$CA95, $T$1:$CA$1, CE$63)</f>
        <v>0</v>
      </c>
      <c r="CF95" s="79" t="n">
        <f aca="false">SUMIFS($T95:$CA95, $T$1:$CA$1, CF$63)</f>
        <v>0</v>
      </c>
      <c r="CG95" s="79" t="n">
        <f aca="false">SUMIFS($T95:$CA95, $T$1:$CA$1, CG$63)</f>
        <v>0</v>
      </c>
      <c r="CI95" s="79" t="n">
        <f aca="false">CC95=L95</f>
        <v>1</v>
      </c>
      <c r="CJ95" s="79" t="n">
        <f aca="false">CD95=M95</f>
        <v>1</v>
      </c>
      <c r="CK95" s="79" t="n">
        <f aca="false">CE95=N95</f>
        <v>1</v>
      </c>
      <c r="CL95" s="79" t="n">
        <f aca="false">CF95=O95</f>
        <v>1</v>
      </c>
      <c r="CM95" s="79" t="n">
        <f aca="false">CG95=P95</f>
        <v>1</v>
      </c>
    </row>
    <row r="96" s="14" customFormat="true" ht="16.5" hidden="false" customHeight="true" outlineLevel="0" collapsed="false">
      <c r="E96" s="80" t="s">
        <v>127</v>
      </c>
      <c r="H96" s="29"/>
      <c r="I96" s="82" t="n">
        <f aca="false">SUM(I94:I95)</f>
        <v>0</v>
      </c>
      <c r="J96" s="82" t="n">
        <f aca="false">SUM(J94:J95)</f>
        <v>0</v>
      </c>
      <c r="K96" s="82" t="n">
        <f aca="false">SUM(K94:K95)</f>
        <v>0</v>
      </c>
      <c r="L96" s="82" t="n">
        <f aca="false">SUM(L94:L95)</f>
        <v>0</v>
      </c>
      <c r="M96" s="82" t="n">
        <f aca="false">SUM(M94:M95)</f>
        <v>0</v>
      </c>
      <c r="N96" s="82" t="n">
        <f aca="false">SUM(N94:N95)</f>
        <v>0</v>
      </c>
      <c r="O96" s="82" t="n">
        <f aca="false">SUM(O94:O95)</f>
        <v>0</v>
      </c>
      <c r="P96" s="82" t="n">
        <f aca="false">SUM(P94:P95)</f>
        <v>0</v>
      </c>
      <c r="Q96" s="16"/>
      <c r="R96" s="16"/>
      <c r="T96" s="82" t="n">
        <f aca="false">SUM(T94:T95)</f>
        <v>0</v>
      </c>
      <c r="U96" s="82" t="n">
        <f aca="false">SUM(U94:U95)</f>
        <v>0</v>
      </c>
      <c r="V96" s="82" t="n">
        <f aca="false">SUM(V94:V95)</f>
        <v>0</v>
      </c>
      <c r="W96" s="82" t="n">
        <f aca="false">SUM(W94:W95)</f>
        <v>0</v>
      </c>
      <c r="X96" s="82" t="n">
        <f aca="false">SUM(X94:X95)</f>
        <v>0</v>
      </c>
      <c r="Y96" s="82" t="n">
        <f aca="false">SUM(Y94:Y95)</f>
        <v>0</v>
      </c>
      <c r="Z96" s="82" t="n">
        <f aca="false">SUM(Z94:Z95)</f>
        <v>0</v>
      </c>
      <c r="AA96" s="82" t="n">
        <f aca="false">SUM(AA94:AA95)</f>
        <v>0</v>
      </c>
      <c r="AB96" s="82" t="n">
        <f aca="false">SUM(AB94:AB95)</f>
        <v>0</v>
      </c>
      <c r="AC96" s="82" t="n">
        <f aca="false">SUM(AC94:AC95)</f>
        <v>0</v>
      </c>
      <c r="AD96" s="82" t="n">
        <f aca="false">SUM(AD94:AD95)</f>
        <v>0</v>
      </c>
      <c r="AE96" s="82" t="n">
        <f aca="false">SUM(AE94:AE95)</f>
        <v>0</v>
      </c>
      <c r="AF96" s="83" t="n">
        <f aca="false">SUM(AF94:AF95)</f>
        <v>0</v>
      </c>
      <c r="AG96" s="82" t="n">
        <f aca="false">SUM(AG94:AG95)</f>
        <v>0</v>
      </c>
      <c r="AH96" s="82" t="n">
        <f aca="false">SUM(AH94:AH95)</f>
        <v>0</v>
      </c>
      <c r="AI96" s="82" t="n">
        <f aca="false">SUM(AI94:AI95)</f>
        <v>0</v>
      </c>
      <c r="AJ96" s="82" t="n">
        <f aca="false">SUM(AJ94:AJ95)</f>
        <v>0</v>
      </c>
      <c r="AK96" s="82" t="n">
        <f aca="false">SUM(AK94:AK95)</f>
        <v>0</v>
      </c>
      <c r="AL96" s="82" t="n">
        <f aca="false">SUM(AL94:AL95)</f>
        <v>0</v>
      </c>
      <c r="AM96" s="82" t="n">
        <f aca="false">SUM(AM94:AM95)</f>
        <v>0</v>
      </c>
      <c r="AN96" s="82" t="n">
        <f aca="false">SUM(AN94:AN95)</f>
        <v>0</v>
      </c>
      <c r="AO96" s="82" t="n">
        <f aca="false">SUM(AO94:AO95)</f>
        <v>0</v>
      </c>
      <c r="AP96" s="82" t="n">
        <f aca="false">SUM(AP94:AP95)</f>
        <v>0</v>
      </c>
      <c r="AQ96" s="82" t="n">
        <f aca="false">SUM(AQ94:AQ95)</f>
        <v>0</v>
      </c>
      <c r="AR96" s="83" t="n">
        <f aca="false">SUM(AR94:AR95)</f>
        <v>0</v>
      </c>
      <c r="AS96" s="82" t="n">
        <f aca="false">SUM(AS94:AS95)</f>
        <v>0</v>
      </c>
      <c r="AT96" s="82" t="n">
        <f aca="false">SUM(AT94:AT95)</f>
        <v>0</v>
      </c>
      <c r="AU96" s="82" t="n">
        <f aca="false">SUM(AU94:AU95)</f>
        <v>0</v>
      </c>
      <c r="AV96" s="82" t="n">
        <f aca="false">SUM(AV94:AV95)</f>
        <v>0</v>
      </c>
      <c r="AW96" s="82" t="n">
        <f aca="false">SUM(AW94:AW95)</f>
        <v>0</v>
      </c>
      <c r="AX96" s="82" t="n">
        <f aca="false">SUM(AX94:AX95)</f>
        <v>0</v>
      </c>
      <c r="AY96" s="82" t="n">
        <f aca="false">SUM(AY94:AY95)</f>
        <v>0</v>
      </c>
      <c r="AZ96" s="82" t="n">
        <f aca="false">SUM(AZ94:AZ95)</f>
        <v>0</v>
      </c>
      <c r="BA96" s="82" t="n">
        <f aca="false">SUM(BA94:BA95)</f>
        <v>0</v>
      </c>
      <c r="BB96" s="82" t="n">
        <f aca="false">SUM(BB94:BB95)</f>
        <v>0</v>
      </c>
      <c r="BC96" s="82" t="n">
        <f aca="false">SUM(BC94:BC95)</f>
        <v>0</v>
      </c>
      <c r="BD96" s="83" t="n">
        <f aca="false">SUM(BD94:BD95)</f>
        <v>0</v>
      </c>
      <c r="BE96" s="82" t="n">
        <f aca="false">SUM(BE94:BE95)</f>
        <v>0</v>
      </c>
      <c r="BF96" s="82" t="n">
        <f aca="false">SUM(BF94:BF95)</f>
        <v>0</v>
      </c>
      <c r="BG96" s="82" t="n">
        <f aca="false">SUM(BG94:BG95)</f>
        <v>0</v>
      </c>
      <c r="BH96" s="82" t="n">
        <f aca="false">SUM(BH94:BH95)</f>
        <v>0</v>
      </c>
      <c r="BI96" s="82" t="n">
        <f aca="false">SUM(BI94:BI95)</f>
        <v>0</v>
      </c>
      <c r="BJ96" s="82" t="n">
        <f aca="false">SUM(BJ94:BJ95)</f>
        <v>0</v>
      </c>
      <c r="BK96" s="82" t="n">
        <f aca="false">SUM(BK94:BK95)</f>
        <v>0</v>
      </c>
      <c r="BL96" s="82" t="n">
        <f aca="false">SUM(BL94:BL95)</f>
        <v>0</v>
      </c>
      <c r="BM96" s="82" t="n">
        <f aca="false">SUM(BM94:BM95)</f>
        <v>0</v>
      </c>
      <c r="BN96" s="82" t="n">
        <f aca="false">SUM(BN94:BN95)</f>
        <v>0</v>
      </c>
      <c r="BO96" s="82" t="n">
        <f aca="false">SUM(BO94:BO95)</f>
        <v>0</v>
      </c>
      <c r="BP96" s="83" t="n">
        <f aca="false">SUM(BP94:BP95)</f>
        <v>0</v>
      </c>
      <c r="BQ96" s="82" t="n">
        <f aca="false">SUM(BQ94:BQ95)</f>
        <v>0</v>
      </c>
      <c r="BR96" s="82" t="n">
        <f aca="false">SUM(BR94:BR95)</f>
        <v>0</v>
      </c>
      <c r="BS96" s="82" t="n">
        <f aca="false">SUM(BS94:BS95)</f>
        <v>0</v>
      </c>
      <c r="BT96" s="82" t="n">
        <f aca="false">SUM(BT94:BT95)</f>
        <v>0</v>
      </c>
      <c r="BU96" s="82" t="n">
        <f aca="false">SUM(BU94:BU95)</f>
        <v>0</v>
      </c>
      <c r="BV96" s="82" t="n">
        <f aca="false">SUM(BV94:BV95)</f>
        <v>0</v>
      </c>
      <c r="BW96" s="82" t="n">
        <f aca="false">SUM(BW94:BW95)</f>
        <v>0</v>
      </c>
      <c r="BX96" s="82" t="n">
        <f aca="false">SUM(BX94:BX95)</f>
        <v>0</v>
      </c>
      <c r="BY96" s="82" t="n">
        <f aca="false">SUM(BY94:BY95)</f>
        <v>0</v>
      </c>
      <c r="BZ96" s="82" t="n">
        <f aca="false">SUM(BZ94:BZ95)</f>
        <v>0</v>
      </c>
      <c r="CA96" s="84" t="n">
        <f aca="false">SUM(CA94:CA95)</f>
        <v>0</v>
      </c>
      <c r="CC96" s="84" t="n">
        <f aca="false">SUM(CC94:CC95)</f>
        <v>0</v>
      </c>
      <c r="CD96" s="84" t="n">
        <f aca="false">SUM(CD94:CD95)</f>
        <v>0</v>
      </c>
      <c r="CE96" s="84" t="n">
        <f aca="false">SUM(CE94:CE95)</f>
        <v>0</v>
      </c>
      <c r="CF96" s="84" t="n">
        <f aca="false">SUM(CF94:CF95)</f>
        <v>0</v>
      </c>
      <c r="CG96" s="84" t="n">
        <f aca="false">SUM(CG94:CG95)</f>
        <v>0</v>
      </c>
      <c r="CI96" s="84" t="n">
        <f aca="false">CC96=L96</f>
        <v>1</v>
      </c>
      <c r="CJ96" s="84" t="n">
        <f aca="false">CD96=M96</f>
        <v>1</v>
      </c>
      <c r="CK96" s="84" t="n">
        <f aca="false">CE96=N96</f>
        <v>1</v>
      </c>
      <c r="CL96" s="84" t="n">
        <f aca="false">CF96=O96</f>
        <v>1</v>
      </c>
      <c r="CM96" s="84" t="n">
        <f aca="false">CG96=P96</f>
        <v>1</v>
      </c>
    </row>
    <row r="97" s="14" customFormat="true" ht="16.5" hidden="false" customHeight="true" outlineLevel="0" collapsed="false">
      <c r="E97" s="85"/>
      <c r="H97" s="29"/>
      <c r="I97" s="88"/>
      <c r="J97" s="88"/>
      <c r="K97" s="88"/>
      <c r="L97" s="88"/>
      <c r="M97" s="88"/>
      <c r="N97" s="88"/>
      <c r="O97" s="88"/>
      <c r="P97" s="88"/>
      <c r="Q97" s="16"/>
      <c r="R97" s="16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9"/>
      <c r="AG97" s="88"/>
      <c r="AH97" s="88"/>
      <c r="AI97" s="88"/>
      <c r="AJ97" s="88"/>
      <c r="AK97" s="88"/>
      <c r="AL97" s="88"/>
      <c r="AM97" s="88"/>
      <c r="AN97" s="88"/>
      <c r="AO97" s="88"/>
      <c r="AP97" s="88"/>
      <c r="AQ97" s="88"/>
      <c r="AR97" s="89"/>
      <c r="AS97" s="88"/>
      <c r="AT97" s="88"/>
      <c r="AU97" s="88"/>
      <c r="AV97" s="88"/>
      <c r="AW97" s="88"/>
      <c r="AX97" s="88"/>
      <c r="AY97" s="88"/>
      <c r="AZ97" s="88"/>
      <c r="BA97" s="88"/>
      <c r="BB97" s="88"/>
      <c r="BC97" s="88"/>
      <c r="BD97" s="89"/>
      <c r="BE97" s="88"/>
      <c r="BF97" s="88"/>
      <c r="BG97" s="88"/>
      <c r="BH97" s="88"/>
      <c r="BI97" s="88"/>
      <c r="BJ97" s="88"/>
      <c r="BK97" s="88"/>
      <c r="BL97" s="88"/>
      <c r="BM97" s="88"/>
      <c r="BN97" s="88"/>
      <c r="BO97" s="88"/>
      <c r="BP97" s="89"/>
      <c r="BQ97" s="88"/>
      <c r="BR97" s="88"/>
      <c r="BS97" s="88"/>
      <c r="BT97" s="88"/>
      <c r="BU97" s="88"/>
      <c r="BV97" s="88"/>
      <c r="BW97" s="88"/>
      <c r="BX97" s="88"/>
      <c r="BY97" s="88"/>
      <c r="BZ97" s="88"/>
      <c r="CA97" s="90"/>
      <c r="CC97" s="90"/>
      <c r="CD97" s="90"/>
      <c r="CE97" s="90"/>
      <c r="CF97" s="90"/>
      <c r="CG97" s="90"/>
      <c r="CI97" s="90"/>
      <c r="CJ97" s="90"/>
      <c r="CK97" s="90"/>
      <c r="CL97" s="90"/>
      <c r="CM97" s="90"/>
    </row>
    <row r="98" s="14" customFormat="true" ht="16.5" hidden="false" customHeight="true" outlineLevel="0" collapsed="false">
      <c r="E98" s="21" t="s">
        <v>128</v>
      </c>
      <c r="H98" s="29"/>
      <c r="I98" s="88"/>
      <c r="K98" s="88"/>
      <c r="L98" s="88"/>
      <c r="M98" s="88"/>
      <c r="N98" s="88"/>
      <c r="O98" s="88"/>
      <c r="P98" s="88"/>
      <c r="Q98" s="16"/>
      <c r="R98" s="16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9"/>
      <c r="AG98" s="88"/>
      <c r="AH98" s="88"/>
      <c r="AI98" s="88"/>
      <c r="AJ98" s="88"/>
      <c r="AK98" s="88"/>
      <c r="AL98" s="88"/>
      <c r="AM98" s="88"/>
      <c r="AN98" s="88"/>
      <c r="AO98" s="88"/>
      <c r="AP98" s="88"/>
      <c r="AQ98" s="88"/>
      <c r="AR98" s="89"/>
      <c r="AS98" s="88"/>
      <c r="AT98" s="88"/>
      <c r="AU98" s="88"/>
      <c r="AV98" s="88"/>
      <c r="AW98" s="88"/>
      <c r="AX98" s="88"/>
      <c r="AY98" s="88"/>
      <c r="AZ98" s="88"/>
      <c r="BA98" s="88"/>
      <c r="BB98" s="88"/>
      <c r="BC98" s="88"/>
      <c r="BD98" s="89"/>
      <c r="BE98" s="88"/>
      <c r="BF98" s="88"/>
      <c r="BG98" s="88"/>
      <c r="BH98" s="88"/>
      <c r="BI98" s="88"/>
      <c r="BJ98" s="88"/>
      <c r="BK98" s="88"/>
      <c r="BL98" s="88"/>
      <c r="BM98" s="88"/>
      <c r="BN98" s="88"/>
      <c r="BO98" s="88"/>
      <c r="BP98" s="89"/>
      <c r="BQ98" s="88"/>
      <c r="BR98" s="88"/>
      <c r="BS98" s="88"/>
      <c r="BT98" s="88"/>
      <c r="BU98" s="88"/>
      <c r="BV98" s="88"/>
      <c r="BW98" s="88"/>
      <c r="BX98" s="88"/>
      <c r="BY98" s="88"/>
      <c r="BZ98" s="88"/>
      <c r="CA98" s="90"/>
      <c r="CC98" s="90"/>
      <c r="CD98" s="90"/>
      <c r="CE98" s="90"/>
      <c r="CF98" s="90"/>
      <c r="CG98" s="90"/>
      <c r="CI98" s="90"/>
      <c r="CJ98" s="90"/>
      <c r="CK98" s="90"/>
      <c r="CL98" s="90"/>
      <c r="CM98" s="90"/>
    </row>
    <row r="99" s="14" customFormat="true" ht="16.5" hidden="false" customHeight="true" outlineLevel="0" collapsed="false">
      <c r="E99" s="91"/>
      <c r="H99" s="29"/>
      <c r="I99" s="91" t="n">
        <v>0</v>
      </c>
      <c r="J99" s="91" t="n">
        <v>0</v>
      </c>
      <c r="K99" s="207" t="n">
        <f aca="false">J99-I99</f>
        <v>0</v>
      </c>
      <c r="L99" s="91" t="n">
        <v>0</v>
      </c>
      <c r="M99" s="91" t="n">
        <v>0</v>
      </c>
      <c r="N99" s="91" t="n">
        <v>0</v>
      </c>
      <c r="O99" s="91" t="n">
        <v>0</v>
      </c>
      <c r="P99" s="91" t="n">
        <v>0</v>
      </c>
      <c r="Q99" s="93"/>
      <c r="R99" s="16" t="str">
        <f aca="false">IF(K99=P99, "", "Error")</f>
        <v/>
      </c>
      <c r="T99" s="91"/>
      <c r="U99" s="91"/>
      <c r="V99" s="91"/>
      <c r="W99" s="91"/>
      <c r="X99" s="91"/>
      <c r="Y99" s="91"/>
      <c r="Z99" s="91"/>
      <c r="AA99" s="91"/>
      <c r="AB99" s="91"/>
      <c r="AC99" s="91"/>
      <c r="AD99" s="91"/>
      <c r="AE99" s="94"/>
      <c r="AF99" s="95"/>
      <c r="AG99" s="91"/>
      <c r="AH99" s="91"/>
      <c r="AI99" s="91"/>
      <c r="AJ99" s="91"/>
      <c r="AK99" s="91"/>
      <c r="AL99" s="91"/>
      <c r="AM99" s="91"/>
      <c r="AN99" s="91"/>
      <c r="AO99" s="91"/>
      <c r="AP99" s="91"/>
      <c r="AQ99" s="94"/>
      <c r="AR99" s="95"/>
      <c r="AS99" s="91"/>
      <c r="AT99" s="91"/>
      <c r="AU99" s="91"/>
      <c r="AV99" s="91"/>
      <c r="AW99" s="91"/>
      <c r="AX99" s="91"/>
      <c r="AY99" s="91"/>
      <c r="AZ99" s="91"/>
      <c r="BA99" s="91"/>
      <c r="BB99" s="91"/>
      <c r="BC99" s="94"/>
      <c r="BD99" s="95"/>
      <c r="BE99" s="91"/>
      <c r="BF99" s="91"/>
      <c r="BG99" s="91"/>
      <c r="BH99" s="91"/>
      <c r="BI99" s="91"/>
      <c r="BJ99" s="91"/>
      <c r="BK99" s="91"/>
      <c r="BL99" s="91"/>
      <c r="BM99" s="91"/>
      <c r="BN99" s="91"/>
      <c r="BO99" s="94"/>
      <c r="BP99" s="95"/>
      <c r="BQ99" s="91"/>
      <c r="BR99" s="91"/>
      <c r="BS99" s="91"/>
      <c r="BT99" s="91"/>
      <c r="BU99" s="91"/>
      <c r="BV99" s="91"/>
      <c r="BW99" s="91"/>
      <c r="BX99" s="91"/>
      <c r="BY99" s="91"/>
      <c r="BZ99" s="91"/>
      <c r="CA99" s="119"/>
      <c r="CC99" s="79" t="n">
        <f aca="false">SUMIFS($T99:$CA99, $T$1:$CA$1, CC$63)</f>
        <v>0</v>
      </c>
      <c r="CD99" s="79" t="n">
        <f aca="false">SUMIFS($T99:$CA99, $T$1:$CA$1, CD$63)</f>
        <v>0</v>
      </c>
      <c r="CE99" s="79" t="n">
        <f aca="false">SUMIFS($T99:$CA99, $T$1:$CA$1, CE$63)</f>
        <v>0</v>
      </c>
      <c r="CF99" s="79" t="n">
        <f aca="false">SUMIFS($T99:$CA99, $T$1:$CA$1, CF$63)</f>
        <v>0</v>
      </c>
      <c r="CG99" s="79" t="n">
        <f aca="false">SUMIFS($T99:$CA99, $T$1:$CA$1, CG$63)</f>
        <v>0</v>
      </c>
      <c r="CI99" s="79" t="n">
        <f aca="false">CC99=L99</f>
        <v>1</v>
      </c>
      <c r="CJ99" s="79" t="n">
        <f aca="false">CD99=M99</f>
        <v>1</v>
      </c>
      <c r="CK99" s="79" t="n">
        <f aca="false">CE99=N99</f>
        <v>1</v>
      </c>
      <c r="CL99" s="79" t="n">
        <f aca="false">CF99=O99</f>
        <v>1</v>
      </c>
      <c r="CM99" s="79" t="n">
        <f aca="false">CG99=P99</f>
        <v>1</v>
      </c>
    </row>
    <row r="100" s="14" customFormat="true" ht="16.5" hidden="false" customHeight="true" outlineLevel="0" collapsed="false">
      <c r="E100" s="91"/>
      <c r="H100" s="29"/>
      <c r="I100" s="91" t="n">
        <v>0</v>
      </c>
      <c r="J100" s="91" t="n">
        <v>0</v>
      </c>
      <c r="K100" s="207" t="n">
        <f aca="false">J100-I100</f>
        <v>0</v>
      </c>
      <c r="L100" s="91" t="n">
        <v>0</v>
      </c>
      <c r="M100" s="91" t="n">
        <v>0</v>
      </c>
      <c r="N100" s="91" t="n">
        <v>0</v>
      </c>
      <c r="O100" s="91" t="n">
        <v>0</v>
      </c>
      <c r="P100" s="91" t="n">
        <v>0</v>
      </c>
      <c r="Q100" s="93"/>
      <c r="R100" s="16" t="str">
        <f aca="false">IF(K100=P100, "", "Error")</f>
        <v/>
      </c>
      <c r="T100" s="91"/>
      <c r="U100" s="91"/>
      <c r="V100" s="91"/>
      <c r="W100" s="91"/>
      <c r="X100" s="91"/>
      <c r="Y100" s="91"/>
      <c r="Z100" s="91"/>
      <c r="AA100" s="91"/>
      <c r="AB100" s="91"/>
      <c r="AC100" s="91"/>
      <c r="AD100" s="91"/>
      <c r="AE100" s="94"/>
      <c r="AF100" s="95"/>
      <c r="AG100" s="91"/>
      <c r="AH100" s="91"/>
      <c r="AI100" s="91"/>
      <c r="AJ100" s="91"/>
      <c r="AK100" s="91"/>
      <c r="AL100" s="91"/>
      <c r="AM100" s="91"/>
      <c r="AN100" s="91"/>
      <c r="AO100" s="91"/>
      <c r="AP100" s="91"/>
      <c r="AQ100" s="94"/>
      <c r="AR100" s="95"/>
      <c r="AS100" s="91"/>
      <c r="AT100" s="91"/>
      <c r="AU100" s="91"/>
      <c r="AV100" s="91"/>
      <c r="AW100" s="91"/>
      <c r="AX100" s="91"/>
      <c r="AY100" s="91"/>
      <c r="AZ100" s="91"/>
      <c r="BA100" s="91"/>
      <c r="BB100" s="91"/>
      <c r="BC100" s="94"/>
      <c r="BD100" s="95"/>
      <c r="BE100" s="91"/>
      <c r="BF100" s="91"/>
      <c r="BG100" s="91"/>
      <c r="BH100" s="91"/>
      <c r="BI100" s="91"/>
      <c r="BJ100" s="91"/>
      <c r="BK100" s="91"/>
      <c r="BL100" s="91"/>
      <c r="BM100" s="91"/>
      <c r="BN100" s="91"/>
      <c r="BO100" s="94"/>
      <c r="BP100" s="95"/>
      <c r="BQ100" s="91"/>
      <c r="BR100" s="91"/>
      <c r="BS100" s="91"/>
      <c r="BT100" s="91"/>
      <c r="BU100" s="91"/>
      <c r="BV100" s="91"/>
      <c r="BW100" s="91"/>
      <c r="BX100" s="91"/>
      <c r="BY100" s="91"/>
      <c r="BZ100" s="91"/>
      <c r="CA100" s="119"/>
      <c r="CC100" s="79" t="n">
        <f aca="false">SUMIFS($T100:$CA100, $T$1:$CA$1, CC$63)</f>
        <v>0</v>
      </c>
      <c r="CD100" s="79" t="n">
        <f aca="false">SUMIFS($T100:$CA100, $T$1:$CA$1, CD$63)</f>
        <v>0</v>
      </c>
      <c r="CE100" s="79" t="n">
        <f aca="false">SUMIFS($T100:$CA100, $T$1:$CA$1, CE$63)</f>
        <v>0</v>
      </c>
      <c r="CF100" s="79" t="n">
        <f aca="false">SUMIFS($T100:$CA100, $T$1:$CA$1, CF$63)</f>
        <v>0</v>
      </c>
      <c r="CG100" s="79" t="n">
        <f aca="false">SUMIFS($T100:$CA100, $T$1:$CA$1, CG$63)</f>
        <v>0</v>
      </c>
      <c r="CI100" s="79" t="n">
        <f aca="false">CC100=L100</f>
        <v>1</v>
      </c>
      <c r="CJ100" s="79" t="n">
        <f aca="false">CD100=M100</f>
        <v>1</v>
      </c>
      <c r="CK100" s="79" t="n">
        <f aca="false">CE100=N100</f>
        <v>1</v>
      </c>
      <c r="CL100" s="79" t="n">
        <f aca="false">CF100=O100</f>
        <v>1</v>
      </c>
      <c r="CM100" s="79" t="n">
        <f aca="false">CG100=P100</f>
        <v>1</v>
      </c>
    </row>
    <row r="101" s="14" customFormat="true" ht="16.5" hidden="false" customHeight="true" outlineLevel="0" collapsed="false">
      <c r="E101" s="91"/>
      <c r="H101" s="29"/>
      <c r="I101" s="91" t="n">
        <v>0</v>
      </c>
      <c r="J101" s="91" t="n">
        <v>0</v>
      </c>
      <c r="K101" s="207" t="n">
        <f aca="false">J101-I101</f>
        <v>0</v>
      </c>
      <c r="L101" s="91" t="n">
        <v>0</v>
      </c>
      <c r="M101" s="91" t="n">
        <v>0</v>
      </c>
      <c r="N101" s="91" t="n">
        <v>0</v>
      </c>
      <c r="O101" s="91" t="n">
        <v>0</v>
      </c>
      <c r="P101" s="91" t="n">
        <v>0</v>
      </c>
      <c r="Q101" s="93"/>
      <c r="R101" s="16" t="str">
        <f aca="false">IF(K101=P101, "", "Error")</f>
        <v/>
      </c>
      <c r="T101" s="91"/>
      <c r="U101" s="91"/>
      <c r="V101" s="91"/>
      <c r="W101" s="91"/>
      <c r="X101" s="91"/>
      <c r="Y101" s="91"/>
      <c r="Z101" s="91"/>
      <c r="AA101" s="91"/>
      <c r="AB101" s="91"/>
      <c r="AC101" s="91"/>
      <c r="AD101" s="91"/>
      <c r="AE101" s="94"/>
      <c r="AF101" s="95"/>
      <c r="AG101" s="91"/>
      <c r="AH101" s="91"/>
      <c r="AI101" s="91"/>
      <c r="AJ101" s="91"/>
      <c r="AK101" s="91"/>
      <c r="AL101" s="91"/>
      <c r="AM101" s="91"/>
      <c r="AN101" s="91"/>
      <c r="AO101" s="91"/>
      <c r="AP101" s="91"/>
      <c r="AQ101" s="94"/>
      <c r="AR101" s="95"/>
      <c r="AS101" s="91"/>
      <c r="AT101" s="91"/>
      <c r="AU101" s="91"/>
      <c r="AV101" s="91"/>
      <c r="AW101" s="91"/>
      <c r="AX101" s="91"/>
      <c r="AY101" s="91"/>
      <c r="AZ101" s="91"/>
      <c r="BA101" s="91"/>
      <c r="BB101" s="91"/>
      <c r="BC101" s="94"/>
      <c r="BD101" s="95"/>
      <c r="BE101" s="91"/>
      <c r="BF101" s="91"/>
      <c r="BG101" s="91"/>
      <c r="BH101" s="91"/>
      <c r="BI101" s="91"/>
      <c r="BJ101" s="91"/>
      <c r="BK101" s="91"/>
      <c r="BL101" s="91"/>
      <c r="BM101" s="91"/>
      <c r="BN101" s="91"/>
      <c r="BO101" s="94"/>
      <c r="BP101" s="95"/>
      <c r="BQ101" s="91"/>
      <c r="BR101" s="91"/>
      <c r="BS101" s="91"/>
      <c r="BT101" s="91"/>
      <c r="BU101" s="91"/>
      <c r="BV101" s="91"/>
      <c r="BW101" s="91"/>
      <c r="BX101" s="91"/>
      <c r="BY101" s="91"/>
      <c r="BZ101" s="91"/>
      <c r="CA101" s="119"/>
      <c r="CC101" s="79" t="n">
        <f aca="false">SUMIFS($T101:$CA101, $T$1:$CA$1, CC$63)</f>
        <v>0</v>
      </c>
      <c r="CD101" s="79" t="n">
        <f aca="false">SUMIFS($T101:$CA101, $T$1:$CA$1, CD$63)</f>
        <v>0</v>
      </c>
      <c r="CE101" s="79" t="n">
        <f aca="false">SUMIFS($T101:$CA101, $T$1:$CA$1, CE$63)</f>
        <v>0</v>
      </c>
      <c r="CF101" s="79" t="n">
        <f aca="false">SUMIFS($T101:$CA101, $T$1:$CA$1, CF$63)</f>
        <v>0</v>
      </c>
      <c r="CG101" s="79" t="n">
        <f aca="false">SUMIFS($T101:$CA101, $T$1:$CA$1, CG$63)</f>
        <v>0</v>
      </c>
      <c r="CI101" s="79" t="n">
        <f aca="false">CC101=L101</f>
        <v>1</v>
      </c>
      <c r="CJ101" s="79" t="n">
        <f aca="false">CD101=M101</f>
        <v>1</v>
      </c>
      <c r="CK101" s="79" t="n">
        <f aca="false">CE101=N101</f>
        <v>1</v>
      </c>
      <c r="CL101" s="79" t="n">
        <f aca="false">CF101=O101</f>
        <v>1</v>
      </c>
      <c r="CM101" s="79" t="n">
        <f aca="false">CG101=P101</f>
        <v>1</v>
      </c>
    </row>
    <row r="102" s="14" customFormat="true" ht="16.5" hidden="false" customHeight="true" outlineLevel="0" collapsed="false">
      <c r="E102" s="91"/>
      <c r="H102" s="29"/>
      <c r="I102" s="91" t="n">
        <v>0</v>
      </c>
      <c r="J102" s="91" t="n">
        <v>0</v>
      </c>
      <c r="K102" s="207" t="n">
        <f aca="false">J102-I102</f>
        <v>0</v>
      </c>
      <c r="L102" s="91" t="n">
        <v>0</v>
      </c>
      <c r="M102" s="91" t="n">
        <v>0</v>
      </c>
      <c r="N102" s="91" t="n">
        <v>0</v>
      </c>
      <c r="O102" s="91" t="n">
        <v>0</v>
      </c>
      <c r="P102" s="91" t="n">
        <v>0</v>
      </c>
      <c r="Q102" s="93"/>
      <c r="R102" s="16" t="str">
        <f aca="false">IF(K102=P102, "", "Error")</f>
        <v/>
      </c>
      <c r="T102" s="91"/>
      <c r="U102" s="91"/>
      <c r="V102" s="91"/>
      <c r="W102" s="91"/>
      <c r="X102" s="91"/>
      <c r="Y102" s="91"/>
      <c r="Z102" s="91"/>
      <c r="AA102" s="91"/>
      <c r="AB102" s="91"/>
      <c r="AC102" s="91"/>
      <c r="AD102" s="91"/>
      <c r="AE102" s="94"/>
      <c r="AF102" s="95"/>
      <c r="AG102" s="91"/>
      <c r="AH102" s="91"/>
      <c r="AI102" s="91"/>
      <c r="AJ102" s="91"/>
      <c r="AK102" s="91"/>
      <c r="AL102" s="91"/>
      <c r="AM102" s="91"/>
      <c r="AN102" s="91"/>
      <c r="AO102" s="91"/>
      <c r="AP102" s="91"/>
      <c r="AQ102" s="94"/>
      <c r="AR102" s="95"/>
      <c r="AS102" s="91"/>
      <c r="AT102" s="91"/>
      <c r="AU102" s="91"/>
      <c r="AV102" s="91"/>
      <c r="AW102" s="91"/>
      <c r="AX102" s="91"/>
      <c r="AY102" s="91"/>
      <c r="AZ102" s="91"/>
      <c r="BA102" s="91"/>
      <c r="BB102" s="91"/>
      <c r="BC102" s="94"/>
      <c r="BD102" s="95"/>
      <c r="BE102" s="91"/>
      <c r="BF102" s="91"/>
      <c r="BG102" s="91"/>
      <c r="BH102" s="91"/>
      <c r="BI102" s="91"/>
      <c r="BJ102" s="91"/>
      <c r="BK102" s="91"/>
      <c r="BL102" s="91"/>
      <c r="BM102" s="91"/>
      <c r="BN102" s="91"/>
      <c r="BO102" s="94"/>
      <c r="BP102" s="95"/>
      <c r="BQ102" s="91"/>
      <c r="BR102" s="91"/>
      <c r="BS102" s="91"/>
      <c r="BT102" s="91"/>
      <c r="BU102" s="91"/>
      <c r="BV102" s="91"/>
      <c r="BW102" s="91"/>
      <c r="BX102" s="91"/>
      <c r="BY102" s="91"/>
      <c r="BZ102" s="91"/>
      <c r="CA102" s="119"/>
      <c r="CC102" s="79" t="n">
        <f aca="false">SUMIFS($T102:$CA102, $T$1:$CA$1, CC$63)</f>
        <v>0</v>
      </c>
      <c r="CD102" s="79" t="n">
        <f aca="false">SUMIFS($T102:$CA102, $T$1:$CA$1, CD$63)</f>
        <v>0</v>
      </c>
      <c r="CE102" s="79" t="n">
        <f aca="false">SUMIFS($T102:$CA102, $T$1:$CA$1, CE$63)</f>
        <v>0</v>
      </c>
      <c r="CF102" s="79" t="n">
        <f aca="false">SUMIFS($T102:$CA102, $T$1:$CA$1, CF$63)</f>
        <v>0</v>
      </c>
      <c r="CG102" s="79" t="n">
        <f aca="false">SUMIFS($T102:$CA102, $T$1:$CA$1, CG$63)</f>
        <v>0</v>
      </c>
      <c r="CI102" s="79" t="n">
        <f aca="false">CC102=L102</f>
        <v>1</v>
      </c>
      <c r="CJ102" s="79" t="n">
        <f aca="false">CD102=M102</f>
        <v>1</v>
      </c>
      <c r="CK102" s="79" t="n">
        <f aca="false">CE102=N102</f>
        <v>1</v>
      </c>
      <c r="CL102" s="79" t="n">
        <f aca="false">CF102=O102</f>
        <v>1</v>
      </c>
      <c r="CM102" s="79" t="n">
        <f aca="false">CG102=P102</f>
        <v>1</v>
      </c>
    </row>
    <row r="103" s="14" customFormat="true" ht="16.5" hidden="false" customHeight="true" outlineLevel="0" collapsed="false">
      <c r="E103" s="91"/>
      <c r="H103" s="29"/>
      <c r="I103" s="91"/>
      <c r="J103" s="91"/>
      <c r="K103" s="207" t="n">
        <f aca="false">J103-I103</f>
        <v>0</v>
      </c>
      <c r="L103" s="91" t="n">
        <v>0</v>
      </c>
      <c r="M103" s="91" t="n">
        <v>0</v>
      </c>
      <c r="N103" s="91" t="n">
        <v>0</v>
      </c>
      <c r="O103" s="91" t="n">
        <v>0</v>
      </c>
      <c r="P103" s="91" t="n">
        <v>0</v>
      </c>
      <c r="Q103" s="93"/>
      <c r="R103" s="16"/>
      <c r="T103" s="91"/>
      <c r="U103" s="91"/>
      <c r="V103" s="91"/>
      <c r="W103" s="91"/>
      <c r="X103" s="91"/>
      <c r="Y103" s="91"/>
      <c r="Z103" s="91"/>
      <c r="AA103" s="91"/>
      <c r="AB103" s="91"/>
      <c r="AC103" s="91"/>
      <c r="AD103" s="91"/>
      <c r="AE103" s="94"/>
      <c r="AF103" s="95"/>
      <c r="AG103" s="91"/>
      <c r="AH103" s="91"/>
      <c r="AI103" s="91"/>
      <c r="AJ103" s="91"/>
      <c r="AK103" s="91"/>
      <c r="AL103" s="91"/>
      <c r="AM103" s="91"/>
      <c r="AN103" s="91"/>
      <c r="AO103" s="91"/>
      <c r="AP103" s="91"/>
      <c r="AQ103" s="94"/>
      <c r="AR103" s="95"/>
      <c r="AS103" s="91"/>
      <c r="AT103" s="91"/>
      <c r="AU103" s="91"/>
      <c r="AV103" s="91"/>
      <c r="AW103" s="91"/>
      <c r="AX103" s="91"/>
      <c r="AY103" s="91"/>
      <c r="AZ103" s="91"/>
      <c r="BA103" s="91"/>
      <c r="BB103" s="91"/>
      <c r="BC103" s="94"/>
      <c r="BD103" s="95"/>
      <c r="BE103" s="91"/>
      <c r="BF103" s="91"/>
      <c r="BG103" s="91"/>
      <c r="BH103" s="91"/>
      <c r="BI103" s="91"/>
      <c r="BJ103" s="91"/>
      <c r="BK103" s="91"/>
      <c r="BL103" s="91"/>
      <c r="BM103" s="91"/>
      <c r="BN103" s="91"/>
      <c r="BO103" s="94"/>
      <c r="BP103" s="95"/>
      <c r="BQ103" s="91"/>
      <c r="BR103" s="91"/>
      <c r="BS103" s="91"/>
      <c r="BT103" s="91"/>
      <c r="BU103" s="91"/>
      <c r="BV103" s="91"/>
      <c r="BW103" s="91"/>
      <c r="BX103" s="91"/>
      <c r="BY103" s="91"/>
      <c r="BZ103" s="91"/>
      <c r="CA103" s="119"/>
      <c r="CC103" s="79"/>
      <c r="CD103" s="79"/>
      <c r="CE103" s="79"/>
      <c r="CF103" s="79"/>
      <c r="CG103" s="79"/>
      <c r="CI103" s="79"/>
      <c r="CJ103" s="79"/>
      <c r="CK103" s="79"/>
      <c r="CL103" s="79"/>
      <c r="CM103" s="79"/>
    </row>
    <row r="104" s="14" customFormat="true" ht="16.5" hidden="false" customHeight="true" outlineLevel="0" collapsed="false">
      <c r="E104" s="96" t="s">
        <v>129</v>
      </c>
      <c r="H104" s="29"/>
      <c r="I104" s="82" t="n">
        <f aca="false">SUM(I99:I103)</f>
        <v>0</v>
      </c>
      <c r="J104" s="82" t="n">
        <f aca="false">SUM(J99:J103)</f>
        <v>0</v>
      </c>
      <c r="K104" s="82" t="n">
        <f aca="false">SUM(K99:K103)</f>
        <v>0</v>
      </c>
      <c r="L104" s="82" t="n">
        <f aca="false">SUM(L99:L103)</f>
        <v>0</v>
      </c>
      <c r="M104" s="82" t="n">
        <f aca="false">SUM(M99:M103)</f>
        <v>0</v>
      </c>
      <c r="N104" s="82" t="n">
        <f aca="false">SUM(N99:N103)</f>
        <v>0</v>
      </c>
      <c r="O104" s="82" t="n">
        <f aca="false">SUM(O99:O103)</f>
        <v>0</v>
      </c>
      <c r="P104" s="82" t="n">
        <f aca="false">SUM(P99:P103)</f>
        <v>0</v>
      </c>
      <c r="Q104" s="16"/>
      <c r="R104" s="16"/>
      <c r="T104" s="82" t="n">
        <f aca="false">SUM(T99:T103)</f>
        <v>0</v>
      </c>
      <c r="U104" s="82" t="n">
        <f aca="false">SUM(U99:U103)</f>
        <v>0</v>
      </c>
      <c r="V104" s="82" t="n">
        <f aca="false">SUM(V99:V103)</f>
        <v>0</v>
      </c>
      <c r="W104" s="82" t="n">
        <f aca="false">SUM(W99:W103)</f>
        <v>0</v>
      </c>
      <c r="X104" s="82" t="n">
        <f aca="false">SUM(X99:X103)</f>
        <v>0</v>
      </c>
      <c r="Y104" s="82" t="n">
        <f aca="false">SUM(Y99:Y103)</f>
        <v>0</v>
      </c>
      <c r="Z104" s="82" t="n">
        <f aca="false">SUM(Z99:Z103)</f>
        <v>0</v>
      </c>
      <c r="AA104" s="82" t="n">
        <f aca="false">SUM(AA99:AA103)</f>
        <v>0</v>
      </c>
      <c r="AB104" s="82" t="n">
        <f aca="false">SUM(AB99:AB103)</f>
        <v>0</v>
      </c>
      <c r="AC104" s="82" t="n">
        <f aca="false">SUM(AC99:AC103)</f>
        <v>0</v>
      </c>
      <c r="AD104" s="82" t="n">
        <f aca="false">SUM(AD99:AD103)</f>
        <v>0</v>
      </c>
      <c r="AE104" s="82" t="n">
        <f aca="false">SUM(AE99:AE103)</f>
        <v>0</v>
      </c>
      <c r="AF104" s="83" t="n">
        <f aca="false">SUM(AF99:AF103)</f>
        <v>0</v>
      </c>
      <c r="AG104" s="82" t="n">
        <f aca="false">SUM(AG99:AG103)</f>
        <v>0</v>
      </c>
      <c r="AH104" s="82" t="n">
        <f aca="false">SUM(AH99:AH103)</f>
        <v>0</v>
      </c>
      <c r="AI104" s="82" t="n">
        <f aca="false">SUM(AI99:AI103)</f>
        <v>0</v>
      </c>
      <c r="AJ104" s="82" t="n">
        <f aca="false">SUM(AJ99:AJ103)</f>
        <v>0</v>
      </c>
      <c r="AK104" s="82" t="n">
        <f aca="false">SUM(AK99:AK103)</f>
        <v>0</v>
      </c>
      <c r="AL104" s="82" t="n">
        <f aca="false">SUM(AL99:AL103)</f>
        <v>0</v>
      </c>
      <c r="AM104" s="82" t="n">
        <f aca="false">SUM(AM99:AM103)</f>
        <v>0</v>
      </c>
      <c r="AN104" s="82" t="n">
        <f aca="false">SUM(AN99:AN103)</f>
        <v>0</v>
      </c>
      <c r="AO104" s="82" t="n">
        <f aca="false">SUM(AO99:AO103)</f>
        <v>0</v>
      </c>
      <c r="AP104" s="82" t="n">
        <f aca="false">SUM(AP99:AP103)</f>
        <v>0</v>
      </c>
      <c r="AQ104" s="82" t="n">
        <f aca="false">SUM(AQ99:AQ103)</f>
        <v>0</v>
      </c>
      <c r="AR104" s="83" t="n">
        <f aca="false">SUM(AR99:AR103)</f>
        <v>0</v>
      </c>
      <c r="AS104" s="82" t="n">
        <f aca="false">SUM(AS99:AS103)</f>
        <v>0</v>
      </c>
      <c r="AT104" s="82" t="n">
        <f aca="false">SUM(AT99:AT103)</f>
        <v>0</v>
      </c>
      <c r="AU104" s="82" t="n">
        <f aca="false">SUM(AU99:AU103)</f>
        <v>0</v>
      </c>
      <c r="AV104" s="82" t="n">
        <f aca="false">SUM(AV99:AV103)</f>
        <v>0</v>
      </c>
      <c r="AW104" s="82" t="n">
        <f aca="false">SUM(AW99:AW103)</f>
        <v>0</v>
      </c>
      <c r="AX104" s="82" t="n">
        <f aca="false">SUM(AX99:AX103)</f>
        <v>0</v>
      </c>
      <c r="AY104" s="82" t="n">
        <f aca="false">SUM(AY99:AY103)</f>
        <v>0</v>
      </c>
      <c r="AZ104" s="82" t="n">
        <f aca="false">SUM(AZ99:AZ103)</f>
        <v>0</v>
      </c>
      <c r="BA104" s="82" t="n">
        <f aca="false">SUM(BA99:BA103)</f>
        <v>0</v>
      </c>
      <c r="BB104" s="82" t="n">
        <f aca="false">SUM(BB99:BB103)</f>
        <v>0</v>
      </c>
      <c r="BC104" s="82" t="n">
        <f aca="false">SUM(BC99:BC103)</f>
        <v>0</v>
      </c>
      <c r="BD104" s="83" t="n">
        <f aca="false">SUM(BD99:BD103)</f>
        <v>0</v>
      </c>
      <c r="BE104" s="82" t="n">
        <f aca="false">SUM(BE99:BE103)</f>
        <v>0</v>
      </c>
      <c r="BF104" s="82" t="n">
        <f aca="false">SUM(BF99:BF103)</f>
        <v>0</v>
      </c>
      <c r="BG104" s="82" t="n">
        <f aca="false">SUM(BG99:BG103)</f>
        <v>0</v>
      </c>
      <c r="BH104" s="82" t="n">
        <f aca="false">SUM(BH99:BH103)</f>
        <v>0</v>
      </c>
      <c r="BI104" s="82" t="n">
        <f aca="false">SUM(BI99:BI103)</f>
        <v>0</v>
      </c>
      <c r="BJ104" s="82" t="n">
        <f aca="false">SUM(BJ99:BJ103)</f>
        <v>0</v>
      </c>
      <c r="BK104" s="82" t="n">
        <f aca="false">SUM(BK99:BK103)</f>
        <v>0</v>
      </c>
      <c r="BL104" s="82" t="n">
        <f aca="false">SUM(BL99:BL103)</f>
        <v>0</v>
      </c>
      <c r="BM104" s="82" t="n">
        <f aca="false">SUM(BM99:BM103)</f>
        <v>0</v>
      </c>
      <c r="BN104" s="82" t="n">
        <f aca="false">SUM(BN99:BN103)</f>
        <v>0</v>
      </c>
      <c r="BO104" s="82" t="n">
        <f aca="false">SUM(BO99:BO103)</f>
        <v>0</v>
      </c>
      <c r="BP104" s="83" t="n">
        <f aca="false">SUM(BP99:BP103)</f>
        <v>0</v>
      </c>
      <c r="BQ104" s="82" t="n">
        <f aca="false">SUM(BQ99:BQ103)</f>
        <v>0</v>
      </c>
      <c r="BR104" s="82" t="n">
        <f aca="false">SUM(BR99:BR103)</f>
        <v>0</v>
      </c>
      <c r="BS104" s="82" t="n">
        <f aca="false">SUM(BS99:BS103)</f>
        <v>0</v>
      </c>
      <c r="BT104" s="82" t="n">
        <f aca="false">SUM(BT99:BT103)</f>
        <v>0</v>
      </c>
      <c r="BU104" s="82" t="n">
        <f aca="false">SUM(BU99:BU103)</f>
        <v>0</v>
      </c>
      <c r="BV104" s="82" t="n">
        <f aca="false">SUM(BV99:BV103)</f>
        <v>0</v>
      </c>
      <c r="BW104" s="82" t="n">
        <f aca="false">SUM(BW99:BW103)</f>
        <v>0</v>
      </c>
      <c r="BX104" s="82" t="n">
        <f aca="false">SUM(BX99:BX103)</f>
        <v>0</v>
      </c>
      <c r="BY104" s="82" t="n">
        <f aca="false">SUM(BY99:BY103)</f>
        <v>0</v>
      </c>
      <c r="BZ104" s="82" t="n">
        <f aca="false">SUM(BZ99:BZ103)</f>
        <v>0</v>
      </c>
      <c r="CA104" s="84" t="n">
        <f aca="false">SUM(CA99:CA103)</f>
        <v>0</v>
      </c>
      <c r="CC104" s="84" t="n">
        <f aca="false">SUM(CC99:CC103)</f>
        <v>0</v>
      </c>
      <c r="CD104" s="84" t="n">
        <f aca="false">SUM(CD99:CD103)</f>
        <v>0</v>
      </c>
      <c r="CE104" s="84" t="n">
        <f aca="false">SUM(CE99:CE103)</f>
        <v>0</v>
      </c>
      <c r="CF104" s="84" t="n">
        <f aca="false">SUM(CF99:CF103)</f>
        <v>0</v>
      </c>
      <c r="CG104" s="84" t="n">
        <f aca="false">SUM(CG99:CG103)</f>
        <v>0</v>
      </c>
      <c r="CI104" s="84" t="n">
        <f aca="false">CC104=L104</f>
        <v>1</v>
      </c>
      <c r="CJ104" s="84" t="n">
        <f aca="false">CD104=M104</f>
        <v>1</v>
      </c>
      <c r="CK104" s="84" t="n">
        <f aca="false">CE104=N104</f>
        <v>1</v>
      </c>
      <c r="CL104" s="84" t="n">
        <f aca="false">CF104=O104</f>
        <v>1</v>
      </c>
      <c r="CM104" s="84" t="n">
        <f aca="false">CG104=P104</f>
        <v>1</v>
      </c>
    </row>
    <row r="105" s="14" customFormat="true" ht="16.5" hidden="false" customHeight="true" outlineLevel="0" collapsed="false">
      <c r="H105" s="29"/>
      <c r="I105" s="88"/>
      <c r="J105" s="88"/>
      <c r="K105" s="88"/>
      <c r="L105" s="88"/>
      <c r="M105" s="88"/>
      <c r="N105" s="88"/>
      <c r="O105" s="88"/>
      <c r="P105" s="88"/>
      <c r="Q105" s="16"/>
      <c r="R105" s="16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9"/>
      <c r="AG105" s="88"/>
      <c r="AH105" s="88"/>
      <c r="AI105" s="88"/>
      <c r="AJ105" s="88"/>
      <c r="AK105" s="88"/>
      <c r="AL105" s="88"/>
      <c r="AM105" s="88"/>
      <c r="AN105" s="88"/>
      <c r="AO105" s="88"/>
      <c r="AP105" s="88"/>
      <c r="AQ105" s="88"/>
      <c r="AR105" s="89"/>
      <c r="AS105" s="88"/>
      <c r="AT105" s="88"/>
      <c r="AU105" s="88"/>
      <c r="AV105" s="88"/>
      <c r="AW105" s="88"/>
      <c r="AX105" s="88"/>
      <c r="AY105" s="88"/>
      <c r="AZ105" s="88"/>
      <c r="BA105" s="88"/>
      <c r="BB105" s="88"/>
      <c r="BC105" s="88"/>
      <c r="BD105" s="89"/>
      <c r="BE105" s="88"/>
      <c r="BF105" s="88"/>
      <c r="BG105" s="88"/>
      <c r="BH105" s="88"/>
      <c r="BI105" s="88"/>
      <c r="BJ105" s="88"/>
      <c r="BK105" s="88"/>
      <c r="BL105" s="88"/>
      <c r="BM105" s="88"/>
      <c r="BN105" s="88"/>
      <c r="BO105" s="88"/>
      <c r="BP105" s="89"/>
      <c r="BQ105" s="88"/>
      <c r="BR105" s="88"/>
      <c r="BS105" s="88"/>
      <c r="BT105" s="88"/>
      <c r="BU105" s="88"/>
      <c r="BV105" s="88"/>
      <c r="BW105" s="88"/>
      <c r="BX105" s="88"/>
      <c r="BY105" s="88"/>
      <c r="BZ105" s="88"/>
      <c r="CA105" s="90"/>
      <c r="CC105" s="90"/>
      <c r="CD105" s="90"/>
      <c r="CE105" s="90"/>
      <c r="CF105" s="90"/>
      <c r="CG105" s="90"/>
      <c r="CI105" s="90"/>
      <c r="CJ105" s="90"/>
      <c r="CK105" s="90"/>
      <c r="CL105" s="90"/>
      <c r="CM105" s="90"/>
    </row>
    <row r="106" s="14" customFormat="true" ht="16.5" hidden="false" customHeight="true" outlineLevel="0" collapsed="false">
      <c r="E106" s="21" t="s">
        <v>130</v>
      </c>
      <c r="H106" s="29"/>
      <c r="I106" s="88"/>
      <c r="J106" s="88"/>
      <c r="K106" s="88"/>
      <c r="L106" s="88"/>
      <c r="M106" s="88"/>
      <c r="N106" s="88"/>
      <c r="O106" s="88"/>
      <c r="P106" s="88"/>
      <c r="Q106" s="16"/>
      <c r="R106" s="16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9"/>
      <c r="AG106" s="88"/>
      <c r="AH106" s="88"/>
      <c r="AI106" s="88"/>
      <c r="AJ106" s="88"/>
      <c r="AK106" s="88"/>
      <c r="AL106" s="88"/>
      <c r="AM106" s="88"/>
      <c r="AN106" s="88"/>
      <c r="AO106" s="88"/>
      <c r="AP106" s="88"/>
      <c r="AQ106" s="88"/>
      <c r="AR106" s="89"/>
      <c r="AS106" s="88"/>
      <c r="AT106" s="88"/>
      <c r="AU106" s="88"/>
      <c r="AV106" s="88"/>
      <c r="AW106" s="88"/>
      <c r="AX106" s="88"/>
      <c r="AY106" s="88"/>
      <c r="AZ106" s="88"/>
      <c r="BA106" s="88"/>
      <c r="BB106" s="88"/>
      <c r="BC106" s="88"/>
      <c r="BD106" s="89"/>
      <c r="BE106" s="88"/>
      <c r="BF106" s="88"/>
      <c r="BG106" s="88"/>
      <c r="BH106" s="88"/>
      <c r="BI106" s="88"/>
      <c r="BJ106" s="88"/>
      <c r="BK106" s="88"/>
      <c r="BL106" s="88"/>
      <c r="BM106" s="88"/>
      <c r="BN106" s="88"/>
      <c r="BO106" s="88"/>
      <c r="BP106" s="89"/>
      <c r="BQ106" s="88"/>
      <c r="BR106" s="88"/>
      <c r="BS106" s="88"/>
      <c r="BT106" s="88"/>
      <c r="BU106" s="88"/>
      <c r="BV106" s="88"/>
      <c r="BW106" s="88"/>
      <c r="BX106" s="88"/>
      <c r="BY106" s="88"/>
      <c r="BZ106" s="88"/>
      <c r="CA106" s="90"/>
      <c r="CC106" s="90"/>
      <c r="CD106" s="90"/>
      <c r="CE106" s="90"/>
      <c r="CF106" s="90"/>
      <c r="CG106" s="90"/>
      <c r="CI106" s="90"/>
      <c r="CJ106" s="90"/>
      <c r="CK106" s="90"/>
      <c r="CL106" s="90"/>
      <c r="CM106" s="90"/>
    </row>
    <row r="107" s="14" customFormat="true" ht="16.5" hidden="false" customHeight="true" outlineLevel="0" collapsed="false">
      <c r="E107" s="91" t="s">
        <v>358</v>
      </c>
      <c r="H107" s="29" t="s">
        <v>359</v>
      </c>
      <c r="I107" s="91" t="n">
        <v>0</v>
      </c>
      <c r="J107" s="208" t="n">
        <f aca="false">I107+'SDLC-1 Model'!$K$105</f>
        <v>0</v>
      </c>
      <c r="K107" s="209" t="n">
        <f aca="false">'SDLC-1 Model'!$K$105</f>
        <v>0</v>
      </c>
      <c r="L107" s="208" t="n">
        <f aca="false">'SDLC-1 Model'!L105</f>
        <v>0</v>
      </c>
      <c r="M107" s="208" t="n">
        <f aca="false">'SDLC-1 Model'!M105</f>
        <v>0</v>
      </c>
      <c r="N107" s="208" t="n">
        <f aca="false">'SDLC-1 Model'!N105</f>
        <v>0</v>
      </c>
      <c r="O107" s="208" t="n">
        <f aca="false">'SDLC-1 Model'!O105</f>
        <v>0</v>
      </c>
      <c r="P107" s="208" t="n">
        <f aca="false">'SDLC-1 Model'!P105</f>
        <v>0</v>
      </c>
      <c r="Q107" s="93" t="s">
        <v>251</v>
      </c>
      <c r="R107" s="16" t="str">
        <f aca="false">IF(K107=P107, "", "Error")</f>
        <v/>
      </c>
      <c r="T107" s="208" t="n">
        <f aca="false">'SDLC-1 Model'!T105</f>
        <v>0</v>
      </c>
      <c r="U107" s="208" t="n">
        <f aca="false">'SDLC-1 Model'!U105</f>
        <v>0</v>
      </c>
      <c r="V107" s="208" t="n">
        <f aca="false">'SDLC-1 Model'!V105</f>
        <v>0</v>
      </c>
      <c r="W107" s="208" t="n">
        <f aca="false">'SDLC-1 Model'!W105</f>
        <v>0</v>
      </c>
      <c r="X107" s="208" t="n">
        <f aca="false">'SDLC-1 Model'!X105</f>
        <v>0</v>
      </c>
      <c r="Y107" s="208" t="n">
        <f aca="false">'SDLC-1 Model'!Y105</f>
        <v>0</v>
      </c>
      <c r="Z107" s="208" t="n">
        <f aca="false">'SDLC-1 Model'!Z105</f>
        <v>0</v>
      </c>
      <c r="AA107" s="208" t="n">
        <f aca="false">'SDLC-1 Model'!AA105</f>
        <v>0</v>
      </c>
      <c r="AB107" s="208" t="n">
        <f aca="false">'SDLC-1 Model'!AB105</f>
        <v>0</v>
      </c>
      <c r="AC107" s="208" t="n">
        <f aca="false">'SDLC-1 Model'!AC105</f>
        <v>0</v>
      </c>
      <c r="AD107" s="208" t="n">
        <f aca="false">'SDLC-1 Model'!AD105</f>
        <v>0</v>
      </c>
      <c r="AE107" s="210" t="n">
        <f aca="false">'SDLC-1 Model'!AE105</f>
        <v>0</v>
      </c>
      <c r="AF107" s="211" t="n">
        <f aca="false">'SDLC-1 Model'!AF105</f>
        <v>0</v>
      </c>
      <c r="AG107" s="211" t="n">
        <f aca="false">'SDLC-1 Model'!AG105</f>
        <v>0</v>
      </c>
      <c r="AH107" s="211" t="n">
        <f aca="false">'SDLC-1 Model'!AH105</f>
        <v>0</v>
      </c>
      <c r="AI107" s="211" t="n">
        <f aca="false">'SDLC-1 Model'!AI105</f>
        <v>0</v>
      </c>
      <c r="AJ107" s="211" t="n">
        <f aca="false">'SDLC-1 Model'!AJ105</f>
        <v>0</v>
      </c>
      <c r="AK107" s="211" t="n">
        <f aca="false">'SDLC-1 Model'!AK105</f>
        <v>0</v>
      </c>
      <c r="AL107" s="211" t="n">
        <f aca="false">'SDLC-1 Model'!AL105</f>
        <v>0</v>
      </c>
      <c r="AM107" s="211" t="n">
        <f aca="false">'SDLC-1 Model'!AM105</f>
        <v>0</v>
      </c>
      <c r="AN107" s="211" t="n">
        <f aca="false">'SDLC-1 Model'!AN105</f>
        <v>0</v>
      </c>
      <c r="AO107" s="211" t="n">
        <f aca="false">'SDLC-1 Model'!AO105</f>
        <v>0</v>
      </c>
      <c r="AP107" s="211" t="n">
        <f aca="false">'SDLC-1 Model'!AP105</f>
        <v>0</v>
      </c>
      <c r="AQ107" s="211" t="n">
        <f aca="false">'SDLC-1 Model'!AQ105</f>
        <v>0</v>
      </c>
      <c r="AR107" s="211" t="n">
        <f aca="false">'SDLC-1 Model'!AR105</f>
        <v>0</v>
      </c>
      <c r="AS107" s="211" t="n">
        <f aca="false">'SDLC-1 Model'!AS105</f>
        <v>0</v>
      </c>
      <c r="AT107" s="211" t="n">
        <f aca="false">'SDLC-1 Model'!AT105</f>
        <v>0</v>
      </c>
      <c r="AU107" s="211" t="n">
        <f aca="false">'SDLC-1 Model'!AU105</f>
        <v>0</v>
      </c>
      <c r="AV107" s="211" t="n">
        <f aca="false">'SDLC-1 Model'!AV105</f>
        <v>0</v>
      </c>
      <c r="AW107" s="211" t="n">
        <f aca="false">'SDLC-1 Model'!AW105</f>
        <v>0</v>
      </c>
      <c r="AX107" s="211" t="n">
        <f aca="false">'SDLC-1 Model'!AX105</f>
        <v>0</v>
      </c>
      <c r="AY107" s="211" t="n">
        <f aca="false">'SDLC-1 Model'!AY105</f>
        <v>0</v>
      </c>
      <c r="AZ107" s="211" t="n">
        <f aca="false">'SDLC-1 Model'!AZ105</f>
        <v>0</v>
      </c>
      <c r="BA107" s="211" t="n">
        <f aca="false">'SDLC-1 Model'!BA105</f>
        <v>0</v>
      </c>
      <c r="BB107" s="211" t="n">
        <f aca="false">'SDLC-1 Model'!BB105</f>
        <v>0</v>
      </c>
      <c r="BC107" s="211" t="n">
        <f aca="false">'SDLC-1 Model'!BC105</f>
        <v>0</v>
      </c>
      <c r="BD107" s="211" t="n">
        <f aca="false">'SDLC-1 Model'!BD105</f>
        <v>0</v>
      </c>
      <c r="BE107" s="211" t="n">
        <f aca="false">'SDLC-1 Model'!BE105</f>
        <v>0</v>
      </c>
      <c r="BF107" s="211" t="n">
        <f aca="false">'SDLC-1 Model'!BF105</f>
        <v>0</v>
      </c>
      <c r="BG107" s="211" t="n">
        <f aca="false">'SDLC-1 Model'!BG105</f>
        <v>0</v>
      </c>
      <c r="BH107" s="211" t="n">
        <f aca="false">'SDLC-1 Model'!BH105</f>
        <v>0</v>
      </c>
      <c r="BI107" s="211" t="n">
        <f aca="false">'SDLC-1 Model'!BI105</f>
        <v>0</v>
      </c>
      <c r="BJ107" s="211" t="n">
        <f aca="false">'SDLC-1 Model'!BJ105</f>
        <v>0</v>
      </c>
      <c r="BK107" s="211" t="n">
        <f aca="false">'SDLC-1 Model'!BK105</f>
        <v>0</v>
      </c>
      <c r="BL107" s="211" t="n">
        <f aca="false">'SDLC-1 Model'!BL105</f>
        <v>0</v>
      </c>
      <c r="BM107" s="211" t="n">
        <f aca="false">'SDLC-1 Model'!BM105</f>
        <v>0</v>
      </c>
      <c r="BN107" s="211" t="n">
        <f aca="false">'SDLC-1 Model'!BN105</f>
        <v>0</v>
      </c>
      <c r="BO107" s="211" t="n">
        <f aca="false">'SDLC-1 Model'!BO105</f>
        <v>0</v>
      </c>
      <c r="BP107" s="211" t="n">
        <f aca="false">'SDLC-1 Model'!BP105</f>
        <v>0</v>
      </c>
      <c r="BQ107" s="211" t="n">
        <f aca="false">'SDLC-1 Model'!BQ105</f>
        <v>0</v>
      </c>
      <c r="BR107" s="211" t="n">
        <f aca="false">'SDLC-1 Model'!BR105</f>
        <v>0</v>
      </c>
      <c r="BS107" s="211" t="n">
        <f aca="false">'SDLC-1 Model'!BS105</f>
        <v>0</v>
      </c>
      <c r="BT107" s="211" t="n">
        <f aca="false">'SDLC-1 Model'!BT105</f>
        <v>0</v>
      </c>
      <c r="BU107" s="211" t="n">
        <f aca="false">'SDLC-1 Model'!BU105</f>
        <v>0</v>
      </c>
      <c r="BV107" s="211" t="n">
        <f aca="false">'SDLC-1 Model'!BV105</f>
        <v>0</v>
      </c>
      <c r="BW107" s="211" t="n">
        <f aca="false">'SDLC-1 Model'!BW105</f>
        <v>0</v>
      </c>
      <c r="BX107" s="211" t="n">
        <f aca="false">'SDLC-1 Model'!BX105</f>
        <v>0</v>
      </c>
      <c r="BY107" s="211" t="n">
        <f aca="false">'SDLC-1 Model'!BY105</f>
        <v>0</v>
      </c>
      <c r="BZ107" s="211" t="n">
        <f aca="false">'SDLC-1 Model'!BZ105</f>
        <v>0</v>
      </c>
      <c r="CA107" s="211" t="n">
        <f aca="false">'SDLC-1 Model'!CA105</f>
        <v>0</v>
      </c>
      <c r="CC107" s="79" t="n">
        <f aca="false">SUMIFS($T107:$CA107, $T$1:$CA$1, CC$63)</f>
        <v>0</v>
      </c>
      <c r="CD107" s="79" t="n">
        <f aca="false">SUMIFS($T107:$CA107, $T$1:$CA$1, CD$63)</f>
        <v>0</v>
      </c>
      <c r="CE107" s="79" t="n">
        <f aca="false">SUMIFS($T107:$CA107, $T$1:$CA$1, CE$63)</f>
        <v>0</v>
      </c>
      <c r="CF107" s="79" t="n">
        <f aca="false">SUMIFS($T107:$CA107, $T$1:$CA$1, CF$63)</f>
        <v>0</v>
      </c>
      <c r="CG107" s="79" t="n">
        <f aca="false">SUMIFS($T107:$CA107, $T$1:$CA$1, CG$63)</f>
        <v>0</v>
      </c>
      <c r="CI107" s="79" t="n">
        <f aca="false">CC107=L107</f>
        <v>1</v>
      </c>
      <c r="CJ107" s="79" t="n">
        <f aca="false">CD107=M107</f>
        <v>1</v>
      </c>
      <c r="CK107" s="79" t="n">
        <f aca="false">CE107=N107</f>
        <v>1</v>
      </c>
      <c r="CL107" s="79" t="n">
        <f aca="false">CF107=O107</f>
        <v>1</v>
      </c>
      <c r="CM107" s="79" t="n">
        <f aca="false">CG107=P107</f>
        <v>1</v>
      </c>
    </row>
    <row r="108" s="14" customFormat="true" ht="16.5" hidden="false" customHeight="true" outlineLevel="0" collapsed="false">
      <c r="E108" s="91" t="s">
        <v>361</v>
      </c>
      <c r="H108" s="29" t="s">
        <v>362</v>
      </c>
      <c r="I108" s="91" t="n">
        <v>0</v>
      </c>
      <c r="J108" s="208" t="n">
        <f aca="false">I108+'SDLC-1 Model'!$K$106</f>
        <v>0</v>
      </c>
      <c r="K108" s="209" t="n">
        <f aca="false">'SDLC-1 Model'!$K$106</f>
        <v>0</v>
      </c>
      <c r="L108" s="208" t="n">
        <f aca="false">'SDLC-1 Model'!L106</f>
        <v>0</v>
      </c>
      <c r="M108" s="208" t="n">
        <f aca="false">'SDLC-1 Model'!M106</f>
        <v>0</v>
      </c>
      <c r="N108" s="208" t="n">
        <f aca="false">'SDLC-1 Model'!N106</f>
        <v>0</v>
      </c>
      <c r="O108" s="208" t="n">
        <f aca="false">'SDLC-1 Model'!O106</f>
        <v>0</v>
      </c>
      <c r="P108" s="208" t="n">
        <f aca="false">'SDLC-1 Model'!P106</f>
        <v>0</v>
      </c>
      <c r="Q108" s="93" t="s">
        <v>251</v>
      </c>
      <c r="R108" s="16" t="str">
        <f aca="false">IF(K108=P108, "", "Error")</f>
        <v/>
      </c>
      <c r="T108" s="208" t="n">
        <f aca="false">'SDLC-1 Model'!T106</f>
        <v>0</v>
      </c>
      <c r="U108" s="208" t="n">
        <f aca="false">'SDLC-1 Model'!U106</f>
        <v>0</v>
      </c>
      <c r="V108" s="208" t="n">
        <f aca="false">'SDLC-1 Model'!V106</f>
        <v>0</v>
      </c>
      <c r="W108" s="208" t="n">
        <f aca="false">'SDLC-1 Model'!W106</f>
        <v>0</v>
      </c>
      <c r="X108" s="208" t="n">
        <f aca="false">'SDLC-1 Model'!X106</f>
        <v>0</v>
      </c>
      <c r="Y108" s="208" t="n">
        <f aca="false">'SDLC-1 Model'!Y106</f>
        <v>0</v>
      </c>
      <c r="Z108" s="208" t="n">
        <f aca="false">'SDLC-1 Model'!Z106</f>
        <v>0</v>
      </c>
      <c r="AA108" s="208" t="n">
        <f aca="false">'SDLC-1 Model'!AA106</f>
        <v>0</v>
      </c>
      <c r="AB108" s="208" t="n">
        <f aca="false">'SDLC-1 Model'!AB106</f>
        <v>0</v>
      </c>
      <c r="AC108" s="208" t="n">
        <f aca="false">'SDLC-1 Model'!AC106</f>
        <v>0</v>
      </c>
      <c r="AD108" s="208" t="n">
        <f aca="false">'SDLC-1 Model'!AD106</f>
        <v>0</v>
      </c>
      <c r="AE108" s="210" t="n">
        <f aca="false">'SDLC-1 Model'!AE106</f>
        <v>0</v>
      </c>
      <c r="AF108" s="210" t="n">
        <f aca="false">'SDLC-1 Model'!AF106</f>
        <v>0</v>
      </c>
      <c r="AG108" s="210" t="n">
        <f aca="false">'SDLC-1 Model'!AG106</f>
        <v>0</v>
      </c>
      <c r="AH108" s="210" t="n">
        <f aca="false">'SDLC-1 Model'!AH106</f>
        <v>0</v>
      </c>
      <c r="AI108" s="210" t="n">
        <f aca="false">'SDLC-1 Model'!AI106</f>
        <v>0</v>
      </c>
      <c r="AJ108" s="210" t="n">
        <f aca="false">'SDLC-1 Model'!AJ106</f>
        <v>0</v>
      </c>
      <c r="AK108" s="210" t="n">
        <f aca="false">'SDLC-1 Model'!AK106</f>
        <v>0</v>
      </c>
      <c r="AL108" s="210" t="n">
        <f aca="false">'SDLC-1 Model'!AL106</f>
        <v>0</v>
      </c>
      <c r="AM108" s="210" t="n">
        <f aca="false">'SDLC-1 Model'!AM106</f>
        <v>0</v>
      </c>
      <c r="AN108" s="210" t="n">
        <f aca="false">'SDLC-1 Model'!AN106</f>
        <v>0</v>
      </c>
      <c r="AO108" s="210" t="n">
        <f aca="false">'SDLC-1 Model'!AO106</f>
        <v>0</v>
      </c>
      <c r="AP108" s="210" t="n">
        <f aca="false">'SDLC-1 Model'!AP106</f>
        <v>0</v>
      </c>
      <c r="AQ108" s="210" t="n">
        <f aca="false">'SDLC-1 Model'!AQ106</f>
        <v>0</v>
      </c>
      <c r="AR108" s="210" t="n">
        <f aca="false">'SDLC-1 Model'!AR106</f>
        <v>0</v>
      </c>
      <c r="AS108" s="210" t="n">
        <f aca="false">'SDLC-1 Model'!AS106</f>
        <v>0</v>
      </c>
      <c r="AT108" s="210" t="n">
        <f aca="false">'SDLC-1 Model'!AT106</f>
        <v>0</v>
      </c>
      <c r="AU108" s="210" t="n">
        <f aca="false">'SDLC-1 Model'!AU106</f>
        <v>0</v>
      </c>
      <c r="AV108" s="210" t="n">
        <f aca="false">'SDLC-1 Model'!AV106</f>
        <v>0</v>
      </c>
      <c r="AW108" s="210" t="n">
        <f aca="false">'SDLC-1 Model'!AW106</f>
        <v>0</v>
      </c>
      <c r="AX108" s="210" t="n">
        <f aca="false">'SDLC-1 Model'!AX106</f>
        <v>0</v>
      </c>
      <c r="AY108" s="210" t="n">
        <f aca="false">'SDLC-1 Model'!AY106</f>
        <v>0</v>
      </c>
      <c r="AZ108" s="210" t="n">
        <f aca="false">'SDLC-1 Model'!AZ106</f>
        <v>0</v>
      </c>
      <c r="BA108" s="210" t="n">
        <f aca="false">'SDLC-1 Model'!BA106</f>
        <v>0</v>
      </c>
      <c r="BB108" s="210" t="n">
        <f aca="false">'SDLC-1 Model'!BB106</f>
        <v>0</v>
      </c>
      <c r="BC108" s="210" t="n">
        <f aca="false">'SDLC-1 Model'!BC106</f>
        <v>0</v>
      </c>
      <c r="BD108" s="210" t="n">
        <f aca="false">'SDLC-1 Model'!BD106</f>
        <v>0</v>
      </c>
      <c r="BE108" s="210" t="n">
        <f aca="false">'SDLC-1 Model'!BE106</f>
        <v>0</v>
      </c>
      <c r="BF108" s="210" t="n">
        <f aca="false">'SDLC-1 Model'!BF106</f>
        <v>0</v>
      </c>
      <c r="BG108" s="210" t="n">
        <f aca="false">'SDLC-1 Model'!BG106</f>
        <v>0</v>
      </c>
      <c r="BH108" s="210" t="n">
        <f aca="false">'SDLC-1 Model'!BH106</f>
        <v>0</v>
      </c>
      <c r="BI108" s="210" t="n">
        <f aca="false">'SDLC-1 Model'!BI106</f>
        <v>0</v>
      </c>
      <c r="BJ108" s="210" t="n">
        <f aca="false">'SDLC-1 Model'!BJ106</f>
        <v>0</v>
      </c>
      <c r="BK108" s="210" t="n">
        <f aca="false">'SDLC-1 Model'!BK106</f>
        <v>0</v>
      </c>
      <c r="BL108" s="210" t="n">
        <f aca="false">'SDLC-1 Model'!BL106</f>
        <v>0</v>
      </c>
      <c r="BM108" s="210" t="n">
        <f aca="false">'SDLC-1 Model'!BM106</f>
        <v>0</v>
      </c>
      <c r="BN108" s="210" t="n">
        <f aca="false">'SDLC-1 Model'!BN106</f>
        <v>0</v>
      </c>
      <c r="BO108" s="210" t="n">
        <f aca="false">'SDLC-1 Model'!BO106</f>
        <v>0</v>
      </c>
      <c r="BP108" s="210" t="n">
        <f aca="false">'SDLC-1 Model'!BP106</f>
        <v>0</v>
      </c>
      <c r="BQ108" s="210" t="n">
        <f aca="false">'SDLC-1 Model'!BQ106</f>
        <v>0</v>
      </c>
      <c r="BR108" s="210" t="n">
        <f aca="false">'SDLC-1 Model'!BR106</f>
        <v>0</v>
      </c>
      <c r="BS108" s="210" t="n">
        <f aca="false">'SDLC-1 Model'!BS106</f>
        <v>0</v>
      </c>
      <c r="BT108" s="210" t="n">
        <f aca="false">'SDLC-1 Model'!BT106</f>
        <v>0</v>
      </c>
      <c r="BU108" s="210" t="n">
        <f aca="false">'SDLC-1 Model'!BU106</f>
        <v>0</v>
      </c>
      <c r="BV108" s="210" t="n">
        <f aca="false">'SDLC-1 Model'!BV106</f>
        <v>0</v>
      </c>
      <c r="BW108" s="210" t="n">
        <f aca="false">'SDLC-1 Model'!BW106</f>
        <v>0</v>
      </c>
      <c r="BX108" s="210" t="n">
        <f aca="false">'SDLC-1 Model'!BX106</f>
        <v>0</v>
      </c>
      <c r="BY108" s="210" t="n">
        <f aca="false">'SDLC-1 Model'!BY106</f>
        <v>0</v>
      </c>
      <c r="BZ108" s="210" t="n">
        <f aca="false">'SDLC-1 Model'!BZ106</f>
        <v>0</v>
      </c>
      <c r="CA108" s="210" t="n">
        <f aca="false">'SDLC-1 Model'!CA106</f>
        <v>0</v>
      </c>
      <c r="CC108" s="79" t="n">
        <f aca="false">SUMIFS($T108:$CA108, $T$1:$CA$1, CC$63)</f>
        <v>0</v>
      </c>
      <c r="CD108" s="79" t="n">
        <f aca="false">SUMIFS($T108:$CA108, $T$1:$CA$1, CD$63)</f>
        <v>0</v>
      </c>
      <c r="CE108" s="79" t="n">
        <f aca="false">SUMIFS($T108:$CA108, $T$1:$CA$1, CE$63)</f>
        <v>0</v>
      </c>
      <c r="CF108" s="79" t="n">
        <f aca="false">SUMIFS($T108:$CA108, $T$1:$CA$1, CF$63)</f>
        <v>0</v>
      </c>
      <c r="CG108" s="79" t="n">
        <f aca="false">SUMIFS($T108:$CA108, $T$1:$CA$1, CG$63)</f>
        <v>0</v>
      </c>
      <c r="CI108" s="79" t="n">
        <f aca="false">CC108=L108</f>
        <v>1</v>
      </c>
      <c r="CJ108" s="79" t="n">
        <f aca="false">CD108=M108</f>
        <v>1</v>
      </c>
      <c r="CK108" s="79" t="n">
        <f aca="false">CE108=N108</f>
        <v>1</v>
      </c>
      <c r="CL108" s="79" t="n">
        <f aca="false">CF108=O108</f>
        <v>1</v>
      </c>
      <c r="CM108" s="79" t="n">
        <f aca="false">CG108=P108</f>
        <v>1</v>
      </c>
    </row>
    <row r="109" s="14" customFormat="true" ht="16.5" hidden="false" customHeight="true" outlineLevel="0" collapsed="false">
      <c r="E109" s="91" t="s">
        <v>364</v>
      </c>
      <c r="H109" s="29" t="s">
        <v>365</v>
      </c>
      <c r="I109" s="91" t="n">
        <v>0</v>
      </c>
      <c r="J109" s="208" t="n">
        <f aca="false">I109+'SDLC-1 Model'!$K$107</f>
        <v>0</v>
      </c>
      <c r="K109" s="209" t="n">
        <f aca="false">'SDLC-1 Model'!$K$107</f>
        <v>0</v>
      </c>
      <c r="L109" s="208" t="n">
        <f aca="false">'SDLC-1 Model'!L107</f>
        <v>0</v>
      </c>
      <c r="M109" s="208" t="n">
        <f aca="false">'SDLC-1 Model'!M107</f>
        <v>0</v>
      </c>
      <c r="N109" s="208" t="n">
        <f aca="false">'SDLC-1 Model'!N107</f>
        <v>0</v>
      </c>
      <c r="O109" s="208" t="n">
        <f aca="false">'SDLC-1 Model'!O107</f>
        <v>0</v>
      </c>
      <c r="P109" s="208" t="n">
        <f aca="false">'SDLC-1 Model'!P107</f>
        <v>0</v>
      </c>
      <c r="Q109" s="93" t="s">
        <v>251</v>
      </c>
      <c r="R109" s="16" t="str">
        <f aca="false">IF(K109=P109, "", "Error")</f>
        <v/>
      </c>
      <c r="T109" s="208" t="n">
        <f aca="false">'SDLC-1 Model'!T107</f>
        <v>0</v>
      </c>
      <c r="U109" s="208" t="n">
        <f aca="false">'SDLC-1 Model'!U107</f>
        <v>0</v>
      </c>
      <c r="V109" s="208" t="n">
        <f aca="false">'SDLC-1 Model'!V107</f>
        <v>0</v>
      </c>
      <c r="W109" s="208" t="n">
        <f aca="false">'SDLC-1 Model'!W107</f>
        <v>0</v>
      </c>
      <c r="X109" s="208" t="n">
        <f aca="false">'SDLC-1 Model'!X107</f>
        <v>0</v>
      </c>
      <c r="Y109" s="208" t="n">
        <f aca="false">'SDLC-1 Model'!Y107</f>
        <v>0</v>
      </c>
      <c r="Z109" s="208" t="n">
        <f aca="false">'SDLC-1 Model'!Z107</f>
        <v>0</v>
      </c>
      <c r="AA109" s="208" t="n">
        <f aca="false">'SDLC-1 Model'!AA107</f>
        <v>0</v>
      </c>
      <c r="AB109" s="208" t="n">
        <f aca="false">'SDLC-1 Model'!AB107</f>
        <v>0</v>
      </c>
      <c r="AC109" s="208" t="n">
        <f aca="false">'SDLC-1 Model'!AC107</f>
        <v>0</v>
      </c>
      <c r="AD109" s="208" t="n">
        <f aca="false">'SDLC-1 Model'!AD107</f>
        <v>0</v>
      </c>
      <c r="AE109" s="210" t="n">
        <f aca="false">'SDLC-1 Model'!AE107</f>
        <v>0</v>
      </c>
      <c r="AF109" s="210" t="n">
        <f aca="false">'SDLC-1 Model'!AF107</f>
        <v>0</v>
      </c>
      <c r="AG109" s="210" t="n">
        <f aca="false">'SDLC-1 Model'!AG107</f>
        <v>0</v>
      </c>
      <c r="AH109" s="210" t="n">
        <f aca="false">'SDLC-1 Model'!AH107</f>
        <v>0</v>
      </c>
      <c r="AI109" s="210" t="n">
        <f aca="false">'SDLC-1 Model'!AI107</f>
        <v>0</v>
      </c>
      <c r="AJ109" s="210" t="n">
        <f aca="false">'SDLC-1 Model'!AJ107</f>
        <v>0</v>
      </c>
      <c r="AK109" s="210" t="n">
        <f aca="false">'SDLC-1 Model'!AK107</f>
        <v>0</v>
      </c>
      <c r="AL109" s="210" t="n">
        <f aca="false">'SDLC-1 Model'!AL107</f>
        <v>0</v>
      </c>
      <c r="AM109" s="210" t="n">
        <f aca="false">'SDLC-1 Model'!AM107</f>
        <v>0</v>
      </c>
      <c r="AN109" s="210" t="n">
        <f aca="false">'SDLC-1 Model'!AN107</f>
        <v>0</v>
      </c>
      <c r="AO109" s="210" t="n">
        <f aca="false">'SDLC-1 Model'!AO107</f>
        <v>0</v>
      </c>
      <c r="AP109" s="210" t="n">
        <f aca="false">'SDLC-1 Model'!AP107</f>
        <v>0</v>
      </c>
      <c r="AQ109" s="210" t="n">
        <f aca="false">'SDLC-1 Model'!AQ107</f>
        <v>0</v>
      </c>
      <c r="AR109" s="210" t="n">
        <f aca="false">'SDLC-1 Model'!AR107</f>
        <v>0</v>
      </c>
      <c r="AS109" s="210" t="n">
        <f aca="false">'SDLC-1 Model'!AS107</f>
        <v>0</v>
      </c>
      <c r="AT109" s="210" t="n">
        <f aca="false">'SDLC-1 Model'!AT107</f>
        <v>0</v>
      </c>
      <c r="AU109" s="210" t="n">
        <f aca="false">'SDLC-1 Model'!AU107</f>
        <v>0</v>
      </c>
      <c r="AV109" s="210" t="n">
        <f aca="false">'SDLC-1 Model'!AV107</f>
        <v>0</v>
      </c>
      <c r="AW109" s="210" t="n">
        <f aca="false">'SDLC-1 Model'!AW107</f>
        <v>0</v>
      </c>
      <c r="AX109" s="210" t="n">
        <f aca="false">'SDLC-1 Model'!AX107</f>
        <v>0</v>
      </c>
      <c r="AY109" s="210" t="n">
        <f aca="false">'SDLC-1 Model'!AY107</f>
        <v>0</v>
      </c>
      <c r="AZ109" s="210" t="n">
        <f aca="false">'SDLC-1 Model'!AZ107</f>
        <v>0</v>
      </c>
      <c r="BA109" s="210" t="n">
        <f aca="false">'SDLC-1 Model'!BA107</f>
        <v>0</v>
      </c>
      <c r="BB109" s="210" t="n">
        <f aca="false">'SDLC-1 Model'!BB107</f>
        <v>0</v>
      </c>
      <c r="BC109" s="210" t="n">
        <f aca="false">'SDLC-1 Model'!BC107</f>
        <v>0</v>
      </c>
      <c r="BD109" s="210" t="n">
        <f aca="false">'SDLC-1 Model'!BD107</f>
        <v>0</v>
      </c>
      <c r="BE109" s="210" t="n">
        <f aca="false">'SDLC-1 Model'!BE107</f>
        <v>0</v>
      </c>
      <c r="BF109" s="210" t="n">
        <f aca="false">'SDLC-1 Model'!BF107</f>
        <v>0</v>
      </c>
      <c r="BG109" s="210" t="n">
        <f aca="false">'SDLC-1 Model'!BG107</f>
        <v>0</v>
      </c>
      <c r="BH109" s="210" t="n">
        <f aca="false">'SDLC-1 Model'!BH107</f>
        <v>0</v>
      </c>
      <c r="BI109" s="210" t="n">
        <f aca="false">'SDLC-1 Model'!BI107</f>
        <v>0</v>
      </c>
      <c r="BJ109" s="210" t="n">
        <f aca="false">'SDLC-1 Model'!BJ107</f>
        <v>0</v>
      </c>
      <c r="BK109" s="210" t="n">
        <f aca="false">'SDLC-1 Model'!BK107</f>
        <v>0</v>
      </c>
      <c r="BL109" s="210" t="n">
        <f aca="false">'SDLC-1 Model'!BL107</f>
        <v>0</v>
      </c>
      <c r="BM109" s="210" t="n">
        <f aca="false">'SDLC-1 Model'!BM107</f>
        <v>0</v>
      </c>
      <c r="BN109" s="210" t="n">
        <f aca="false">'SDLC-1 Model'!BN107</f>
        <v>0</v>
      </c>
      <c r="BO109" s="210" t="n">
        <f aca="false">'SDLC-1 Model'!BO107</f>
        <v>0</v>
      </c>
      <c r="BP109" s="210" t="n">
        <f aca="false">'SDLC-1 Model'!BP107</f>
        <v>0</v>
      </c>
      <c r="BQ109" s="210" t="n">
        <f aca="false">'SDLC-1 Model'!BQ107</f>
        <v>0</v>
      </c>
      <c r="BR109" s="210" t="n">
        <f aca="false">'SDLC-1 Model'!BR107</f>
        <v>0</v>
      </c>
      <c r="BS109" s="210" t="n">
        <f aca="false">'SDLC-1 Model'!BS107</f>
        <v>0</v>
      </c>
      <c r="BT109" s="210" t="n">
        <f aca="false">'SDLC-1 Model'!BT107</f>
        <v>0</v>
      </c>
      <c r="BU109" s="210" t="n">
        <f aca="false">'SDLC-1 Model'!BU107</f>
        <v>0</v>
      </c>
      <c r="BV109" s="210" t="n">
        <f aca="false">'SDLC-1 Model'!BV107</f>
        <v>0</v>
      </c>
      <c r="BW109" s="210" t="n">
        <f aca="false">'SDLC-1 Model'!BW107</f>
        <v>0</v>
      </c>
      <c r="BX109" s="210" t="n">
        <f aca="false">'SDLC-1 Model'!BX107</f>
        <v>0</v>
      </c>
      <c r="BY109" s="210" t="n">
        <f aca="false">'SDLC-1 Model'!BY107</f>
        <v>0</v>
      </c>
      <c r="BZ109" s="210" t="n">
        <f aca="false">'SDLC-1 Model'!BZ107</f>
        <v>0</v>
      </c>
      <c r="CA109" s="210" t="n">
        <f aca="false">'SDLC-1 Model'!CA107</f>
        <v>0</v>
      </c>
      <c r="CC109" s="79" t="n">
        <f aca="false">SUMIFS($T109:$CA109, $T$1:$CA$1, CC$63)</f>
        <v>0</v>
      </c>
      <c r="CD109" s="79" t="n">
        <f aca="false">SUMIFS($T109:$CA109, $T$1:$CA$1, CD$63)</f>
        <v>0</v>
      </c>
      <c r="CE109" s="79" t="n">
        <f aca="false">SUMIFS($T109:$CA109, $T$1:$CA$1, CE$63)</f>
        <v>0</v>
      </c>
      <c r="CF109" s="79" t="n">
        <f aca="false">SUMIFS($T109:$CA109, $T$1:$CA$1, CF$63)</f>
        <v>0</v>
      </c>
      <c r="CG109" s="79" t="n">
        <f aca="false">SUMIFS($T109:$CA109, $T$1:$CA$1, CG$63)</f>
        <v>0</v>
      </c>
      <c r="CI109" s="79" t="n">
        <f aca="false">CC109=L109</f>
        <v>1</v>
      </c>
      <c r="CJ109" s="79" t="n">
        <f aca="false">CD109=M109</f>
        <v>1</v>
      </c>
      <c r="CK109" s="79" t="n">
        <f aca="false">CE109=N109</f>
        <v>1</v>
      </c>
      <c r="CL109" s="79" t="n">
        <f aca="false">CF109=O109</f>
        <v>1</v>
      </c>
      <c r="CM109" s="79" t="n">
        <f aca="false">CG109=P109</f>
        <v>1</v>
      </c>
    </row>
    <row r="110" s="14" customFormat="true" ht="16.5" hidden="false" customHeight="true" outlineLevel="0" collapsed="false">
      <c r="E110" s="91"/>
      <c r="H110" s="29"/>
      <c r="I110" s="91" t="n">
        <v>0</v>
      </c>
      <c r="J110" s="91" t="n">
        <v>0</v>
      </c>
      <c r="K110" s="207" t="n">
        <f aca="false">J110-I110</f>
        <v>0</v>
      </c>
      <c r="L110" s="91" t="n">
        <v>0</v>
      </c>
      <c r="M110" s="91" t="n">
        <v>0</v>
      </c>
      <c r="N110" s="91" t="n">
        <v>0</v>
      </c>
      <c r="O110" s="91" t="n">
        <v>0</v>
      </c>
      <c r="P110" s="91" t="n">
        <v>0</v>
      </c>
      <c r="Q110" s="93"/>
      <c r="R110" s="16" t="str">
        <f aca="false">IF(K110=P110, "", "Error")</f>
        <v/>
      </c>
      <c r="T110" s="91"/>
      <c r="U110" s="91"/>
      <c r="V110" s="91"/>
      <c r="W110" s="91"/>
      <c r="X110" s="91"/>
      <c r="Y110" s="91"/>
      <c r="Z110" s="91"/>
      <c r="AA110" s="91"/>
      <c r="AB110" s="91"/>
      <c r="AC110" s="91"/>
      <c r="AD110" s="91"/>
      <c r="AE110" s="94"/>
      <c r="AF110" s="95"/>
      <c r="AG110" s="91"/>
      <c r="AH110" s="91"/>
      <c r="AI110" s="91"/>
      <c r="AJ110" s="91"/>
      <c r="AK110" s="91"/>
      <c r="AL110" s="91"/>
      <c r="AM110" s="91"/>
      <c r="AN110" s="91"/>
      <c r="AO110" s="91"/>
      <c r="AP110" s="91"/>
      <c r="AQ110" s="94"/>
      <c r="AR110" s="95"/>
      <c r="AS110" s="91"/>
      <c r="AT110" s="91"/>
      <c r="AU110" s="91"/>
      <c r="AV110" s="91"/>
      <c r="AW110" s="91"/>
      <c r="AX110" s="91"/>
      <c r="AY110" s="91"/>
      <c r="AZ110" s="91"/>
      <c r="BA110" s="91"/>
      <c r="BB110" s="91"/>
      <c r="BC110" s="94"/>
      <c r="BD110" s="95"/>
      <c r="BE110" s="91"/>
      <c r="BF110" s="91"/>
      <c r="BG110" s="91"/>
      <c r="BH110" s="91"/>
      <c r="BI110" s="91"/>
      <c r="BJ110" s="91"/>
      <c r="BK110" s="91"/>
      <c r="BL110" s="91"/>
      <c r="BM110" s="91"/>
      <c r="BN110" s="91"/>
      <c r="BO110" s="94"/>
      <c r="BP110" s="95"/>
      <c r="BQ110" s="91"/>
      <c r="BR110" s="91"/>
      <c r="BS110" s="91"/>
      <c r="BT110" s="91"/>
      <c r="BU110" s="91"/>
      <c r="BV110" s="91"/>
      <c r="BW110" s="91"/>
      <c r="BX110" s="91"/>
      <c r="BY110" s="91"/>
      <c r="BZ110" s="91"/>
      <c r="CA110" s="119"/>
      <c r="CC110" s="79" t="n">
        <f aca="false">SUMIFS($T110:$CA110, $T$1:$CA$1, CC$63)</f>
        <v>0</v>
      </c>
      <c r="CD110" s="79" t="n">
        <f aca="false">SUMIFS($T110:$CA110, $T$1:$CA$1, CD$63)</f>
        <v>0</v>
      </c>
      <c r="CE110" s="79" t="n">
        <f aca="false">SUMIFS($T110:$CA110, $T$1:$CA$1, CE$63)</f>
        <v>0</v>
      </c>
      <c r="CF110" s="79" t="n">
        <f aca="false">SUMIFS($T110:$CA110, $T$1:$CA$1, CF$63)</f>
        <v>0</v>
      </c>
      <c r="CG110" s="79" t="n">
        <f aca="false">SUMIFS($T110:$CA110, $T$1:$CA$1, CG$63)</f>
        <v>0</v>
      </c>
      <c r="CI110" s="79" t="n">
        <f aca="false">CC110=L110</f>
        <v>1</v>
      </c>
      <c r="CJ110" s="79" t="n">
        <f aca="false">CD110=M110</f>
        <v>1</v>
      </c>
      <c r="CK110" s="79" t="n">
        <f aca="false">CE110=N110</f>
        <v>1</v>
      </c>
      <c r="CL110" s="79" t="n">
        <f aca="false">CF110=O110</f>
        <v>1</v>
      </c>
      <c r="CM110" s="79" t="n">
        <f aca="false">CG110=P110</f>
        <v>1</v>
      </c>
    </row>
    <row r="111" s="14" customFormat="true" ht="16.5" hidden="false" customHeight="true" outlineLevel="0" collapsed="false">
      <c r="E111" s="91"/>
      <c r="H111" s="29"/>
      <c r="I111" s="91" t="n">
        <v>0</v>
      </c>
      <c r="J111" s="91" t="n">
        <v>0</v>
      </c>
      <c r="K111" s="207" t="n">
        <f aca="false">J111-I111</f>
        <v>0</v>
      </c>
      <c r="L111" s="91" t="n">
        <v>0</v>
      </c>
      <c r="M111" s="91" t="n">
        <v>0</v>
      </c>
      <c r="N111" s="91" t="n">
        <v>0</v>
      </c>
      <c r="O111" s="91" t="n">
        <v>0</v>
      </c>
      <c r="P111" s="91" t="n">
        <v>0</v>
      </c>
      <c r="Q111" s="93"/>
      <c r="R111" s="16" t="str">
        <f aca="false">IF(K111=P111, "", "Error")</f>
        <v/>
      </c>
      <c r="T111" s="91"/>
      <c r="U111" s="91"/>
      <c r="V111" s="91"/>
      <c r="W111" s="91"/>
      <c r="X111" s="91"/>
      <c r="Y111" s="91"/>
      <c r="Z111" s="91"/>
      <c r="AA111" s="91"/>
      <c r="AB111" s="91"/>
      <c r="AC111" s="91"/>
      <c r="AD111" s="91"/>
      <c r="AE111" s="94"/>
      <c r="AF111" s="95"/>
      <c r="AG111" s="91"/>
      <c r="AH111" s="91"/>
      <c r="AI111" s="91"/>
      <c r="AJ111" s="91"/>
      <c r="AK111" s="91"/>
      <c r="AL111" s="91"/>
      <c r="AM111" s="91"/>
      <c r="AN111" s="91"/>
      <c r="AO111" s="91"/>
      <c r="AP111" s="91"/>
      <c r="AQ111" s="94"/>
      <c r="AR111" s="95"/>
      <c r="AS111" s="91"/>
      <c r="AT111" s="91"/>
      <c r="AU111" s="91"/>
      <c r="AV111" s="91"/>
      <c r="AW111" s="91"/>
      <c r="AX111" s="91"/>
      <c r="AY111" s="91"/>
      <c r="AZ111" s="91"/>
      <c r="BA111" s="91"/>
      <c r="BB111" s="91"/>
      <c r="BC111" s="94"/>
      <c r="BD111" s="95"/>
      <c r="BE111" s="91"/>
      <c r="BF111" s="91"/>
      <c r="BG111" s="91"/>
      <c r="BH111" s="91"/>
      <c r="BI111" s="91"/>
      <c r="BJ111" s="91"/>
      <c r="BK111" s="91"/>
      <c r="BL111" s="91"/>
      <c r="BM111" s="91"/>
      <c r="BN111" s="91"/>
      <c r="BO111" s="94"/>
      <c r="BP111" s="95"/>
      <c r="BQ111" s="91"/>
      <c r="BR111" s="91"/>
      <c r="BS111" s="91"/>
      <c r="BT111" s="91"/>
      <c r="BU111" s="91"/>
      <c r="BV111" s="91"/>
      <c r="BW111" s="91"/>
      <c r="BX111" s="91"/>
      <c r="BY111" s="91"/>
      <c r="BZ111" s="91"/>
      <c r="CA111" s="119"/>
      <c r="CC111" s="79" t="n">
        <f aca="false">SUMIFS($T111:$CA111, $T$1:$CA$1, CC$63)</f>
        <v>0</v>
      </c>
      <c r="CD111" s="79" t="n">
        <f aca="false">SUMIFS($T111:$CA111, $T$1:$CA$1, CD$63)</f>
        <v>0</v>
      </c>
      <c r="CE111" s="79" t="n">
        <f aca="false">SUMIFS($T111:$CA111, $T$1:$CA$1, CE$63)</f>
        <v>0</v>
      </c>
      <c r="CF111" s="79" t="n">
        <f aca="false">SUMIFS($T111:$CA111, $T$1:$CA$1, CF$63)</f>
        <v>0</v>
      </c>
      <c r="CG111" s="79" t="n">
        <f aca="false">SUMIFS($T111:$CA111, $T$1:$CA$1, CG$63)</f>
        <v>0</v>
      </c>
      <c r="CI111" s="79" t="n">
        <f aca="false">CC111=L111</f>
        <v>1</v>
      </c>
      <c r="CJ111" s="79" t="n">
        <f aca="false">CD111=M111</f>
        <v>1</v>
      </c>
      <c r="CK111" s="79" t="n">
        <f aca="false">CE111=N111</f>
        <v>1</v>
      </c>
      <c r="CL111" s="79" t="n">
        <f aca="false">CF111=O111</f>
        <v>1</v>
      </c>
      <c r="CM111" s="79" t="n">
        <f aca="false">CG111=P111</f>
        <v>1</v>
      </c>
    </row>
    <row r="112" s="14" customFormat="true" ht="16.5" hidden="false" customHeight="true" outlineLevel="0" collapsed="false">
      <c r="E112" s="96" t="s">
        <v>133</v>
      </c>
      <c r="H112" s="29"/>
      <c r="I112" s="82" t="n">
        <f aca="false">SUM(I107:I111)</f>
        <v>0</v>
      </c>
      <c r="J112" s="82" t="n">
        <f aca="false">SUM(J107:J111)</f>
        <v>0</v>
      </c>
      <c r="K112" s="82" t="n">
        <f aca="false">SUM(K107:K111)</f>
        <v>0</v>
      </c>
      <c r="L112" s="82" t="n">
        <f aca="false">SUM(L107:L111)</f>
        <v>0</v>
      </c>
      <c r="M112" s="82" t="n">
        <f aca="false">SUM(M107:M111)</f>
        <v>0</v>
      </c>
      <c r="N112" s="82" t="n">
        <f aca="false">SUM(N107:N111)</f>
        <v>0</v>
      </c>
      <c r="O112" s="82" t="n">
        <f aca="false">SUM(O107:O111)</f>
        <v>0</v>
      </c>
      <c r="P112" s="82" t="n">
        <f aca="false">SUM(P107:P111)</f>
        <v>0</v>
      </c>
      <c r="Q112" s="16"/>
      <c r="R112" s="16"/>
      <c r="T112" s="82" t="n">
        <f aca="false">SUM(T107:T111)</f>
        <v>0</v>
      </c>
      <c r="U112" s="82" t="n">
        <f aca="false">SUM(U107:U111)</f>
        <v>0</v>
      </c>
      <c r="V112" s="82" t="n">
        <f aca="false">SUM(V107:V111)</f>
        <v>0</v>
      </c>
      <c r="W112" s="82" t="n">
        <f aca="false">SUM(W107:W111)</f>
        <v>0</v>
      </c>
      <c r="X112" s="82" t="n">
        <f aca="false">SUM(X107:X111)</f>
        <v>0</v>
      </c>
      <c r="Y112" s="82" t="n">
        <f aca="false">SUM(Y107:Y111)</f>
        <v>0</v>
      </c>
      <c r="Z112" s="82" t="n">
        <f aca="false">SUM(Z107:Z111)</f>
        <v>0</v>
      </c>
      <c r="AA112" s="82" t="n">
        <f aca="false">SUM(AA107:AA111)</f>
        <v>0</v>
      </c>
      <c r="AB112" s="82" t="n">
        <f aca="false">SUM(AB107:AB111)</f>
        <v>0</v>
      </c>
      <c r="AC112" s="82" t="n">
        <f aca="false">SUM(AC107:AC111)</f>
        <v>0</v>
      </c>
      <c r="AD112" s="82" t="n">
        <f aca="false">SUM(AD107:AD111)</f>
        <v>0</v>
      </c>
      <c r="AE112" s="82" t="n">
        <f aca="false">SUM(AE107:AE111)</f>
        <v>0</v>
      </c>
      <c r="AF112" s="83" t="n">
        <f aca="false">SUM(AF107:AF111)</f>
        <v>0</v>
      </c>
      <c r="AG112" s="82" t="n">
        <f aca="false">SUM(AG107:AG111)</f>
        <v>0</v>
      </c>
      <c r="AH112" s="82" t="n">
        <f aca="false">SUM(AH107:AH111)</f>
        <v>0</v>
      </c>
      <c r="AI112" s="82" t="n">
        <f aca="false">SUM(AI107:AI111)</f>
        <v>0</v>
      </c>
      <c r="AJ112" s="82" t="n">
        <f aca="false">SUM(AJ107:AJ111)</f>
        <v>0</v>
      </c>
      <c r="AK112" s="82" t="n">
        <f aca="false">SUM(AK107:AK111)</f>
        <v>0</v>
      </c>
      <c r="AL112" s="82" t="n">
        <f aca="false">SUM(AL107:AL111)</f>
        <v>0</v>
      </c>
      <c r="AM112" s="82" t="n">
        <f aca="false">SUM(AM107:AM111)</f>
        <v>0</v>
      </c>
      <c r="AN112" s="82" t="n">
        <f aca="false">SUM(AN107:AN111)</f>
        <v>0</v>
      </c>
      <c r="AO112" s="82" t="n">
        <f aca="false">SUM(AO107:AO111)</f>
        <v>0</v>
      </c>
      <c r="AP112" s="82" t="n">
        <f aca="false">SUM(AP107:AP111)</f>
        <v>0</v>
      </c>
      <c r="AQ112" s="82" t="n">
        <f aca="false">SUM(AQ107:AQ111)</f>
        <v>0</v>
      </c>
      <c r="AR112" s="83" t="n">
        <f aca="false">SUM(AR107:AR111)</f>
        <v>0</v>
      </c>
      <c r="AS112" s="82" t="n">
        <f aca="false">SUM(AS107:AS111)</f>
        <v>0</v>
      </c>
      <c r="AT112" s="82" t="n">
        <f aca="false">SUM(AT107:AT111)</f>
        <v>0</v>
      </c>
      <c r="AU112" s="82" t="n">
        <f aca="false">SUM(AU107:AU111)</f>
        <v>0</v>
      </c>
      <c r="AV112" s="82" t="n">
        <f aca="false">SUM(AV107:AV111)</f>
        <v>0</v>
      </c>
      <c r="AW112" s="82" t="n">
        <f aca="false">SUM(AW107:AW111)</f>
        <v>0</v>
      </c>
      <c r="AX112" s="82" t="n">
        <f aca="false">SUM(AX107:AX111)</f>
        <v>0</v>
      </c>
      <c r="AY112" s="82" t="n">
        <f aca="false">SUM(AY107:AY111)</f>
        <v>0</v>
      </c>
      <c r="AZ112" s="82" t="n">
        <f aca="false">SUM(AZ107:AZ111)</f>
        <v>0</v>
      </c>
      <c r="BA112" s="82" t="n">
        <f aca="false">SUM(BA107:BA111)</f>
        <v>0</v>
      </c>
      <c r="BB112" s="82" t="n">
        <f aca="false">SUM(BB107:BB111)</f>
        <v>0</v>
      </c>
      <c r="BC112" s="82" t="n">
        <f aca="false">SUM(BC107:BC111)</f>
        <v>0</v>
      </c>
      <c r="BD112" s="83" t="n">
        <f aca="false">SUM(BD107:BD111)</f>
        <v>0</v>
      </c>
      <c r="BE112" s="82" t="n">
        <f aca="false">SUM(BE107:BE111)</f>
        <v>0</v>
      </c>
      <c r="BF112" s="82" t="n">
        <f aca="false">SUM(BF107:BF111)</f>
        <v>0</v>
      </c>
      <c r="BG112" s="82" t="n">
        <f aca="false">SUM(BG107:BG111)</f>
        <v>0</v>
      </c>
      <c r="BH112" s="82" t="n">
        <f aca="false">SUM(BH107:BH111)</f>
        <v>0</v>
      </c>
      <c r="BI112" s="82" t="n">
        <f aca="false">SUM(BI107:BI111)</f>
        <v>0</v>
      </c>
      <c r="BJ112" s="82" t="n">
        <f aca="false">SUM(BJ107:BJ111)</f>
        <v>0</v>
      </c>
      <c r="BK112" s="82" t="n">
        <f aca="false">SUM(BK107:BK111)</f>
        <v>0</v>
      </c>
      <c r="BL112" s="82" t="n">
        <f aca="false">SUM(BL107:BL111)</f>
        <v>0</v>
      </c>
      <c r="BM112" s="82" t="n">
        <f aca="false">SUM(BM107:BM111)</f>
        <v>0</v>
      </c>
      <c r="BN112" s="82" t="n">
        <f aca="false">SUM(BN107:BN111)</f>
        <v>0</v>
      </c>
      <c r="BO112" s="82" t="n">
        <f aca="false">SUM(BO107:BO111)</f>
        <v>0</v>
      </c>
      <c r="BP112" s="83" t="n">
        <f aca="false">SUM(BP107:BP111)</f>
        <v>0</v>
      </c>
      <c r="BQ112" s="82" t="n">
        <f aca="false">SUM(BQ107:BQ111)</f>
        <v>0</v>
      </c>
      <c r="BR112" s="82" t="n">
        <f aca="false">SUM(BR107:BR111)</f>
        <v>0</v>
      </c>
      <c r="BS112" s="82" t="n">
        <f aca="false">SUM(BS107:BS111)</f>
        <v>0</v>
      </c>
      <c r="BT112" s="82" t="n">
        <f aca="false">SUM(BT107:BT111)</f>
        <v>0</v>
      </c>
      <c r="BU112" s="82" t="n">
        <f aca="false">SUM(BU107:BU111)</f>
        <v>0</v>
      </c>
      <c r="BV112" s="82" t="n">
        <f aca="false">SUM(BV107:BV111)</f>
        <v>0</v>
      </c>
      <c r="BW112" s="82" t="n">
        <f aca="false">SUM(BW107:BW111)</f>
        <v>0</v>
      </c>
      <c r="BX112" s="82" t="n">
        <f aca="false">SUM(BX107:BX111)</f>
        <v>0</v>
      </c>
      <c r="BY112" s="82" t="n">
        <f aca="false">SUM(BY107:BY111)</f>
        <v>0</v>
      </c>
      <c r="BZ112" s="82" t="n">
        <f aca="false">SUM(BZ107:BZ111)</f>
        <v>0</v>
      </c>
      <c r="CA112" s="84" t="n">
        <f aca="false">SUM(CA107:CA111)</f>
        <v>0</v>
      </c>
      <c r="CC112" s="84" t="n">
        <f aca="false">SUM(CC107:CC111)</f>
        <v>0</v>
      </c>
      <c r="CD112" s="84" t="n">
        <f aca="false">SUM(CD107:CD111)</f>
        <v>0</v>
      </c>
      <c r="CE112" s="84" t="n">
        <f aca="false">SUM(CE107:CE111)</f>
        <v>0</v>
      </c>
      <c r="CF112" s="84" t="n">
        <f aca="false">SUM(CF107:CF111)</f>
        <v>0</v>
      </c>
      <c r="CG112" s="84" t="n">
        <f aca="false">SUM(CG107:CG111)</f>
        <v>0</v>
      </c>
      <c r="CI112" s="84" t="n">
        <f aca="false">CC112=L112</f>
        <v>1</v>
      </c>
      <c r="CJ112" s="84" t="n">
        <f aca="false">CD112=M112</f>
        <v>1</v>
      </c>
      <c r="CK112" s="84" t="n">
        <f aca="false">CE112=N112</f>
        <v>1</v>
      </c>
      <c r="CL112" s="84" t="n">
        <f aca="false">CF112=O112</f>
        <v>1</v>
      </c>
      <c r="CM112" s="84" t="n">
        <f aca="false">CG112=P112</f>
        <v>1</v>
      </c>
    </row>
    <row r="113" s="14" customFormat="true" ht="16.5" hidden="false" customHeight="true" outlineLevel="0" collapsed="false">
      <c r="E113" s="96"/>
      <c r="H113" s="29"/>
      <c r="I113" s="105"/>
      <c r="J113" s="105"/>
      <c r="K113" s="105"/>
      <c r="L113" s="105"/>
      <c r="M113" s="105"/>
      <c r="N113" s="105"/>
      <c r="O113" s="105"/>
      <c r="P113" s="105"/>
      <c r="Q113" s="16"/>
      <c r="R113" s="16"/>
      <c r="T113" s="82"/>
      <c r="U113" s="82"/>
      <c r="V113" s="82"/>
      <c r="W113" s="82"/>
      <c r="X113" s="82"/>
      <c r="Y113" s="82"/>
      <c r="Z113" s="82"/>
      <c r="AA113" s="82"/>
      <c r="AB113" s="82"/>
      <c r="AC113" s="82"/>
      <c r="AD113" s="82"/>
      <c r="AE113" s="82"/>
      <c r="AF113" s="83"/>
      <c r="AG113" s="82"/>
      <c r="AH113" s="82"/>
      <c r="AI113" s="82"/>
      <c r="AJ113" s="82"/>
      <c r="AK113" s="82"/>
      <c r="AL113" s="82"/>
      <c r="AM113" s="82"/>
      <c r="AN113" s="82"/>
      <c r="AO113" s="82"/>
      <c r="AP113" s="82"/>
      <c r="AQ113" s="82"/>
      <c r="AR113" s="83"/>
      <c r="AS113" s="82"/>
      <c r="AT113" s="82"/>
      <c r="AU113" s="82"/>
      <c r="AV113" s="82"/>
      <c r="AW113" s="82"/>
      <c r="AX113" s="82"/>
      <c r="AY113" s="82"/>
      <c r="AZ113" s="82"/>
      <c r="BA113" s="82"/>
      <c r="BB113" s="82"/>
      <c r="BC113" s="82"/>
      <c r="BD113" s="83"/>
      <c r="BE113" s="82"/>
      <c r="BF113" s="82"/>
      <c r="BG113" s="82"/>
      <c r="BH113" s="82"/>
      <c r="BI113" s="82"/>
      <c r="BJ113" s="82"/>
      <c r="BK113" s="82"/>
      <c r="BL113" s="82"/>
      <c r="BM113" s="82"/>
      <c r="BN113" s="82"/>
      <c r="BO113" s="82"/>
      <c r="BP113" s="83"/>
      <c r="BQ113" s="82"/>
      <c r="BR113" s="82"/>
      <c r="BS113" s="82"/>
      <c r="BT113" s="82"/>
      <c r="BU113" s="82"/>
      <c r="BV113" s="82"/>
      <c r="BW113" s="82"/>
      <c r="BX113" s="82"/>
      <c r="BY113" s="82"/>
      <c r="BZ113" s="82"/>
      <c r="CA113" s="84"/>
      <c r="CC113" s="84"/>
      <c r="CD113" s="84"/>
      <c r="CE113" s="84"/>
      <c r="CF113" s="84"/>
      <c r="CG113" s="84"/>
      <c r="CI113" s="84"/>
      <c r="CJ113" s="84"/>
      <c r="CK113" s="84"/>
      <c r="CL113" s="84"/>
      <c r="CM113" s="84"/>
    </row>
    <row r="114" s="14" customFormat="true" ht="16.5" hidden="false" customHeight="true" outlineLevel="0" collapsed="false">
      <c r="E114" s="85"/>
      <c r="I114" s="104"/>
      <c r="J114" s="104"/>
      <c r="K114" s="104"/>
      <c r="L114" s="104"/>
      <c r="M114" s="104"/>
      <c r="N114" s="104"/>
      <c r="O114" s="104"/>
      <c r="P114" s="104"/>
      <c r="Q114" s="16"/>
      <c r="R114" s="16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9"/>
      <c r="AG114" s="88"/>
      <c r="AH114" s="88"/>
      <c r="AI114" s="88"/>
      <c r="AJ114" s="88"/>
      <c r="AK114" s="88"/>
      <c r="AL114" s="88"/>
      <c r="AM114" s="88"/>
      <c r="AN114" s="88"/>
      <c r="AO114" s="88"/>
      <c r="AP114" s="88"/>
      <c r="AQ114" s="88"/>
      <c r="AR114" s="89"/>
      <c r="AS114" s="88"/>
      <c r="AT114" s="88"/>
      <c r="AU114" s="88"/>
      <c r="AV114" s="88"/>
      <c r="AW114" s="88"/>
      <c r="AX114" s="88"/>
      <c r="AY114" s="88"/>
      <c r="AZ114" s="88"/>
      <c r="BA114" s="88"/>
      <c r="BB114" s="88"/>
      <c r="BC114" s="88"/>
      <c r="BD114" s="89"/>
      <c r="BE114" s="88"/>
      <c r="BF114" s="88"/>
      <c r="BG114" s="88"/>
      <c r="BH114" s="88"/>
      <c r="BI114" s="88"/>
      <c r="BJ114" s="88"/>
      <c r="BK114" s="88"/>
      <c r="BL114" s="88"/>
      <c r="BM114" s="88"/>
      <c r="BN114" s="88"/>
      <c r="BO114" s="88"/>
      <c r="BP114" s="89"/>
      <c r="BQ114" s="88"/>
      <c r="BR114" s="88"/>
      <c r="BS114" s="88"/>
      <c r="BT114" s="88"/>
      <c r="BU114" s="88"/>
      <c r="BV114" s="88"/>
      <c r="BW114" s="88"/>
      <c r="BX114" s="88"/>
      <c r="BY114" s="88"/>
      <c r="BZ114" s="88"/>
      <c r="CA114" s="90"/>
      <c r="CC114" s="90"/>
      <c r="CD114" s="90"/>
      <c r="CE114" s="90"/>
      <c r="CF114" s="90"/>
      <c r="CG114" s="90"/>
      <c r="CI114" s="90"/>
      <c r="CJ114" s="90"/>
      <c r="CK114" s="90"/>
      <c r="CL114" s="90"/>
      <c r="CM114" s="90"/>
    </row>
    <row r="115" s="14" customFormat="true" ht="16.5" hidden="false" customHeight="true" outlineLevel="0" collapsed="false">
      <c r="E115" s="109" t="s">
        <v>140</v>
      </c>
      <c r="F115" s="109"/>
      <c r="G115" s="109"/>
      <c r="H115" s="109"/>
      <c r="I115" s="215" t="n">
        <f aca="false">SUM(-I96, I104, I112)</f>
        <v>0</v>
      </c>
      <c r="J115" s="215" t="n">
        <f aca="false">SUM(-J96, J104, J112)</f>
        <v>0</v>
      </c>
      <c r="K115" s="215" t="n">
        <f aca="false">SUM(-K96, K104, K112)</f>
        <v>0</v>
      </c>
      <c r="L115" s="215" t="n">
        <f aca="false">SUM(-L96, L104, L112)</f>
        <v>0</v>
      </c>
      <c r="M115" s="215" t="n">
        <f aca="false">SUM(-M96, M104, M112)</f>
        <v>0</v>
      </c>
      <c r="N115" s="215" t="n">
        <f aca="false">SUM(-N96, N104, N112)</f>
        <v>0</v>
      </c>
      <c r="O115" s="215" t="n">
        <f aca="false">SUM(-O96, O104, O112)</f>
        <v>0</v>
      </c>
      <c r="P115" s="215" t="n">
        <f aca="false">SUM(-P96, P104, P112)</f>
        <v>0</v>
      </c>
      <c r="Q115" s="16"/>
      <c r="R115" s="16"/>
      <c r="T115" s="120" t="n">
        <f aca="false">SUM(-T96, T104, T112)</f>
        <v>0</v>
      </c>
      <c r="U115" s="120" t="n">
        <f aca="false">SUM(-U96, U104, U112)</f>
        <v>0</v>
      </c>
      <c r="V115" s="120" t="n">
        <f aca="false">SUM(-V96, V104, V112)</f>
        <v>0</v>
      </c>
      <c r="W115" s="120" t="n">
        <f aca="false">SUM(-W96, W104, W112)</f>
        <v>0</v>
      </c>
      <c r="X115" s="120" t="n">
        <f aca="false">SUM(-X96, X104, X112)</f>
        <v>0</v>
      </c>
      <c r="Y115" s="120" t="n">
        <f aca="false">SUM(-Y96, Y104, Y112)</f>
        <v>0</v>
      </c>
      <c r="Z115" s="120" t="n">
        <f aca="false">SUM(-Z96, Z104, Z112)</f>
        <v>0</v>
      </c>
      <c r="AA115" s="120" t="n">
        <f aca="false">SUM(-AA96, AA104, AA112)</f>
        <v>0</v>
      </c>
      <c r="AB115" s="120" t="n">
        <f aca="false">SUM(-AB96, AB104, AB112)</f>
        <v>0</v>
      </c>
      <c r="AC115" s="120" t="n">
        <f aca="false">SUM(-AC96, AC104, AC112)</f>
        <v>0</v>
      </c>
      <c r="AD115" s="120" t="n">
        <f aca="false">SUM(-AD96, AD104, AD112)</f>
        <v>0</v>
      </c>
      <c r="AE115" s="120" t="n">
        <f aca="false">SUM(-AE96, AE104, AE112)</f>
        <v>0</v>
      </c>
      <c r="AF115" s="120" t="n">
        <f aca="false">SUM(-AF96, AF104, AF112)</f>
        <v>0</v>
      </c>
      <c r="AG115" s="120" t="n">
        <f aca="false">SUM(-AG96, AG104, AG112)</f>
        <v>0</v>
      </c>
      <c r="AH115" s="120" t="n">
        <f aca="false">SUM(-AH96, AH104, AH112)</f>
        <v>0</v>
      </c>
      <c r="AI115" s="120" t="n">
        <f aca="false">SUM(-AI96, AI104, AI112)</f>
        <v>0</v>
      </c>
      <c r="AJ115" s="120" t="n">
        <f aca="false">SUM(-AJ96, AJ104, AJ112)</f>
        <v>0</v>
      </c>
      <c r="AK115" s="120" t="n">
        <f aca="false">SUM(-AK96, AK104, AK112)</f>
        <v>0</v>
      </c>
      <c r="AL115" s="120" t="n">
        <f aca="false">SUM(-AL96, AL104, AL112)</f>
        <v>0</v>
      </c>
      <c r="AM115" s="120" t="n">
        <f aca="false">SUM(-AM96, AM104, AM112)</f>
        <v>0</v>
      </c>
      <c r="AN115" s="120" t="n">
        <f aca="false">SUM(-AN96, AN104, AN112)</f>
        <v>0</v>
      </c>
      <c r="AO115" s="120" t="n">
        <f aca="false">SUM(-AO96, AO104, AO112)</f>
        <v>0</v>
      </c>
      <c r="AP115" s="120" t="n">
        <f aca="false">SUM(-AP96, AP104, AP112)</f>
        <v>0</v>
      </c>
      <c r="AQ115" s="120" t="n">
        <f aca="false">SUM(-AQ96, AQ104, AQ112)</f>
        <v>0</v>
      </c>
      <c r="AR115" s="120" t="n">
        <f aca="false">SUM(-AR96, AR104, AR112)</f>
        <v>0</v>
      </c>
      <c r="AS115" s="120" t="n">
        <f aca="false">SUM(-AS96, AS104, AS112)</f>
        <v>0</v>
      </c>
      <c r="AT115" s="120" t="n">
        <f aca="false">SUM(-AT96, AT104, AT112)</f>
        <v>0</v>
      </c>
      <c r="AU115" s="120" t="n">
        <f aca="false">SUM(-AU96, AU104, AU112)</f>
        <v>0</v>
      </c>
      <c r="AV115" s="120" t="n">
        <f aca="false">SUM(-AV96, AV104, AV112)</f>
        <v>0</v>
      </c>
      <c r="AW115" s="120" t="n">
        <f aca="false">SUM(-AW96, AW104, AW112)</f>
        <v>0</v>
      </c>
      <c r="AX115" s="120" t="n">
        <f aca="false">SUM(-AX96, AX104, AX112)</f>
        <v>0</v>
      </c>
      <c r="AY115" s="120" t="n">
        <f aca="false">SUM(-AY96, AY104, AY112)</f>
        <v>0</v>
      </c>
      <c r="AZ115" s="120" t="n">
        <f aca="false">SUM(-AZ96, AZ104, AZ112)</f>
        <v>0</v>
      </c>
      <c r="BA115" s="120" t="n">
        <f aca="false">SUM(-BA96, BA104, BA112)</f>
        <v>0</v>
      </c>
      <c r="BB115" s="120" t="n">
        <f aca="false">SUM(-BB96, BB104, BB112)</f>
        <v>0</v>
      </c>
      <c r="BC115" s="120" t="n">
        <f aca="false">SUM(-BC96, BC104, BC112)</f>
        <v>0</v>
      </c>
      <c r="BD115" s="120" t="n">
        <f aca="false">SUM(-BD96, BD104, BD112)</f>
        <v>0</v>
      </c>
      <c r="BE115" s="120" t="n">
        <f aca="false">SUM(-BE96, BE104, BE112)</f>
        <v>0</v>
      </c>
      <c r="BF115" s="120" t="n">
        <f aca="false">SUM(-BF96, BF104, BF112)</f>
        <v>0</v>
      </c>
      <c r="BG115" s="120" t="n">
        <f aca="false">SUM(-BG96, BG104, BG112)</f>
        <v>0</v>
      </c>
      <c r="BH115" s="120" t="n">
        <f aca="false">SUM(-BH96, BH104, BH112)</f>
        <v>0</v>
      </c>
      <c r="BI115" s="120" t="n">
        <f aca="false">SUM(-BI96, BI104, BI112)</f>
        <v>0</v>
      </c>
      <c r="BJ115" s="120" t="n">
        <f aca="false">SUM(-BJ96, BJ104, BJ112)</f>
        <v>0</v>
      </c>
      <c r="BK115" s="120" t="n">
        <f aca="false">SUM(-BK96, BK104, BK112)</f>
        <v>0</v>
      </c>
      <c r="BL115" s="120" t="n">
        <f aca="false">SUM(-BL96, BL104, BL112)</f>
        <v>0</v>
      </c>
      <c r="BM115" s="120" t="n">
        <f aca="false">SUM(-BM96, BM104, BM112)</f>
        <v>0</v>
      </c>
      <c r="BN115" s="120" t="n">
        <f aca="false">SUM(-BN96, BN104, BN112)</f>
        <v>0</v>
      </c>
      <c r="BO115" s="120" t="n">
        <f aca="false">SUM(-BO96, BO104, BO112)</f>
        <v>0</v>
      </c>
      <c r="BP115" s="120" t="n">
        <f aca="false">SUM(-BP96, BP104, BP112)</f>
        <v>0</v>
      </c>
      <c r="BQ115" s="120" t="n">
        <f aca="false">SUM(-BQ96, BQ104, BQ112)</f>
        <v>0</v>
      </c>
      <c r="BR115" s="120" t="n">
        <f aca="false">SUM(-BR96, BR104, BR112)</f>
        <v>0</v>
      </c>
      <c r="BS115" s="120" t="n">
        <f aca="false">SUM(-BS96, BS104, BS112)</f>
        <v>0</v>
      </c>
      <c r="BT115" s="120" t="n">
        <f aca="false">SUM(-BT96, BT104, BT112)</f>
        <v>0</v>
      </c>
      <c r="BU115" s="120" t="n">
        <f aca="false">SUM(-BU96, BU104, BU112)</f>
        <v>0</v>
      </c>
      <c r="BV115" s="120" t="n">
        <f aca="false">SUM(-BV96, BV104, BV112)</f>
        <v>0</v>
      </c>
      <c r="BW115" s="120" t="n">
        <f aca="false">SUM(-BW96, BW104, BW112)</f>
        <v>0</v>
      </c>
      <c r="BX115" s="120" t="n">
        <f aca="false">SUM(-BX96, BX104, BX112)</f>
        <v>0</v>
      </c>
      <c r="BY115" s="120" t="n">
        <f aca="false">SUM(-BY96, BY104, BY112)</f>
        <v>0</v>
      </c>
      <c r="BZ115" s="120" t="n">
        <f aca="false">SUM(-BZ96, BZ104, BZ112)</f>
        <v>0</v>
      </c>
      <c r="CA115" s="120" t="n">
        <f aca="false">SUM(-CA96, CA104, CA112)</f>
        <v>0</v>
      </c>
      <c r="CC115" s="120" t="n">
        <f aca="false">SUM(-CC96, CC104, CC112)</f>
        <v>0</v>
      </c>
      <c r="CD115" s="120" t="n">
        <f aca="false">SUM(-CD96, CD104, CD112)</f>
        <v>0</v>
      </c>
      <c r="CE115" s="120" t="n">
        <f aca="false">SUM(-CE96, CE104, CE112)</f>
        <v>0</v>
      </c>
      <c r="CF115" s="120" t="n">
        <f aca="false">SUM(-CF96, CF104, CF112)</f>
        <v>0</v>
      </c>
      <c r="CG115" s="120" t="n">
        <f aca="false">SUM(-CG96, CG104, CG112)</f>
        <v>0</v>
      </c>
      <c r="CI115" s="113" t="n">
        <f aca="false">CC115=L115</f>
        <v>1</v>
      </c>
      <c r="CJ115" s="113" t="n">
        <f aca="false">CD115=M115</f>
        <v>1</v>
      </c>
      <c r="CK115" s="113" t="n">
        <f aca="false">CE115=N115</f>
        <v>1</v>
      </c>
      <c r="CL115" s="113" t="n">
        <f aca="false">CF115=O115</f>
        <v>1</v>
      </c>
      <c r="CM115" s="113" t="n">
        <f aca="false">CG115=P115</f>
        <v>1</v>
      </c>
    </row>
    <row r="116" s="14" customFormat="true" ht="17.25" hidden="false" customHeight="true" outlineLevel="0" collapsed="false">
      <c r="E116" s="21"/>
      <c r="I116" s="216"/>
      <c r="J116" s="216"/>
      <c r="K116" s="216"/>
      <c r="L116" s="216"/>
      <c r="M116" s="216"/>
      <c r="N116" s="216"/>
      <c r="O116" s="216"/>
      <c r="P116" s="216"/>
      <c r="Q116" s="16"/>
      <c r="R116" s="16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  <c r="AP116" s="88"/>
      <c r="AQ116" s="88"/>
      <c r="AR116" s="88"/>
      <c r="AS116" s="88"/>
      <c r="AT116" s="88"/>
      <c r="AU116" s="88"/>
      <c r="AV116" s="88"/>
      <c r="AW116" s="88"/>
      <c r="AX116" s="88"/>
      <c r="AY116" s="88"/>
      <c r="AZ116" s="88"/>
      <c r="BA116" s="88"/>
      <c r="BB116" s="88"/>
      <c r="BC116" s="88"/>
      <c r="BD116" s="88"/>
      <c r="BE116" s="88"/>
      <c r="BF116" s="88"/>
      <c r="BG116" s="88"/>
      <c r="BH116" s="88"/>
      <c r="BI116" s="88"/>
      <c r="BJ116" s="88"/>
      <c r="BK116" s="88"/>
      <c r="BL116" s="88"/>
      <c r="BM116" s="88"/>
      <c r="BN116" s="88"/>
      <c r="BO116" s="88"/>
      <c r="BP116" s="88"/>
      <c r="BQ116" s="88"/>
      <c r="BR116" s="88"/>
      <c r="BS116" s="88"/>
      <c r="BT116" s="88"/>
      <c r="BU116" s="88"/>
      <c r="BV116" s="88"/>
      <c r="BW116" s="88"/>
      <c r="BX116" s="88"/>
      <c r="BY116" s="88"/>
      <c r="BZ116" s="88"/>
      <c r="CA116" s="121"/>
    </row>
    <row r="117" s="14" customFormat="true" ht="17.25" hidden="false" customHeight="true" outlineLevel="0" collapsed="false">
      <c r="E117" s="122" t="s">
        <v>141</v>
      </c>
      <c r="F117" s="123"/>
      <c r="G117" s="123"/>
      <c r="H117" s="123"/>
      <c r="I117" s="217" t="n">
        <f aca="false">SUM(I88, -I115)</f>
        <v>0</v>
      </c>
      <c r="J117" s="217" t="n">
        <f aca="false">SUM(J88, -J115)</f>
        <v>0</v>
      </c>
      <c r="K117" s="218" t="n">
        <f aca="false">SUM(K88, -K115)</f>
        <v>0</v>
      </c>
      <c r="L117" s="217" t="n">
        <f aca="false">SUM(L88, -L115)</f>
        <v>0</v>
      </c>
      <c r="M117" s="217" t="n">
        <f aca="false">SUM(M88, -M115)</f>
        <v>0</v>
      </c>
      <c r="N117" s="217" t="n">
        <f aca="false">SUM(N88, -N115)</f>
        <v>0</v>
      </c>
      <c r="O117" s="217" t="n">
        <f aca="false">SUM(O88, -O115)</f>
        <v>0</v>
      </c>
      <c r="P117" s="217" t="n">
        <f aca="false">SUM(P88, -P115)</f>
        <v>0</v>
      </c>
      <c r="Q117" s="16"/>
      <c r="R117" s="16" t="str">
        <f aca="false">IF(K117=P117, "", "Error")</f>
        <v/>
      </c>
      <c r="T117" s="125" t="n">
        <f aca="false">SUM(T88, -T115)</f>
        <v>0</v>
      </c>
      <c r="U117" s="125" t="n">
        <f aca="false">SUM(U88, -U115)</f>
        <v>0</v>
      </c>
      <c r="V117" s="125" t="n">
        <f aca="false">SUM(V88, -V115)</f>
        <v>0</v>
      </c>
      <c r="W117" s="125" t="n">
        <f aca="false">SUM(W88, -W115)</f>
        <v>0</v>
      </c>
      <c r="X117" s="125" t="n">
        <f aca="false">SUM(X88, -X115)</f>
        <v>0</v>
      </c>
      <c r="Y117" s="125" t="n">
        <f aca="false">SUM(Y88, -Y115)</f>
        <v>0</v>
      </c>
      <c r="Z117" s="125" t="n">
        <f aca="false">SUM(Z88, -Z115)</f>
        <v>0</v>
      </c>
      <c r="AA117" s="125" t="n">
        <f aca="false">SUM(AA88, -AA115)</f>
        <v>0</v>
      </c>
      <c r="AB117" s="125" t="n">
        <f aca="false">SUM(AB88, -AB115)</f>
        <v>0</v>
      </c>
      <c r="AC117" s="125" t="n">
        <f aca="false">SUM(AC88, -AC115)</f>
        <v>0</v>
      </c>
      <c r="AD117" s="125" t="n">
        <f aca="false">SUM(AD88, -AD115)</f>
        <v>0</v>
      </c>
      <c r="AE117" s="125" t="n">
        <f aca="false">SUM(AE88, -AE115)</f>
        <v>0</v>
      </c>
      <c r="AF117" s="125" t="n">
        <f aca="false">SUM(AF88, -AF115)</f>
        <v>0</v>
      </c>
      <c r="AG117" s="125" t="n">
        <f aca="false">SUM(AG88, -AG115)</f>
        <v>0</v>
      </c>
      <c r="AH117" s="125" t="n">
        <f aca="false">SUM(AH88, -AH115)</f>
        <v>0</v>
      </c>
      <c r="AI117" s="125" t="n">
        <f aca="false">SUM(AI88, -AI115)</f>
        <v>0</v>
      </c>
      <c r="AJ117" s="125" t="n">
        <f aca="false">SUM(AJ88, -AJ115)</f>
        <v>0</v>
      </c>
      <c r="AK117" s="125" t="n">
        <f aca="false">SUM(AK88, -AK115)</f>
        <v>0</v>
      </c>
      <c r="AL117" s="125" t="n">
        <f aca="false">SUM(AL88, -AL115)</f>
        <v>0</v>
      </c>
      <c r="AM117" s="125" t="n">
        <f aca="false">SUM(AM88, -AM115)</f>
        <v>0</v>
      </c>
      <c r="AN117" s="125" t="n">
        <f aca="false">SUM(AN88, -AN115)</f>
        <v>0</v>
      </c>
      <c r="AO117" s="125" t="n">
        <f aca="false">SUM(AO88, -AO115)</f>
        <v>0</v>
      </c>
      <c r="AP117" s="125" t="n">
        <f aca="false">SUM(AP88, -AP115)</f>
        <v>0</v>
      </c>
      <c r="AQ117" s="125" t="n">
        <f aca="false">SUM(AQ88, -AQ115)</f>
        <v>0</v>
      </c>
      <c r="AR117" s="125" t="n">
        <f aca="false">SUM(AR88, -AR115)</f>
        <v>0</v>
      </c>
      <c r="AS117" s="125" t="n">
        <f aca="false">SUM(AS88, -AS115)</f>
        <v>0</v>
      </c>
      <c r="AT117" s="125" t="n">
        <f aca="false">SUM(AT88, -AT115)</f>
        <v>0</v>
      </c>
      <c r="AU117" s="125" t="n">
        <f aca="false">SUM(AU88, -AU115)</f>
        <v>0</v>
      </c>
      <c r="AV117" s="125" t="n">
        <f aca="false">SUM(AV88, -AV115)</f>
        <v>0</v>
      </c>
      <c r="AW117" s="125" t="n">
        <f aca="false">SUM(AW88, -AW115)</f>
        <v>0</v>
      </c>
      <c r="AX117" s="125" t="n">
        <f aca="false">SUM(AX88, -AX115)</f>
        <v>0</v>
      </c>
      <c r="AY117" s="125" t="n">
        <f aca="false">SUM(AY88, -AY115)</f>
        <v>0</v>
      </c>
      <c r="AZ117" s="125" t="n">
        <f aca="false">SUM(AZ88, -AZ115)</f>
        <v>0</v>
      </c>
      <c r="BA117" s="125" t="n">
        <f aca="false">SUM(BA88, -BA115)</f>
        <v>0</v>
      </c>
      <c r="BB117" s="125" t="n">
        <f aca="false">SUM(BB88, -BB115)</f>
        <v>0</v>
      </c>
      <c r="BC117" s="125" t="n">
        <f aca="false">SUM(BC88, -BC115)</f>
        <v>0</v>
      </c>
      <c r="BD117" s="125" t="n">
        <f aca="false">SUM(BD88, -BD115)</f>
        <v>0</v>
      </c>
      <c r="BE117" s="125" t="n">
        <f aca="false">SUM(BE88, -BE115)</f>
        <v>0</v>
      </c>
      <c r="BF117" s="125" t="n">
        <f aca="false">SUM(BF88, -BF115)</f>
        <v>0</v>
      </c>
      <c r="BG117" s="125" t="n">
        <f aca="false">SUM(BG88, -BG115)</f>
        <v>0</v>
      </c>
      <c r="BH117" s="125" t="n">
        <f aca="false">SUM(BH88, -BH115)</f>
        <v>0</v>
      </c>
      <c r="BI117" s="125" t="n">
        <f aca="false">SUM(BI88, -BI115)</f>
        <v>0</v>
      </c>
      <c r="BJ117" s="125" t="n">
        <f aca="false">SUM(BJ88, -BJ115)</f>
        <v>0</v>
      </c>
      <c r="BK117" s="125" t="n">
        <f aca="false">SUM(BK88, -BK115)</f>
        <v>0</v>
      </c>
      <c r="BL117" s="125" t="n">
        <f aca="false">SUM(BL88, -BL115)</f>
        <v>0</v>
      </c>
      <c r="BM117" s="125" t="n">
        <f aca="false">SUM(BM88, -BM115)</f>
        <v>0</v>
      </c>
      <c r="BN117" s="125" t="n">
        <f aca="false">SUM(BN88, -BN115)</f>
        <v>0</v>
      </c>
      <c r="BO117" s="125" t="n">
        <f aca="false">SUM(BO88, -BO115)</f>
        <v>0</v>
      </c>
      <c r="BP117" s="125" t="n">
        <f aca="false">SUM(BP88, -BP115)</f>
        <v>0</v>
      </c>
      <c r="BQ117" s="125" t="n">
        <f aca="false">SUM(BQ88, -BQ115)</f>
        <v>0</v>
      </c>
      <c r="BR117" s="125" t="n">
        <f aca="false">SUM(BR88, -BR115)</f>
        <v>0</v>
      </c>
      <c r="BS117" s="125" t="n">
        <f aca="false">SUM(BS88, -BS115)</f>
        <v>0</v>
      </c>
      <c r="BT117" s="125" t="n">
        <f aca="false">SUM(BT88, -BT115)</f>
        <v>0</v>
      </c>
      <c r="BU117" s="125" t="n">
        <f aca="false">SUM(BU88, -BU115)</f>
        <v>0</v>
      </c>
      <c r="BV117" s="125" t="n">
        <f aca="false">SUM(BV88, -BV115)</f>
        <v>0</v>
      </c>
      <c r="BW117" s="125" t="n">
        <f aca="false">SUM(BW88, -BW115)</f>
        <v>0</v>
      </c>
      <c r="BX117" s="125" t="n">
        <f aca="false">SUM(BX88, -BX115)</f>
        <v>0</v>
      </c>
      <c r="BY117" s="125" t="n">
        <f aca="false">SUM(BY88, -BY115)</f>
        <v>0</v>
      </c>
      <c r="BZ117" s="125" t="n">
        <f aca="false">SUM(BZ88, -BZ115)</f>
        <v>0</v>
      </c>
      <c r="CA117" s="126" t="n">
        <f aca="false">SUM(CA88, -CA115)</f>
        <v>0</v>
      </c>
      <c r="CC117" s="126" t="n">
        <f aca="false">SUM(CC88, -CC115)</f>
        <v>0</v>
      </c>
      <c r="CD117" s="126" t="n">
        <f aca="false">SUM(CD88, -CD115)</f>
        <v>0</v>
      </c>
      <c r="CE117" s="126" t="n">
        <f aca="false">SUM(CE88, -CE115)</f>
        <v>0</v>
      </c>
      <c r="CF117" s="126" t="n">
        <f aca="false">SUM(CF88, -CF115)</f>
        <v>0</v>
      </c>
      <c r="CG117" s="126" t="n">
        <f aca="false">SUM(CG88, -CG115)</f>
        <v>0</v>
      </c>
      <c r="CI117" s="126" t="n">
        <f aca="false">CC117=L117</f>
        <v>1</v>
      </c>
      <c r="CJ117" s="126" t="n">
        <f aca="false">CD117=M117</f>
        <v>1</v>
      </c>
      <c r="CK117" s="126" t="n">
        <f aca="false">CE117=N117</f>
        <v>1</v>
      </c>
      <c r="CL117" s="126" t="n">
        <f aca="false">CF117=O117</f>
        <v>1</v>
      </c>
      <c r="CM117" s="126" t="n">
        <f aca="false">CG117=P117</f>
        <v>1</v>
      </c>
    </row>
    <row r="118" s="14" customFormat="true" ht="17.25" hidden="false" customHeight="true" outlineLevel="0" collapsed="false">
      <c r="K118" s="127"/>
      <c r="Q118" s="16"/>
      <c r="R118" s="16"/>
    </row>
    <row r="119" s="14" customFormat="true" ht="17.25" hidden="false" customHeight="true" outlineLevel="0" collapsed="false">
      <c r="E119" s="128"/>
      <c r="Q119" s="16"/>
      <c r="R119" s="16"/>
    </row>
    <row r="120" s="14" customFormat="true" ht="16.5" hidden="false" customHeight="true" outlineLevel="0" collapsed="false">
      <c r="C120" s="19" t="s">
        <v>142</v>
      </c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20"/>
      <c r="R120" s="20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  <c r="AS120" s="19"/>
      <c r="AT120" s="19"/>
      <c r="AU120" s="19"/>
      <c r="AV120" s="19"/>
      <c r="AW120" s="19"/>
      <c r="AX120" s="19"/>
      <c r="AY120" s="19"/>
      <c r="AZ120" s="19"/>
      <c r="BA120" s="19"/>
      <c r="BB120" s="19"/>
      <c r="BC120" s="19"/>
      <c r="BD120" s="19"/>
      <c r="BE120" s="19"/>
      <c r="BF120" s="19"/>
      <c r="BG120" s="19"/>
      <c r="BH120" s="19"/>
      <c r="BI120" s="19"/>
      <c r="BJ120" s="19"/>
      <c r="BK120" s="19"/>
      <c r="BL120" s="19"/>
      <c r="BM120" s="19"/>
      <c r="BN120" s="19"/>
      <c r="BO120" s="19"/>
      <c r="BP120" s="19"/>
      <c r="BQ120" s="19"/>
      <c r="BR120" s="19"/>
      <c r="BS120" s="19"/>
      <c r="BT120" s="19"/>
      <c r="BU120" s="19"/>
      <c r="BV120" s="19"/>
      <c r="BW120" s="19"/>
      <c r="BX120" s="19"/>
      <c r="BY120" s="19"/>
      <c r="BZ120" s="19"/>
      <c r="CA120" s="19"/>
      <c r="CC120" s="19" t="s">
        <v>117</v>
      </c>
      <c r="CD120" s="19"/>
      <c r="CE120" s="19"/>
      <c r="CF120" s="19"/>
      <c r="CG120" s="19"/>
      <c r="CI120" s="19" t="s">
        <v>118</v>
      </c>
      <c r="CJ120" s="19"/>
      <c r="CK120" s="19"/>
      <c r="CL120" s="19"/>
      <c r="CM120" s="19"/>
    </row>
    <row r="121" s="14" customFormat="true" ht="16.5" hidden="false" customHeight="true" outlineLevel="0" collapsed="false">
      <c r="Q121" s="16"/>
      <c r="R121" s="16"/>
    </row>
    <row r="122" s="14" customFormat="true" ht="16.5" hidden="false" customHeight="true" outlineLevel="0" collapsed="false">
      <c r="Q122" s="16"/>
      <c r="R122" s="16"/>
      <c r="T122" s="62" t="n">
        <v>2026</v>
      </c>
      <c r="U122" s="129"/>
      <c r="V122" s="129"/>
      <c r="W122" s="129"/>
      <c r="X122" s="129"/>
      <c r="Y122" s="129"/>
      <c r="Z122" s="129"/>
      <c r="AA122" s="129"/>
      <c r="AB122" s="129"/>
      <c r="AC122" s="129"/>
      <c r="AD122" s="129"/>
      <c r="AE122" s="129"/>
      <c r="AF122" s="62" t="n">
        <v>2027</v>
      </c>
      <c r="AG122" s="129"/>
      <c r="AH122" s="129"/>
      <c r="AI122" s="129"/>
      <c r="AJ122" s="129"/>
      <c r="AK122" s="129"/>
      <c r="AL122" s="129"/>
      <c r="AM122" s="129"/>
      <c r="AN122" s="129"/>
      <c r="AO122" s="129"/>
      <c r="AP122" s="129"/>
      <c r="AQ122" s="129"/>
      <c r="AR122" s="62" t="n">
        <v>2028</v>
      </c>
      <c r="AS122" s="129"/>
      <c r="AT122" s="129"/>
      <c r="AU122" s="129"/>
      <c r="AV122" s="129"/>
      <c r="AW122" s="129"/>
      <c r="AX122" s="129"/>
      <c r="AY122" s="129"/>
      <c r="AZ122" s="129"/>
      <c r="BA122" s="129"/>
      <c r="BB122" s="129"/>
      <c r="BC122" s="129"/>
      <c r="BD122" s="62" t="n">
        <v>2029</v>
      </c>
      <c r="BE122" s="129"/>
      <c r="BF122" s="129"/>
      <c r="BG122" s="129"/>
      <c r="BH122" s="129"/>
      <c r="BI122" s="129"/>
      <c r="BJ122" s="129"/>
      <c r="BK122" s="129"/>
      <c r="BL122" s="129"/>
      <c r="BM122" s="129"/>
      <c r="BN122" s="129"/>
      <c r="BO122" s="129"/>
      <c r="BP122" s="62" t="n">
        <v>2030</v>
      </c>
      <c r="BQ122" s="130"/>
      <c r="BR122" s="130"/>
      <c r="BS122" s="130"/>
      <c r="BT122" s="130"/>
      <c r="BU122" s="130"/>
      <c r="BV122" s="130"/>
      <c r="BW122" s="130"/>
      <c r="BX122" s="130"/>
      <c r="BY122" s="130"/>
      <c r="BZ122" s="130"/>
      <c r="CA122" s="130"/>
    </row>
    <row r="123" s="14" customFormat="true" ht="16.5" hidden="false" customHeight="true" outlineLevel="0" collapsed="false">
      <c r="D123" s="30" t="s">
        <v>143</v>
      </c>
      <c r="E123" s="31"/>
      <c r="F123" s="31"/>
      <c r="G123" s="31"/>
      <c r="H123" s="31"/>
      <c r="I123" s="31"/>
      <c r="J123" s="31"/>
      <c r="K123" s="30" t="s">
        <v>120</v>
      </c>
      <c r="L123" s="31" t="n">
        <v>2026</v>
      </c>
      <c r="M123" s="31" t="n">
        <f aca="false">L123+1</f>
        <v>2027</v>
      </c>
      <c r="N123" s="31" t="n">
        <f aca="false">M123+1</f>
        <v>2028</v>
      </c>
      <c r="O123" s="31" t="n">
        <f aca="false">N123+1</f>
        <v>2029</v>
      </c>
      <c r="P123" s="31" t="n">
        <f aca="false">O123+1</f>
        <v>2030</v>
      </c>
      <c r="Q123" s="31" t="s">
        <v>122</v>
      </c>
      <c r="R123" s="16"/>
      <c r="T123" s="59" t="n">
        <v>46023</v>
      </c>
      <c r="U123" s="60" t="n">
        <f aca="false">EOMONTH(T123, 1)</f>
        <v>46081</v>
      </c>
      <c r="V123" s="60" t="n">
        <f aca="false">EOMONTH(U123, 1)</f>
        <v>46112</v>
      </c>
      <c r="W123" s="60" t="n">
        <f aca="false">EOMONTH(V123, 1)</f>
        <v>46142</v>
      </c>
      <c r="X123" s="60" t="n">
        <f aca="false">EOMONTH(W123, 1)</f>
        <v>46173</v>
      </c>
      <c r="Y123" s="60" t="n">
        <f aca="false">EOMONTH(X123, 1)</f>
        <v>46203</v>
      </c>
      <c r="Z123" s="60" t="n">
        <f aca="false">EOMONTH(Y123, 1)</f>
        <v>46234</v>
      </c>
      <c r="AA123" s="60" t="n">
        <f aca="false">EOMONTH(Z123, 1)</f>
        <v>46265</v>
      </c>
      <c r="AB123" s="60" t="n">
        <f aca="false">EOMONTH(AA123, 1)</f>
        <v>46295</v>
      </c>
      <c r="AC123" s="60" t="n">
        <f aca="false">EOMONTH(AB123, 1)</f>
        <v>46326</v>
      </c>
      <c r="AD123" s="60" t="n">
        <f aca="false">EOMONTH(AC123, 1)</f>
        <v>46356</v>
      </c>
      <c r="AE123" s="61" t="n">
        <f aca="false">EOMONTH(AD123, 1)</f>
        <v>46387</v>
      </c>
      <c r="AF123" s="59" t="n">
        <f aca="false">EOMONTH(AE123, 1)</f>
        <v>46418</v>
      </c>
      <c r="AG123" s="60" t="n">
        <f aca="false">EOMONTH(AF123, 1)</f>
        <v>46446</v>
      </c>
      <c r="AH123" s="60" t="n">
        <f aca="false">EOMONTH(AG123, 1)</f>
        <v>46477</v>
      </c>
      <c r="AI123" s="60" t="n">
        <f aca="false">EOMONTH(AH123, 1)</f>
        <v>46507</v>
      </c>
      <c r="AJ123" s="60" t="n">
        <f aca="false">EOMONTH(AI123, 1)</f>
        <v>46538</v>
      </c>
      <c r="AK123" s="60" t="n">
        <f aca="false">EOMONTH(AJ123, 1)</f>
        <v>46568</v>
      </c>
      <c r="AL123" s="60" t="n">
        <f aca="false">EOMONTH(AK123, 1)</f>
        <v>46599</v>
      </c>
      <c r="AM123" s="60" t="n">
        <f aca="false">EOMONTH(AL123, 1)</f>
        <v>46630</v>
      </c>
      <c r="AN123" s="60" t="n">
        <f aca="false">EOMONTH(AM123, 1)</f>
        <v>46660</v>
      </c>
      <c r="AO123" s="60" t="n">
        <f aca="false">EOMONTH(AN123, 1)</f>
        <v>46691</v>
      </c>
      <c r="AP123" s="60" t="n">
        <f aca="false">EOMONTH(AO123, 1)</f>
        <v>46721</v>
      </c>
      <c r="AQ123" s="61" t="n">
        <f aca="false">EOMONTH(AP123, 1)</f>
        <v>46752</v>
      </c>
      <c r="AR123" s="59" t="n">
        <f aca="false">EOMONTH(AQ123, 1)</f>
        <v>46783</v>
      </c>
      <c r="AS123" s="60" t="n">
        <f aca="false">EOMONTH(AR123, 1)</f>
        <v>46812</v>
      </c>
      <c r="AT123" s="60" t="n">
        <f aca="false">EOMONTH(AS123, 1)</f>
        <v>46843</v>
      </c>
      <c r="AU123" s="60" t="n">
        <f aca="false">EOMONTH(AT123, 1)</f>
        <v>46873</v>
      </c>
      <c r="AV123" s="60" t="n">
        <f aca="false">EOMONTH(AU123, 1)</f>
        <v>46904</v>
      </c>
      <c r="AW123" s="60" t="n">
        <f aca="false">EOMONTH(AV123, 1)</f>
        <v>46934</v>
      </c>
      <c r="AX123" s="60" t="n">
        <f aca="false">EOMONTH(AW123, 1)</f>
        <v>46965</v>
      </c>
      <c r="AY123" s="60" t="n">
        <f aca="false">EOMONTH(AX123, 1)</f>
        <v>46996</v>
      </c>
      <c r="AZ123" s="60" t="n">
        <f aca="false">EOMONTH(AY123, 1)</f>
        <v>47026</v>
      </c>
      <c r="BA123" s="60" t="n">
        <f aca="false">EOMONTH(AZ123, 1)</f>
        <v>47057</v>
      </c>
      <c r="BB123" s="60" t="n">
        <f aca="false">EOMONTH(BA123, 1)</f>
        <v>47087</v>
      </c>
      <c r="BC123" s="61" t="n">
        <f aca="false">EOMONTH(BB123, 1)</f>
        <v>47118</v>
      </c>
      <c r="BD123" s="59" t="n">
        <f aca="false">EOMONTH(BC123, 1)</f>
        <v>47149</v>
      </c>
      <c r="BE123" s="60" t="n">
        <f aca="false">EOMONTH(BD123, 1)</f>
        <v>47177</v>
      </c>
      <c r="BF123" s="60" t="n">
        <f aca="false">EOMONTH(BE123, 1)</f>
        <v>47208</v>
      </c>
      <c r="BG123" s="60" t="n">
        <f aca="false">EOMONTH(BF123, 1)</f>
        <v>47238</v>
      </c>
      <c r="BH123" s="60" t="n">
        <f aca="false">EOMONTH(BG123, 1)</f>
        <v>47269</v>
      </c>
      <c r="BI123" s="60" t="n">
        <f aca="false">EOMONTH(BH123, 1)</f>
        <v>47299</v>
      </c>
      <c r="BJ123" s="60" t="n">
        <f aca="false">EOMONTH(BI123, 1)</f>
        <v>47330</v>
      </c>
      <c r="BK123" s="60" t="n">
        <f aca="false">EOMONTH(BJ123, 1)</f>
        <v>47361</v>
      </c>
      <c r="BL123" s="60" t="n">
        <f aca="false">EOMONTH(BK123, 1)</f>
        <v>47391</v>
      </c>
      <c r="BM123" s="60" t="n">
        <f aca="false">EOMONTH(BL123, 1)</f>
        <v>47422</v>
      </c>
      <c r="BN123" s="60" t="n">
        <f aca="false">EOMONTH(BM123, 1)</f>
        <v>47452</v>
      </c>
      <c r="BO123" s="61" t="n">
        <f aca="false">EOMONTH(BN123, 1)</f>
        <v>47483</v>
      </c>
      <c r="BP123" s="59" t="n">
        <f aca="false">EOMONTH(BO123, 1)</f>
        <v>47514</v>
      </c>
      <c r="BQ123" s="60" t="n">
        <f aca="false">EOMONTH(BP123, 1)</f>
        <v>47542</v>
      </c>
      <c r="BR123" s="60" t="n">
        <f aca="false">EOMONTH(BQ123, 1)</f>
        <v>47573</v>
      </c>
      <c r="BS123" s="60" t="n">
        <f aca="false">EOMONTH(BR123, 1)</f>
        <v>47603</v>
      </c>
      <c r="BT123" s="60" t="n">
        <f aca="false">EOMONTH(BS123, 1)</f>
        <v>47634</v>
      </c>
      <c r="BU123" s="60" t="n">
        <f aca="false">EOMONTH(BT123, 1)</f>
        <v>47664</v>
      </c>
      <c r="BV123" s="60" t="n">
        <f aca="false">EOMONTH(BU123, 1)</f>
        <v>47695</v>
      </c>
      <c r="BW123" s="60" t="n">
        <f aca="false">EOMONTH(BV123, 1)</f>
        <v>47726</v>
      </c>
      <c r="BX123" s="60" t="n">
        <f aca="false">EOMONTH(BW123, 1)</f>
        <v>47756</v>
      </c>
      <c r="BY123" s="60" t="n">
        <f aca="false">EOMONTH(BX123, 1)</f>
        <v>47787</v>
      </c>
      <c r="BZ123" s="60" t="n">
        <f aca="false">EOMONTH(BY123, 1)</f>
        <v>47817</v>
      </c>
      <c r="CA123" s="60" t="n">
        <f aca="false">EOMONTH(BZ123, 1)</f>
        <v>47848</v>
      </c>
      <c r="CC123" s="62" t="n">
        <v>2026</v>
      </c>
      <c r="CD123" s="62" t="n">
        <f aca="false">CC123+1</f>
        <v>2027</v>
      </c>
      <c r="CE123" s="62" t="n">
        <f aca="false">CD123+1</f>
        <v>2028</v>
      </c>
      <c r="CF123" s="62" t="n">
        <f aca="false">CE123+1</f>
        <v>2029</v>
      </c>
      <c r="CG123" s="62" t="n">
        <f aca="false">CF123+1</f>
        <v>2030</v>
      </c>
      <c r="CI123" s="62" t="n">
        <v>2026</v>
      </c>
      <c r="CJ123" s="62" t="n">
        <f aca="false">CI123+1</f>
        <v>2027</v>
      </c>
      <c r="CK123" s="62" t="n">
        <f aca="false">CJ123+1</f>
        <v>2028</v>
      </c>
      <c r="CL123" s="62" t="n">
        <f aca="false">CK123+1</f>
        <v>2029</v>
      </c>
      <c r="CM123" s="62" t="n">
        <f aca="false">CL123+1</f>
        <v>2030</v>
      </c>
    </row>
    <row r="124" s="14" customFormat="true" ht="16.5" hidden="false" customHeight="true" outlineLevel="0" collapsed="false">
      <c r="E124" s="21"/>
      <c r="F124" s="21"/>
      <c r="G124" s="21"/>
      <c r="K124" s="35"/>
      <c r="Q124" s="16"/>
      <c r="R124" s="16"/>
    </row>
    <row r="125" s="14" customFormat="true" ht="16.5" hidden="false" customHeight="true" outlineLevel="0" collapsed="false">
      <c r="E125" s="21" t="s">
        <v>144</v>
      </c>
      <c r="K125" s="35"/>
      <c r="Q125" s="16"/>
      <c r="R125" s="16"/>
    </row>
    <row r="126" s="14" customFormat="true" ht="16.5" hidden="false" customHeight="true" outlineLevel="0" collapsed="false">
      <c r="E126" s="91"/>
      <c r="K126" s="35"/>
      <c r="L126" s="91"/>
      <c r="M126" s="91"/>
      <c r="N126" s="91"/>
      <c r="O126" s="91"/>
      <c r="P126" s="91"/>
      <c r="Q126" s="93"/>
      <c r="R126" s="16"/>
      <c r="T126" s="91"/>
      <c r="U126" s="91"/>
      <c r="V126" s="91"/>
      <c r="W126" s="91"/>
      <c r="X126" s="91"/>
      <c r="Y126" s="91"/>
      <c r="Z126" s="91"/>
      <c r="AA126" s="91"/>
      <c r="AB126" s="91"/>
      <c r="AC126" s="91"/>
      <c r="AD126" s="91"/>
      <c r="AE126" s="91"/>
      <c r="AF126" s="91"/>
      <c r="AG126" s="91"/>
      <c r="AH126" s="91"/>
      <c r="AI126" s="91"/>
      <c r="AJ126" s="91"/>
      <c r="AK126" s="91"/>
      <c r="AL126" s="91"/>
      <c r="AM126" s="91"/>
      <c r="AN126" s="91"/>
      <c r="AO126" s="91"/>
      <c r="AP126" s="91"/>
      <c r="AQ126" s="91"/>
      <c r="AR126" s="91"/>
      <c r="AS126" s="91"/>
      <c r="AT126" s="91"/>
      <c r="AU126" s="91"/>
      <c r="AV126" s="91"/>
      <c r="AW126" s="91"/>
      <c r="AX126" s="91"/>
      <c r="AY126" s="91"/>
      <c r="AZ126" s="91"/>
      <c r="BA126" s="91"/>
      <c r="BB126" s="91"/>
      <c r="BC126" s="91"/>
      <c r="BD126" s="91"/>
      <c r="BE126" s="91"/>
      <c r="BF126" s="91"/>
      <c r="BG126" s="91"/>
      <c r="BH126" s="91"/>
      <c r="BI126" s="91"/>
      <c r="BJ126" s="91"/>
      <c r="BK126" s="91"/>
      <c r="BL126" s="91"/>
      <c r="BM126" s="91"/>
      <c r="BN126" s="91"/>
      <c r="BO126" s="91"/>
      <c r="BP126" s="91"/>
      <c r="BQ126" s="91"/>
      <c r="BR126" s="91"/>
      <c r="BS126" s="91"/>
      <c r="BT126" s="91"/>
      <c r="BU126" s="91"/>
      <c r="BV126" s="91"/>
      <c r="BW126" s="91"/>
      <c r="BX126" s="91"/>
      <c r="BY126" s="91"/>
      <c r="BZ126" s="91"/>
      <c r="CA126" s="91"/>
      <c r="CC126" s="79" t="n">
        <f aca="false">SUMIFS($T126:$CA126, $T$1:$CA$1, CC$63)</f>
        <v>0</v>
      </c>
      <c r="CD126" s="79" t="n">
        <f aca="false">SUMIFS($T126:$CA126, $T$1:$CA$1, CD$63)</f>
        <v>0</v>
      </c>
      <c r="CE126" s="79" t="n">
        <f aca="false">SUMIFS($T126:$CA126, $T$1:$CA$1, CE$63)</f>
        <v>0</v>
      </c>
      <c r="CF126" s="79" t="n">
        <f aca="false">SUMIFS($T126:$CA126, $T$1:$CA$1, CF$63)</f>
        <v>0</v>
      </c>
      <c r="CG126" s="79" t="n">
        <f aca="false">SUMIFS($T126:$CA126, $T$1:$CA$1, CG$63)</f>
        <v>0</v>
      </c>
      <c r="CI126" s="79" t="n">
        <f aca="false">CC126=L126</f>
        <v>1</v>
      </c>
      <c r="CJ126" s="79" t="n">
        <f aca="false">CD126=M126</f>
        <v>1</v>
      </c>
      <c r="CK126" s="79" t="n">
        <f aca="false">CE126=N126</f>
        <v>1</v>
      </c>
      <c r="CL126" s="79" t="n">
        <f aca="false">CF126=O126</f>
        <v>1</v>
      </c>
      <c r="CM126" s="79" t="n">
        <f aca="false">CG126=P126</f>
        <v>1</v>
      </c>
    </row>
    <row r="127" s="14" customFormat="true" ht="16.5" hidden="false" customHeight="true" outlineLevel="0" collapsed="false">
      <c r="E127" s="91"/>
      <c r="K127" s="35"/>
      <c r="L127" s="91"/>
      <c r="M127" s="91"/>
      <c r="N127" s="91"/>
      <c r="O127" s="91"/>
      <c r="P127" s="91"/>
      <c r="Q127" s="93"/>
      <c r="R127" s="16"/>
      <c r="T127" s="91"/>
      <c r="U127" s="91"/>
      <c r="V127" s="91"/>
      <c r="W127" s="91"/>
      <c r="X127" s="91"/>
      <c r="Y127" s="91"/>
      <c r="Z127" s="91"/>
      <c r="AA127" s="91"/>
      <c r="AB127" s="91"/>
      <c r="AC127" s="91"/>
      <c r="AD127" s="91"/>
      <c r="AE127" s="91"/>
      <c r="AF127" s="91"/>
      <c r="AG127" s="91"/>
      <c r="AH127" s="91"/>
      <c r="AI127" s="91"/>
      <c r="AJ127" s="91"/>
      <c r="AK127" s="91"/>
      <c r="AL127" s="91"/>
      <c r="AM127" s="91"/>
      <c r="AN127" s="91"/>
      <c r="AO127" s="91"/>
      <c r="AP127" s="91"/>
      <c r="AQ127" s="91"/>
      <c r="AR127" s="91"/>
      <c r="AS127" s="91"/>
      <c r="AT127" s="91"/>
      <c r="AU127" s="91"/>
      <c r="AV127" s="91"/>
      <c r="AW127" s="91"/>
      <c r="AX127" s="91"/>
      <c r="AY127" s="91"/>
      <c r="AZ127" s="91"/>
      <c r="BA127" s="91"/>
      <c r="BB127" s="91"/>
      <c r="BC127" s="91"/>
      <c r="BD127" s="91"/>
      <c r="BE127" s="91"/>
      <c r="BF127" s="91"/>
      <c r="BG127" s="91"/>
      <c r="BH127" s="91"/>
      <c r="BI127" s="91"/>
      <c r="BJ127" s="91"/>
      <c r="BK127" s="91"/>
      <c r="BL127" s="91"/>
      <c r="BM127" s="91"/>
      <c r="BN127" s="91"/>
      <c r="BO127" s="91"/>
      <c r="BP127" s="91"/>
      <c r="BQ127" s="91"/>
      <c r="BR127" s="91"/>
      <c r="BS127" s="91"/>
      <c r="BT127" s="91"/>
      <c r="BU127" s="91"/>
      <c r="BV127" s="91"/>
      <c r="BW127" s="91"/>
      <c r="BX127" s="91"/>
      <c r="BY127" s="91"/>
      <c r="BZ127" s="91"/>
      <c r="CA127" s="91"/>
      <c r="CC127" s="79" t="n">
        <f aca="false">SUMIFS($T127:$CA127, $T$1:$CA$1, CC$63)</f>
        <v>0</v>
      </c>
      <c r="CD127" s="79" t="n">
        <f aca="false">SUMIFS($T127:$CA127, $T$1:$CA$1, CD$63)</f>
        <v>0</v>
      </c>
      <c r="CE127" s="79" t="n">
        <f aca="false">SUMIFS($T127:$CA127, $T$1:$CA$1, CE$63)</f>
        <v>0</v>
      </c>
      <c r="CF127" s="79" t="n">
        <f aca="false">SUMIFS($T127:$CA127, $T$1:$CA$1, CF$63)</f>
        <v>0</v>
      </c>
      <c r="CG127" s="79" t="n">
        <f aca="false">SUMIFS($T127:$CA127, $T$1:$CA$1, CG$63)</f>
        <v>0</v>
      </c>
      <c r="CI127" s="79" t="n">
        <f aca="false">CC127=L127</f>
        <v>1</v>
      </c>
      <c r="CJ127" s="79" t="n">
        <f aca="false">CD127=M127</f>
        <v>1</v>
      </c>
      <c r="CK127" s="79" t="n">
        <f aca="false">CE127=N127</f>
        <v>1</v>
      </c>
      <c r="CL127" s="79" t="n">
        <f aca="false">CF127=O127</f>
        <v>1</v>
      </c>
      <c r="CM127" s="79" t="n">
        <f aca="false">CG127=P127</f>
        <v>1</v>
      </c>
    </row>
    <row r="128" s="14" customFormat="true" ht="16.5" hidden="false" customHeight="true" outlineLevel="0" collapsed="false">
      <c r="E128" s="96" t="s">
        <v>145</v>
      </c>
      <c r="K128" s="35"/>
      <c r="L128" s="82" t="n">
        <f aca="false">SUM(L126:L127)</f>
        <v>0</v>
      </c>
      <c r="M128" s="82" t="n">
        <f aca="false">SUM(M126:M127)</f>
        <v>0</v>
      </c>
      <c r="N128" s="82" t="n">
        <f aca="false">SUM(N126:N127)</f>
        <v>0</v>
      </c>
      <c r="O128" s="82" t="n">
        <f aca="false">SUM(O126:O127)</f>
        <v>0</v>
      </c>
      <c r="P128" s="82" t="n">
        <f aca="false">SUM(P126:P127)</f>
        <v>0</v>
      </c>
      <c r="Q128" s="16"/>
      <c r="R128" s="16"/>
      <c r="T128" s="82" t="n">
        <f aca="false">SUM(T126:T127)</f>
        <v>0</v>
      </c>
      <c r="U128" s="82" t="n">
        <f aca="false">SUM(U126:U127)</f>
        <v>0</v>
      </c>
      <c r="V128" s="82" t="n">
        <f aca="false">SUM(V126:V127)</f>
        <v>0</v>
      </c>
      <c r="W128" s="82" t="n">
        <f aca="false">SUM(W126:W127)</f>
        <v>0</v>
      </c>
      <c r="X128" s="82" t="n">
        <f aca="false">SUM(X126:X127)</f>
        <v>0</v>
      </c>
      <c r="Y128" s="82" t="n">
        <f aca="false">SUM(Y126:Y127)</f>
        <v>0</v>
      </c>
      <c r="Z128" s="82" t="n">
        <f aca="false">SUM(Z126:Z127)</f>
        <v>0</v>
      </c>
      <c r="AA128" s="82" t="n">
        <f aca="false">SUM(AA126:AA127)</f>
        <v>0</v>
      </c>
      <c r="AB128" s="82" t="n">
        <f aca="false">SUM(AB126:AB127)</f>
        <v>0</v>
      </c>
      <c r="AC128" s="82" t="n">
        <f aca="false">SUM(AC126:AC127)</f>
        <v>0</v>
      </c>
      <c r="AD128" s="82" t="n">
        <f aca="false">SUM(AD126:AD127)</f>
        <v>0</v>
      </c>
      <c r="AE128" s="82" t="n">
        <f aca="false">SUM(AE126:AE127)</f>
        <v>0</v>
      </c>
      <c r="AF128" s="82" t="n">
        <f aca="false">SUM(AF126:AF127)</f>
        <v>0</v>
      </c>
      <c r="AG128" s="82" t="n">
        <f aca="false">SUM(AG126:AG127)</f>
        <v>0</v>
      </c>
      <c r="AH128" s="82" t="n">
        <f aca="false">SUM(AH126:AH127)</f>
        <v>0</v>
      </c>
      <c r="AI128" s="82" t="n">
        <f aca="false">SUM(AI126:AI127)</f>
        <v>0</v>
      </c>
      <c r="AJ128" s="82" t="n">
        <f aca="false">SUM(AJ126:AJ127)</f>
        <v>0</v>
      </c>
      <c r="AK128" s="82" t="n">
        <f aca="false">SUM(AK126:AK127)</f>
        <v>0</v>
      </c>
      <c r="AL128" s="82" t="n">
        <f aca="false">SUM(AL126:AL127)</f>
        <v>0</v>
      </c>
      <c r="AM128" s="82" t="n">
        <f aca="false">SUM(AM126:AM127)</f>
        <v>0</v>
      </c>
      <c r="AN128" s="82" t="n">
        <f aca="false">SUM(AN126:AN127)</f>
        <v>0</v>
      </c>
      <c r="AO128" s="82" t="n">
        <f aca="false">SUM(AO126:AO127)</f>
        <v>0</v>
      </c>
      <c r="AP128" s="82" t="n">
        <f aca="false">SUM(AP126:AP127)</f>
        <v>0</v>
      </c>
      <c r="AQ128" s="82" t="n">
        <f aca="false">SUM(AQ126:AQ127)</f>
        <v>0</v>
      </c>
      <c r="AR128" s="82" t="n">
        <f aca="false">SUM(AR126:AR127)</f>
        <v>0</v>
      </c>
      <c r="AS128" s="82" t="n">
        <f aca="false">SUM(AS126:AS127)</f>
        <v>0</v>
      </c>
      <c r="AT128" s="82" t="n">
        <f aca="false">SUM(AT126:AT127)</f>
        <v>0</v>
      </c>
      <c r="AU128" s="82" t="n">
        <f aca="false">SUM(AU126:AU127)</f>
        <v>0</v>
      </c>
      <c r="AV128" s="82" t="n">
        <f aca="false">SUM(AV126:AV127)</f>
        <v>0</v>
      </c>
      <c r="AW128" s="82" t="n">
        <f aca="false">SUM(AW126:AW127)</f>
        <v>0</v>
      </c>
      <c r="AX128" s="82" t="n">
        <f aca="false">SUM(AX126:AX127)</f>
        <v>0</v>
      </c>
      <c r="AY128" s="82" t="n">
        <f aca="false">SUM(AY126:AY127)</f>
        <v>0</v>
      </c>
      <c r="AZ128" s="82" t="n">
        <f aca="false">SUM(AZ126:AZ127)</f>
        <v>0</v>
      </c>
      <c r="BA128" s="82" t="n">
        <f aca="false">SUM(BA126:BA127)</f>
        <v>0</v>
      </c>
      <c r="BB128" s="82" t="n">
        <f aca="false">SUM(BB126:BB127)</f>
        <v>0</v>
      </c>
      <c r="BC128" s="82" t="n">
        <f aca="false">SUM(BC126:BC127)</f>
        <v>0</v>
      </c>
      <c r="BD128" s="82" t="n">
        <f aca="false">SUM(BD126:BD127)</f>
        <v>0</v>
      </c>
      <c r="BE128" s="82" t="n">
        <f aca="false">SUM(BE126:BE127)</f>
        <v>0</v>
      </c>
      <c r="BF128" s="82" t="n">
        <f aca="false">SUM(BF126:BF127)</f>
        <v>0</v>
      </c>
      <c r="BG128" s="82" t="n">
        <f aca="false">SUM(BG126:BG127)</f>
        <v>0</v>
      </c>
      <c r="BH128" s="82" t="n">
        <f aca="false">SUM(BH126:BH127)</f>
        <v>0</v>
      </c>
      <c r="BI128" s="82" t="n">
        <f aca="false">SUM(BI126:BI127)</f>
        <v>0</v>
      </c>
      <c r="BJ128" s="82" t="n">
        <f aca="false">SUM(BJ126:BJ127)</f>
        <v>0</v>
      </c>
      <c r="BK128" s="82" t="n">
        <f aca="false">SUM(BK126:BK127)</f>
        <v>0</v>
      </c>
      <c r="BL128" s="82" t="n">
        <f aca="false">SUM(BL126:BL127)</f>
        <v>0</v>
      </c>
      <c r="BM128" s="82" t="n">
        <f aca="false">SUM(BM126:BM127)</f>
        <v>0</v>
      </c>
      <c r="BN128" s="82" t="n">
        <f aca="false">SUM(BN126:BN127)</f>
        <v>0</v>
      </c>
      <c r="BO128" s="82" t="n">
        <f aca="false">SUM(BO126:BO127)</f>
        <v>0</v>
      </c>
      <c r="BP128" s="82" t="n">
        <f aca="false">SUM(BP126:BP127)</f>
        <v>0</v>
      </c>
      <c r="BQ128" s="82" t="n">
        <f aca="false">SUM(BQ126:BQ127)</f>
        <v>0</v>
      </c>
      <c r="BR128" s="82" t="n">
        <f aca="false">SUM(BR126:BR127)</f>
        <v>0</v>
      </c>
      <c r="BS128" s="82" t="n">
        <f aca="false">SUM(BS126:BS127)</f>
        <v>0</v>
      </c>
      <c r="BT128" s="82" t="n">
        <f aca="false">SUM(BT126:BT127)</f>
        <v>0</v>
      </c>
      <c r="BU128" s="82" t="n">
        <f aca="false">SUM(BU126:BU127)</f>
        <v>0</v>
      </c>
      <c r="BV128" s="82" t="n">
        <f aca="false">SUM(BV126:BV127)</f>
        <v>0</v>
      </c>
      <c r="BW128" s="82" t="n">
        <f aca="false">SUM(BW126:BW127)</f>
        <v>0</v>
      </c>
      <c r="BX128" s="82" t="n">
        <f aca="false">SUM(BX126:BX127)</f>
        <v>0</v>
      </c>
      <c r="BY128" s="82" t="n">
        <f aca="false">SUM(BY126:BY127)</f>
        <v>0</v>
      </c>
      <c r="BZ128" s="82" t="n">
        <f aca="false">SUM(BZ126:BZ127)</f>
        <v>0</v>
      </c>
      <c r="CA128" s="82" t="n">
        <f aca="false">SUM(CA126:CA127)</f>
        <v>0</v>
      </c>
      <c r="CC128" s="131" t="n">
        <f aca="false">SUM(CC126:CC127)</f>
        <v>0</v>
      </c>
      <c r="CD128" s="131" t="n">
        <f aca="false">SUM(CD126:CD127)</f>
        <v>0</v>
      </c>
      <c r="CE128" s="131" t="n">
        <f aca="false">SUM(CE126:CE127)</f>
        <v>0</v>
      </c>
      <c r="CF128" s="131" t="n">
        <f aca="false">SUM(CF126:CF127)</f>
        <v>0</v>
      </c>
      <c r="CG128" s="131" t="n">
        <f aca="false">SUM(CG126:CG127)</f>
        <v>0</v>
      </c>
      <c r="CI128" s="131" t="n">
        <f aca="false">CC128=L128</f>
        <v>1</v>
      </c>
      <c r="CJ128" s="131" t="n">
        <f aca="false">CD128=M128</f>
        <v>1</v>
      </c>
      <c r="CK128" s="131" t="n">
        <f aca="false">CE128=N128</f>
        <v>1</v>
      </c>
      <c r="CL128" s="131" t="n">
        <f aca="false">CF128=O128</f>
        <v>1</v>
      </c>
      <c r="CM128" s="131" t="n">
        <f aca="false">CG128=P128</f>
        <v>1</v>
      </c>
    </row>
    <row r="129" s="14" customFormat="true" ht="16.5" hidden="false" customHeight="true" outlineLevel="0" collapsed="false">
      <c r="E129" s="96"/>
      <c r="K129" s="35"/>
      <c r="L129" s="82"/>
      <c r="M129" s="82"/>
      <c r="N129" s="82"/>
      <c r="O129" s="82"/>
      <c r="P129" s="82"/>
      <c r="Q129" s="16"/>
      <c r="R129" s="16"/>
      <c r="T129" s="82"/>
      <c r="U129" s="82"/>
      <c r="V129" s="82"/>
      <c r="W129" s="82"/>
      <c r="X129" s="82"/>
      <c r="Y129" s="82"/>
      <c r="Z129" s="82"/>
      <c r="AA129" s="82"/>
      <c r="AB129" s="82"/>
      <c r="AC129" s="82"/>
      <c r="AD129" s="82"/>
      <c r="AE129" s="82"/>
      <c r="AF129" s="82"/>
      <c r="AG129" s="82"/>
      <c r="AH129" s="82"/>
      <c r="AI129" s="82"/>
      <c r="AJ129" s="82"/>
      <c r="AK129" s="82"/>
      <c r="AL129" s="82"/>
      <c r="AM129" s="82"/>
      <c r="AN129" s="82"/>
      <c r="AO129" s="82"/>
      <c r="AP129" s="82"/>
      <c r="AQ129" s="82"/>
      <c r="AR129" s="82"/>
      <c r="AS129" s="82"/>
      <c r="AT129" s="82"/>
      <c r="AU129" s="82"/>
      <c r="AV129" s="82"/>
      <c r="AW129" s="82"/>
      <c r="AX129" s="82"/>
      <c r="AY129" s="82"/>
      <c r="AZ129" s="82"/>
      <c r="BA129" s="82"/>
      <c r="BB129" s="82"/>
      <c r="BC129" s="82"/>
      <c r="BD129" s="82"/>
      <c r="BE129" s="82"/>
      <c r="BF129" s="82"/>
      <c r="BG129" s="82"/>
      <c r="BH129" s="82"/>
      <c r="BI129" s="82"/>
      <c r="BJ129" s="82"/>
      <c r="BK129" s="82"/>
      <c r="BL129" s="82"/>
      <c r="BM129" s="82"/>
      <c r="BN129" s="82"/>
      <c r="BO129" s="82"/>
      <c r="BP129" s="82"/>
      <c r="BQ129" s="82"/>
      <c r="BR129" s="82"/>
      <c r="BS129" s="82"/>
      <c r="BT129" s="82"/>
      <c r="BU129" s="82"/>
      <c r="BV129" s="82"/>
      <c r="BW129" s="82"/>
      <c r="BX129" s="82"/>
      <c r="BY129" s="82"/>
      <c r="BZ129" s="82"/>
      <c r="CA129" s="82"/>
    </row>
    <row r="130" s="14" customFormat="true" ht="16.5" hidden="false" customHeight="true" outlineLevel="0" collapsed="false">
      <c r="E130" s="109" t="s">
        <v>146</v>
      </c>
      <c r="F130" s="109"/>
      <c r="G130" s="109"/>
      <c r="H130" s="109"/>
      <c r="I130" s="132"/>
      <c r="J130" s="132"/>
      <c r="K130" s="219"/>
      <c r="L130" s="120" t="n">
        <f aca="false">L128</f>
        <v>0</v>
      </c>
      <c r="M130" s="120" t="n">
        <f aca="false">M128</f>
        <v>0</v>
      </c>
      <c r="N130" s="120" t="n">
        <f aca="false">N128</f>
        <v>0</v>
      </c>
      <c r="O130" s="120" t="n">
        <f aca="false">O128</f>
        <v>0</v>
      </c>
      <c r="P130" s="120" t="n">
        <f aca="false">P128</f>
        <v>0</v>
      </c>
      <c r="Q130" s="16"/>
      <c r="R130" s="16"/>
      <c r="T130" s="120" t="n">
        <f aca="false">T128</f>
        <v>0</v>
      </c>
      <c r="U130" s="120" t="n">
        <f aca="false">U128</f>
        <v>0</v>
      </c>
      <c r="V130" s="120" t="n">
        <f aca="false">V128</f>
        <v>0</v>
      </c>
      <c r="W130" s="120" t="n">
        <f aca="false">W128</f>
        <v>0</v>
      </c>
      <c r="X130" s="120" t="n">
        <f aca="false">X128</f>
        <v>0</v>
      </c>
      <c r="Y130" s="120" t="n">
        <f aca="false">Y128</f>
        <v>0</v>
      </c>
      <c r="Z130" s="120" t="n">
        <f aca="false">Z128</f>
        <v>0</v>
      </c>
      <c r="AA130" s="120" t="n">
        <f aca="false">AA128</f>
        <v>0</v>
      </c>
      <c r="AB130" s="120" t="n">
        <f aca="false">AB128</f>
        <v>0</v>
      </c>
      <c r="AC130" s="120" t="n">
        <f aca="false">AC128</f>
        <v>0</v>
      </c>
      <c r="AD130" s="120" t="n">
        <f aca="false">AD128</f>
        <v>0</v>
      </c>
      <c r="AE130" s="120" t="n">
        <f aca="false">AE128</f>
        <v>0</v>
      </c>
      <c r="AF130" s="120" t="n">
        <f aca="false">AF128</f>
        <v>0</v>
      </c>
      <c r="AG130" s="120" t="n">
        <f aca="false">AG128</f>
        <v>0</v>
      </c>
      <c r="AH130" s="120" t="n">
        <f aca="false">AH128</f>
        <v>0</v>
      </c>
      <c r="AI130" s="120" t="n">
        <f aca="false">AI128</f>
        <v>0</v>
      </c>
      <c r="AJ130" s="120" t="n">
        <f aca="false">AJ128</f>
        <v>0</v>
      </c>
      <c r="AK130" s="120" t="n">
        <f aca="false">AK128</f>
        <v>0</v>
      </c>
      <c r="AL130" s="120" t="n">
        <f aca="false">AL128</f>
        <v>0</v>
      </c>
      <c r="AM130" s="120" t="n">
        <f aca="false">AM128</f>
        <v>0</v>
      </c>
      <c r="AN130" s="120" t="n">
        <f aca="false">AN128</f>
        <v>0</v>
      </c>
      <c r="AO130" s="120" t="n">
        <f aca="false">AO128</f>
        <v>0</v>
      </c>
      <c r="AP130" s="120" t="n">
        <f aca="false">AP128</f>
        <v>0</v>
      </c>
      <c r="AQ130" s="120" t="n">
        <f aca="false">AQ128</f>
        <v>0</v>
      </c>
      <c r="AR130" s="120" t="n">
        <f aca="false">AR128</f>
        <v>0</v>
      </c>
      <c r="AS130" s="120" t="n">
        <f aca="false">AS128</f>
        <v>0</v>
      </c>
      <c r="AT130" s="120" t="n">
        <f aca="false">AT128</f>
        <v>0</v>
      </c>
      <c r="AU130" s="120" t="n">
        <f aca="false">AU128</f>
        <v>0</v>
      </c>
      <c r="AV130" s="120" t="n">
        <f aca="false">AV128</f>
        <v>0</v>
      </c>
      <c r="AW130" s="120" t="n">
        <f aca="false">AW128</f>
        <v>0</v>
      </c>
      <c r="AX130" s="120" t="n">
        <f aca="false">AX128</f>
        <v>0</v>
      </c>
      <c r="AY130" s="120" t="n">
        <f aca="false">AY128</f>
        <v>0</v>
      </c>
      <c r="AZ130" s="120" t="n">
        <f aca="false">AZ128</f>
        <v>0</v>
      </c>
      <c r="BA130" s="120" t="n">
        <f aca="false">BA128</f>
        <v>0</v>
      </c>
      <c r="BB130" s="120" t="n">
        <f aca="false">BB128</f>
        <v>0</v>
      </c>
      <c r="BC130" s="120" t="n">
        <f aca="false">BC128</f>
        <v>0</v>
      </c>
      <c r="BD130" s="120" t="n">
        <f aca="false">BD128</f>
        <v>0</v>
      </c>
      <c r="BE130" s="120" t="n">
        <f aca="false">BE128</f>
        <v>0</v>
      </c>
      <c r="BF130" s="120" t="n">
        <f aca="false">BF128</f>
        <v>0</v>
      </c>
      <c r="BG130" s="120" t="n">
        <f aca="false">BG128</f>
        <v>0</v>
      </c>
      <c r="BH130" s="120" t="n">
        <f aca="false">BH128</f>
        <v>0</v>
      </c>
      <c r="BI130" s="120" t="n">
        <f aca="false">BI128</f>
        <v>0</v>
      </c>
      <c r="BJ130" s="120" t="n">
        <f aca="false">BJ128</f>
        <v>0</v>
      </c>
      <c r="BK130" s="120" t="n">
        <f aca="false">BK128</f>
        <v>0</v>
      </c>
      <c r="BL130" s="120" t="n">
        <f aca="false">BL128</f>
        <v>0</v>
      </c>
      <c r="BM130" s="120" t="n">
        <f aca="false">BM128</f>
        <v>0</v>
      </c>
      <c r="BN130" s="120" t="n">
        <f aca="false">BN128</f>
        <v>0</v>
      </c>
      <c r="BO130" s="120" t="n">
        <f aca="false">BO128</f>
        <v>0</v>
      </c>
      <c r="BP130" s="120" t="n">
        <f aca="false">BP128</f>
        <v>0</v>
      </c>
      <c r="BQ130" s="120" t="n">
        <f aca="false">BQ128</f>
        <v>0</v>
      </c>
      <c r="BR130" s="120" t="n">
        <f aca="false">BR128</f>
        <v>0</v>
      </c>
      <c r="BS130" s="120" t="n">
        <f aca="false">BS128</f>
        <v>0</v>
      </c>
      <c r="BT130" s="120" t="n">
        <f aca="false">BT128</f>
        <v>0</v>
      </c>
      <c r="BU130" s="120" t="n">
        <f aca="false">BU128</f>
        <v>0</v>
      </c>
      <c r="BV130" s="120" t="n">
        <f aca="false">BV128</f>
        <v>0</v>
      </c>
      <c r="BW130" s="120" t="n">
        <f aca="false">BW128</f>
        <v>0</v>
      </c>
      <c r="BX130" s="120" t="n">
        <f aca="false">BX128</f>
        <v>0</v>
      </c>
      <c r="BY130" s="120" t="n">
        <f aca="false">BY128</f>
        <v>0</v>
      </c>
      <c r="BZ130" s="120" t="n">
        <f aca="false">BZ128</f>
        <v>0</v>
      </c>
      <c r="CA130" s="120" t="n">
        <f aca="false">CA128</f>
        <v>0</v>
      </c>
      <c r="CC130" s="132" t="n">
        <f aca="false">CC128</f>
        <v>0</v>
      </c>
      <c r="CD130" s="132" t="n">
        <f aca="false">CD128</f>
        <v>0</v>
      </c>
      <c r="CE130" s="132" t="n">
        <f aca="false">CE128</f>
        <v>0</v>
      </c>
      <c r="CF130" s="132" t="n">
        <f aca="false">CF128</f>
        <v>0</v>
      </c>
      <c r="CG130" s="132" t="n">
        <f aca="false">CG128</f>
        <v>0</v>
      </c>
      <c r="CI130" s="133" t="n">
        <f aca="false">CI128</f>
        <v>1</v>
      </c>
      <c r="CJ130" s="133" t="n">
        <f aca="false">CJ128</f>
        <v>1</v>
      </c>
      <c r="CK130" s="133" t="n">
        <f aca="false">CK128</f>
        <v>1</v>
      </c>
      <c r="CL130" s="133" t="n">
        <f aca="false">CL128</f>
        <v>1</v>
      </c>
      <c r="CM130" s="133" t="n">
        <f aca="false">CM128</f>
        <v>1</v>
      </c>
    </row>
    <row r="131" s="14" customFormat="true" ht="16.5" hidden="false" customHeight="true" outlineLevel="0" collapsed="false">
      <c r="K131" s="35"/>
    </row>
    <row r="132" s="14" customFormat="true" ht="16.5" hidden="false" customHeight="true" outlineLevel="0" collapsed="false">
      <c r="E132" s="85"/>
      <c r="K132" s="35"/>
      <c r="Q132" s="16"/>
      <c r="R132" s="16"/>
      <c r="T132" s="62" t="n">
        <v>2026</v>
      </c>
      <c r="U132" s="129"/>
      <c r="V132" s="129"/>
      <c r="W132" s="129"/>
      <c r="X132" s="129"/>
      <c r="Y132" s="129"/>
      <c r="Z132" s="129"/>
      <c r="AA132" s="129"/>
      <c r="AB132" s="129"/>
      <c r="AC132" s="129"/>
      <c r="AD132" s="129"/>
      <c r="AE132" s="129"/>
      <c r="AF132" s="62" t="n">
        <v>2027</v>
      </c>
      <c r="AG132" s="129"/>
      <c r="AH132" s="129"/>
      <c r="AI132" s="129"/>
      <c r="AJ132" s="129"/>
      <c r="AK132" s="129"/>
      <c r="AL132" s="129"/>
      <c r="AM132" s="129"/>
      <c r="AN132" s="129"/>
      <c r="AO132" s="129"/>
      <c r="AP132" s="129"/>
      <c r="AQ132" s="129"/>
      <c r="AR132" s="62" t="n">
        <v>2028</v>
      </c>
      <c r="AS132" s="129"/>
      <c r="AT132" s="129"/>
      <c r="AU132" s="129"/>
      <c r="AV132" s="129"/>
      <c r="AW132" s="129"/>
      <c r="AX132" s="129"/>
      <c r="AY132" s="129"/>
      <c r="AZ132" s="129"/>
      <c r="BA132" s="129"/>
      <c r="BB132" s="129"/>
      <c r="BC132" s="129"/>
      <c r="BD132" s="62" t="n">
        <v>2029</v>
      </c>
      <c r="BE132" s="129"/>
      <c r="BF132" s="129"/>
      <c r="BG132" s="129"/>
      <c r="BH132" s="129"/>
      <c r="BI132" s="129"/>
      <c r="BJ132" s="129"/>
      <c r="BK132" s="129"/>
      <c r="BL132" s="129"/>
      <c r="BM132" s="129"/>
      <c r="BN132" s="129"/>
      <c r="BO132" s="129"/>
      <c r="BP132" s="62" t="n">
        <v>2030</v>
      </c>
      <c r="BQ132" s="130"/>
      <c r="BR132" s="130"/>
      <c r="BS132" s="130"/>
      <c r="BT132" s="130"/>
      <c r="BU132" s="130"/>
      <c r="BV132" s="130"/>
      <c r="BW132" s="130"/>
      <c r="BX132" s="130"/>
      <c r="BY132" s="130"/>
      <c r="BZ132" s="130"/>
      <c r="CA132" s="130"/>
    </row>
    <row r="133" s="14" customFormat="true" ht="16.5" hidden="false" customHeight="true" outlineLevel="0" collapsed="false">
      <c r="D133" s="30" t="s">
        <v>147</v>
      </c>
      <c r="E133" s="31"/>
      <c r="F133" s="31"/>
      <c r="G133" s="31"/>
      <c r="H133" s="31"/>
      <c r="I133" s="31"/>
      <c r="J133" s="31"/>
      <c r="K133" s="30" t="s">
        <v>120</v>
      </c>
      <c r="L133" s="31" t="n">
        <v>2026</v>
      </c>
      <c r="M133" s="31" t="n">
        <f aca="false">L133+1</f>
        <v>2027</v>
      </c>
      <c r="N133" s="31" t="n">
        <f aca="false">M133+1</f>
        <v>2028</v>
      </c>
      <c r="O133" s="31" t="n">
        <f aca="false">N133+1</f>
        <v>2029</v>
      </c>
      <c r="P133" s="31" t="n">
        <f aca="false">O133+1</f>
        <v>2030</v>
      </c>
      <c r="Q133" s="16"/>
      <c r="R133" s="16"/>
      <c r="T133" s="59" t="n">
        <v>46023</v>
      </c>
      <c r="U133" s="60" t="n">
        <f aca="false">EOMONTH(T133, 1)</f>
        <v>46081</v>
      </c>
      <c r="V133" s="60" t="n">
        <f aca="false">EOMONTH(U133, 1)</f>
        <v>46112</v>
      </c>
      <c r="W133" s="60" t="n">
        <f aca="false">EOMONTH(V133, 1)</f>
        <v>46142</v>
      </c>
      <c r="X133" s="60" t="n">
        <f aca="false">EOMONTH(W133, 1)</f>
        <v>46173</v>
      </c>
      <c r="Y133" s="60" t="n">
        <f aca="false">EOMONTH(X133, 1)</f>
        <v>46203</v>
      </c>
      <c r="Z133" s="60" t="n">
        <f aca="false">EOMONTH(Y133, 1)</f>
        <v>46234</v>
      </c>
      <c r="AA133" s="60" t="n">
        <f aca="false">EOMONTH(Z133, 1)</f>
        <v>46265</v>
      </c>
      <c r="AB133" s="60" t="n">
        <f aca="false">EOMONTH(AA133, 1)</f>
        <v>46295</v>
      </c>
      <c r="AC133" s="60" t="n">
        <f aca="false">EOMONTH(AB133, 1)</f>
        <v>46326</v>
      </c>
      <c r="AD133" s="60" t="n">
        <f aca="false">EOMONTH(AC133, 1)</f>
        <v>46356</v>
      </c>
      <c r="AE133" s="61" t="n">
        <f aca="false">EOMONTH(AD133, 1)</f>
        <v>46387</v>
      </c>
      <c r="AF133" s="59" t="n">
        <f aca="false">EOMONTH(AE133, 1)</f>
        <v>46418</v>
      </c>
      <c r="AG133" s="60" t="n">
        <f aca="false">EOMONTH(AF133, 1)</f>
        <v>46446</v>
      </c>
      <c r="AH133" s="60" t="n">
        <f aca="false">EOMONTH(AG133, 1)</f>
        <v>46477</v>
      </c>
      <c r="AI133" s="60" t="n">
        <f aca="false">EOMONTH(AH133, 1)</f>
        <v>46507</v>
      </c>
      <c r="AJ133" s="60" t="n">
        <f aca="false">EOMONTH(AI133, 1)</f>
        <v>46538</v>
      </c>
      <c r="AK133" s="60" t="n">
        <f aca="false">EOMONTH(AJ133, 1)</f>
        <v>46568</v>
      </c>
      <c r="AL133" s="60" t="n">
        <f aca="false">EOMONTH(AK133, 1)</f>
        <v>46599</v>
      </c>
      <c r="AM133" s="60" t="n">
        <f aca="false">EOMONTH(AL133, 1)</f>
        <v>46630</v>
      </c>
      <c r="AN133" s="60" t="n">
        <f aca="false">EOMONTH(AM133, 1)</f>
        <v>46660</v>
      </c>
      <c r="AO133" s="60" t="n">
        <f aca="false">EOMONTH(AN133, 1)</f>
        <v>46691</v>
      </c>
      <c r="AP133" s="60" t="n">
        <f aca="false">EOMONTH(AO133, 1)</f>
        <v>46721</v>
      </c>
      <c r="AQ133" s="61" t="n">
        <f aca="false">EOMONTH(AP133, 1)</f>
        <v>46752</v>
      </c>
      <c r="AR133" s="59" t="n">
        <f aca="false">EOMONTH(AQ133, 1)</f>
        <v>46783</v>
      </c>
      <c r="AS133" s="60" t="n">
        <f aca="false">EOMONTH(AR133, 1)</f>
        <v>46812</v>
      </c>
      <c r="AT133" s="60" t="n">
        <f aca="false">EOMONTH(AS133, 1)</f>
        <v>46843</v>
      </c>
      <c r="AU133" s="60" t="n">
        <f aca="false">EOMONTH(AT133, 1)</f>
        <v>46873</v>
      </c>
      <c r="AV133" s="60" t="n">
        <f aca="false">EOMONTH(AU133, 1)</f>
        <v>46904</v>
      </c>
      <c r="AW133" s="60" t="n">
        <f aca="false">EOMONTH(AV133, 1)</f>
        <v>46934</v>
      </c>
      <c r="AX133" s="60" t="n">
        <f aca="false">EOMONTH(AW133, 1)</f>
        <v>46965</v>
      </c>
      <c r="AY133" s="60" t="n">
        <f aca="false">EOMONTH(AX133, 1)</f>
        <v>46996</v>
      </c>
      <c r="AZ133" s="60" t="n">
        <f aca="false">EOMONTH(AY133, 1)</f>
        <v>47026</v>
      </c>
      <c r="BA133" s="60" t="n">
        <f aca="false">EOMONTH(AZ133, 1)</f>
        <v>47057</v>
      </c>
      <c r="BB133" s="60" t="n">
        <f aca="false">EOMONTH(BA133, 1)</f>
        <v>47087</v>
      </c>
      <c r="BC133" s="61" t="n">
        <f aca="false">EOMONTH(BB133, 1)</f>
        <v>47118</v>
      </c>
      <c r="BD133" s="59" t="n">
        <f aca="false">EOMONTH(BC133, 1)</f>
        <v>47149</v>
      </c>
      <c r="BE133" s="60" t="n">
        <f aca="false">EOMONTH(BD133, 1)</f>
        <v>47177</v>
      </c>
      <c r="BF133" s="60" t="n">
        <f aca="false">EOMONTH(BE133, 1)</f>
        <v>47208</v>
      </c>
      <c r="BG133" s="60" t="n">
        <f aca="false">EOMONTH(BF133, 1)</f>
        <v>47238</v>
      </c>
      <c r="BH133" s="60" t="n">
        <f aca="false">EOMONTH(BG133, 1)</f>
        <v>47269</v>
      </c>
      <c r="BI133" s="60" t="n">
        <f aca="false">EOMONTH(BH133, 1)</f>
        <v>47299</v>
      </c>
      <c r="BJ133" s="60" t="n">
        <f aca="false">EOMONTH(BI133, 1)</f>
        <v>47330</v>
      </c>
      <c r="BK133" s="60" t="n">
        <f aca="false">EOMONTH(BJ133, 1)</f>
        <v>47361</v>
      </c>
      <c r="BL133" s="60" t="n">
        <f aca="false">EOMONTH(BK133, 1)</f>
        <v>47391</v>
      </c>
      <c r="BM133" s="60" t="n">
        <f aca="false">EOMONTH(BL133, 1)</f>
        <v>47422</v>
      </c>
      <c r="BN133" s="60" t="n">
        <f aca="false">EOMONTH(BM133, 1)</f>
        <v>47452</v>
      </c>
      <c r="BO133" s="61" t="n">
        <f aca="false">EOMONTH(BN133, 1)</f>
        <v>47483</v>
      </c>
      <c r="BP133" s="59" t="n">
        <f aca="false">EOMONTH(BO133, 1)</f>
        <v>47514</v>
      </c>
      <c r="BQ133" s="60" t="n">
        <f aca="false">EOMONTH(BP133, 1)</f>
        <v>47542</v>
      </c>
      <c r="BR133" s="60" t="n">
        <f aca="false">EOMONTH(BQ133, 1)</f>
        <v>47573</v>
      </c>
      <c r="BS133" s="60" t="n">
        <f aca="false">EOMONTH(BR133, 1)</f>
        <v>47603</v>
      </c>
      <c r="BT133" s="60" t="n">
        <f aca="false">EOMONTH(BS133, 1)</f>
        <v>47634</v>
      </c>
      <c r="BU133" s="60" t="n">
        <f aca="false">EOMONTH(BT133, 1)</f>
        <v>47664</v>
      </c>
      <c r="BV133" s="60" t="n">
        <f aca="false">EOMONTH(BU133, 1)</f>
        <v>47695</v>
      </c>
      <c r="BW133" s="60" t="n">
        <f aca="false">EOMONTH(BV133, 1)</f>
        <v>47726</v>
      </c>
      <c r="BX133" s="60" t="n">
        <f aca="false">EOMONTH(BW133, 1)</f>
        <v>47756</v>
      </c>
      <c r="BY133" s="60" t="n">
        <f aca="false">EOMONTH(BX133, 1)</f>
        <v>47787</v>
      </c>
      <c r="BZ133" s="60" t="n">
        <f aca="false">EOMONTH(BY133, 1)</f>
        <v>47817</v>
      </c>
      <c r="CA133" s="60" t="n">
        <f aca="false">EOMONTH(BZ133, 1)</f>
        <v>47848</v>
      </c>
      <c r="CC133" s="62" t="n">
        <v>2026</v>
      </c>
      <c r="CD133" s="62" t="n">
        <f aca="false">CC133+1</f>
        <v>2027</v>
      </c>
      <c r="CE133" s="62" t="n">
        <f aca="false">CD133+1</f>
        <v>2028</v>
      </c>
      <c r="CF133" s="62" t="n">
        <f aca="false">CE133+1</f>
        <v>2029</v>
      </c>
      <c r="CG133" s="62" t="n">
        <f aca="false">CF133+1</f>
        <v>2030</v>
      </c>
      <c r="CI133" s="62" t="n">
        <v>2026</v>
      </c>
      <c r="CJ133" s="62" t="n">
        <f aca="false">CI133+1</f>
        <v>2027</v>
      </c>
      <c r="CK133" s="62" t="n">
        <f aca="false">CJ133+1</f>
        <v>2028</v>
      </c>
      <c r="CL133" s="62" t="n">
        <f aca="false">CK133+1</f>
        <v>2029</v>
      </c>
      <c r="CM133" s="62" t="n">
        <f aca="false">CL133+1</f>
        <v>2030</v>
      </c>
    </row>
    <row r="134" s="14" customFormat="true" ht="16.5" hidden="false" customHeight="true" outlineLevel="0" collapsed="false">
      <c r="F134" s="21"/>
      <c r="G134" s="21"/>
      <c r="Q134" s="16"/>
      <c r="R134" s="16"/>
    </row>
    <row r="135" s="14" customFormat="true" ht="16.5" hidden="false" customHeight="true" outlineLevel="0" collapsed="false">
      <c r="E135" s="21" t="s">
        <v>148</v>
      </c>
      <c r="Q135" s="16"/>
      <c r="R135" s="16"/>
    </row>
    <row r="136" s="14" customFormat="true" ht="16.5" hidden="false" customHeight="true" outlineLevel="0" collapsed="false">
      <c r="D136" s="134"/>
      <c r="E136" s="91" t="s">
        <v>349</v>
      </c>
      <c r="L136" s="208" t="n">
        <f aca="false">'SDLC-1 Model'!L91</f>
        <v>0.105306666666667</v>
      </c>
      <c r="M136" s="208" t="n">
        <f aca="false">'SDLC-1 Model'!M91</f>
        <v>0.421226666666667</v>
      </c>
      <c r="N136" s="208" t="n">
        <f aca="false">'SDLC-1 Model'!N91</f>
        <v>0</v>
      </c>
      <c r="O136" s="208" t="n">
        <f aca="false">'SDLC-1 Model'!O91</f>
        <v>0</v>
      </c>
      <c r="P136" s="208" t="n">
        <f aca="false">'SDLC-1 Model'!P91</f>
        <v>0</v>
      </c>
      <c r="Q136" s="93" t="s">
        <v>251</v>
      </c>
      <c r="R136" s="16"/>
      <c r="T136" s="220" t="n">
        <f aca="false">'SDLC-1 Model'!T91</f>
        <v>0</v>
      </c>
      <c r="U136" s="220" t="n">
        <f aca="false">'SDLC-1 Model'!U91</f>
        <v>0</v>
      </c>
      <c r="V136" s="220" t="n">
        <f aca="false">'SDLC-1 Model'!V91</f>
        <v>0</v>
      </c>
      <c r="W136" s="220" t="n">
        <f aca="false">'SDLC-1 Model'!W91</f>
        <v>0</v>
      </c>
      <c r="X136" s="220" t="n">
        <f aca="false">'SDLC-1 Model'!X91</f>
        <v>0</v>
      </c>
      <c r="Y136" s="220" t="n">
        <f aca="false">'SDLC-1 Model'!Y91</f>
        <v>0</v>
      </c>
      <c r="Z136" s="220" t="n">
        <f aca="false">'SDLC-1 Model'!Z91</f>
        <v>0</v>
      </c>
      <c r="AA136" s="220" t="n">
        <f aca="false">'SDLC-1 Model'!AA91</f>
        <v>0</v>
      </c>
      <c r="AB136" s="220" t="n">
        <f aca="false">'SDLC-1 Model'!AB91</f>
        <v>0</v>
      </c>
      <c r="AC136" s="220" t="n">
        <f aca="false">'SDLC-1 Model'!AC91</f>
        <v>0</v>
      </c>
      <c r="AD136" s="220" t="n">
        <f aca="false">'SDLC-1 Model'!AD91</f>
        <v>0</v>
      </c>
      <c r="AE136" s="220" t="n">
        <f aca="false">'SDLC-1 Model'!AE91</f>
        <v>0.105306666666667</v>
      </c>
      <c r="AF136" s="220" t="n">
        <f aca="false">'SDLC-1 Model'!AF91</f>
        <v>0.105306666666667</v>
      </c>
      <c r="AG136" s="220" t="n">
        <f aca="false">'SDLC-1 Model'!AG91</f>
        <v>0.105306666666667</v>
      </c>
      <c r="AH136" s="220" t="n">
        <f aca="false">'SDLC-1 Model'!AH91</f>
        <v>0.105306666666667</v>
      </c>
      <c r="AI136" s="220" t="n">
        <f aca="false">'SDLC-1 Model'!AI91</f>
        <v>0.105306666666667</v>
      </c>
      <c r="AJ136" s="220" t="n">
        <f aca="false">'SDLC-1 Model'!AJ91</f>
        <v>0</v>
      </c>
      <c r="AK136" s="220" t="n">
        <f aca="false">'SDLC-1 Model'!AK91</f>
        <v>0</v>
      </c>
      <c r="AL136" s="220" t="n">
        <f aca="false">'SDLC-1 Model'!AL91</f>
        <v>0</v>
      </c>
      <c r="AM136" s="220" t="n">
        <f aca="false">'SDLC-1 Model'!AM91</f>
        <v>0</v>
      </c>
      <c r="AN136" s="220" t="n">
        <f aca="false">'SDLC-1 Model'!AN91</f>
        <v>0</v>
      </c>
      <c r="AO136" s="220" t="n">
        <f aca="false">'SDLC-1 Model'!AO91</f>
        <v>0</v>
      </c>
      <c r="AP136" s="220" t="n">
        <f aca="false">'SDLC-1 Model'!AP91</f>
        <v>0</v>
      </c>
      <c r="AQ136" s="220" t="n">
        <f aca="false">'SDLC-1 Model'!AQ91</f>
        <v>0</v>
      </c>
      <c r="AR136" s="220" t="n">
        <f aca="false">'SDLC-1 Model'!AR91</f>
        <v>0</v>
      </c>
      <c r="AS136" s="220" t="n">
        <f aca="false">'SDLC-1 Model'!AS91</f>
        <v>0</v>
      </c>
      <c r="AT136" s="220" t="n">
        <f aca="false">'SDLC-1 Model'!AT91</f>
        <v>0</v>
      </c>
      <c r="AU136" s="220" t="n">
        <f aca="false">'SDLC-1 Model'!AU91</f>
        <v>0</v>
      </c>
      <c r="AV136" s="220" t="n">
        <f aca="false">'SDLC-1 Model'!AV91</f>
        <v>0</v>
      </c>
      <c r="AW136" s="220" t="n">
        <f aca="false">'SDLC-1 Model'!AW91</f>
        <v>0</v>
      </c>
      <c r="AX136" s="220" t="n">
        <f aca="false">'SDLC-1 Model'!AX91</f>
        <v>0</v>
      </c>
      <c r="AY136" s="220" t="n">
        <f aca="false">'SDLC-1 Model'!AY91</f>
        <v>0</v>
      </c>
      <c r="AZ136" s="220" t="n">
        <f aca="false">'SDLC-1 Model'!AZ91</f>
        <v>0</v>
      </c>
      <c r="BA136" s="220" t="n">
        <f aca="false">'SDLC-1 Model'!BA91</f>
        <v>0</v>
      </c>
      <c r="BB136" s="220" t="n">
        <f aca="false">'SDLC-1 Model'!BB91</f>
        <v>0</v>
      </c>
      <c r="BC136" s="220" t="n">
        <f aca="false">'SDLC-1 Model'!BC91</f>
        <v>0</v>
      </c>
      <c r="BD136" s="220" t="n">
        <f aca="false">'SDLC-1 Model'!BD91</f>
        <v>0</v>
      </c>
      <c r="BE136" s="220" t="n">
        <f aca="false">'SDLC-1 Model'!BE91</f>
        <v>0</v>
      </c>
      <c r="BF136" s="220" t="n">
        <f aca="false">'SDLC-1 Model'!BF91</f>
        <v>0</v>
      </c>
      <c r="BG136" s="220" t="n">
        <f aca="false">'SDLC-1 Model'!BG91</f>
        <v>0</v>
      </c>
      <c r="BH136" s="220" t="n">
        <f aca="false">'SDLC-1 Model'!BH91</f>
        <v>0</v>
      </c>
      <c r="BI136" s="220" t="n">
        <f aca="false">'SDLC-1 Model'!BI91</f>
        <v>0</v>
      </c>
      <c r="BJ136" s="220" t="n">
        <f aca="false">'SDLC-1 Model'!BJ91</f>
        <v>0</v>
      </c>
      <c r="BK136" s="220" t="n">
        <f aca="false">'SDLC-1 Model'!BK91</f>
        <v>0</v>
      </c>
      <c r="BL136" s="220" t="n">
        <f aca="false">'SDLC-1 Model'!BL91</f>
        <v>0</v>
      </c>
      <c r="BM136" s="220" t="n">
        <f aca="false">'SDLC-1 Model'!BM91</f>
        <v>0</v>
      </c>
      <c r="BN136" s="220" t="n">
        <f aca="false">'SDLC-1 Model'!BN91</f>
        <v>0</v>
      </c>
      <c r="BO136" s="220" t="n">
        <f aca="false">'SDLC-1 Model'!BO91</f>
        <v>0</v>
      </c>
      <c r="BP136" s="220" t="n">
        <f aca="false">'SDLC-1 Model'!BP91</f>
        <v>0</v>
      </c>
      <c r="BQ136" s="220" t="n">
        <f aca="false">'SDLC-1 Model'!BQ91</f>
        <v>0</v>
      </c>
      <c r="BR136" s="220" t="n">
        <f aca="false">'SDLC-1 Model'!BR91</f>
        <v>0</v>
      </c>
      <c r="BS136" s="220" t="n">
        <f aca="false">'SDLC-1 Model'!BS91</f>
        <v>0</v>
      </c>
      <c r="BT136" s="220" t="n">
        <f aca="false">'SDLC-1 Model'!BT91</f>
        <v>0</v>
      </c>
      <c r="BU136" s="220" t="n">
        <f aca="false">'SDLC-1 Model'!BU91</f>
        <v>0</v>
      </c>
      <c r="BV136" s="220" t="n">
        <f aca="false">'SDLC-1 Model'!BV91</f>
        <v>0</v>
      </c>
      <c r="BW136" s="220" t="n">
        <f aca="false">'SDLC-1 Model'!BW91</f>
        <v>0</v>
      </c>
      <c r="BX136" s="220" t="n">
        <f aca="false">'SDLC-1 Model'!BX91</f>
        <v>0</v>
      </c>
      <c r="BY136" s="220" t="n">
        <f aca="false">'SDLC-1 Model'!BY91</f>
        <v>0</v>
      </c>
      <c r="BZ136" s="221" t="n">
        <f aca="false">'SDLC-1 Model'!BZ91</f>
        <v>0</v>
      </c>
      <c r="CA136" s="221" t="n">
        <f aca="false">'SDLC-1 Model'!CA91</f>
        <v>0</v>
      </c>
      <c r="CC136" s="79" t="n">
        <f aca="false">SUMIFS($T136:$CA136, $T$1:$CA$1, CC$63)</f>
        <v>0.105306666666667</v>
      </c>
      <c r="CD136" s="79" t="n">
        <f aca="false">SUMIFS($T136:$CA136, $T$1:$CA$1, CD$63)</f>
        <v>0.421226666666667</v>
      </c>
      <c r="CE136" s="79" t="n">
        <f aca="false">SUMIFS($T136:$CA136, $T$1:$CA$1, CE$63)</f>
        <v>0</v>
      </c>
      <c r="CF136" s="79" t="n">
        <f aca="false">SUMIFS($T136:$CA136, $T$1:$CA$1, CF$63)</f>
        <v>0</v>
      </c>
      <c r="CG136" s="79" t="n">
        <f aca="false">SUMIFS($T136:$CA136, $T$1:$CA$1, CG$63)</f>
        <v>0</v>
      </c>
      <c r="CI136" s="79" t="n">
        <f aca="false">CC136=L136</f>
        <v>1</v>
      </c>
      <c r="CJ136" s="79" t="n">
        <f aca="false">CD136=M136</f>
        <v>1</v>
      </c>
      <c r="CK136" s="79" t="n">
        <f aca="false">CE136=N136</f>
        <v>1</v>
      </c>
      <c r="CL136" s="79" t="n">
        <f aca="false">CF136=O136</f>
        <v>1</v>
      </c>
      <c r="CM136" s="79" t="n">
        <f aca="false">CG136=P136</f>
        <v>1</v>
      </c>
    </row>
    <row r="137" s="14" customFormat="true" ht="16.5" hidden="false" customHeight="true" outlineLevel="0" collapsed="false">
      <c r="D137" s="134"/>
      <c r="E137" s="91" t="s">
        <v>350</v>
      </c>
      <c r="L137" s="208" t="n">
        <f aca="false">'SDLC-1 Model'!L92</f>
        <v>0</v>
      </c>
      <c r="M137" s="208" t="n">
        <f aca="false">'SDLC-1 Model'!M92</f>
        <v>0</v>
      </c>
      <c r="N137" s="208" t="n">
        <f aca="false">'SDLC-1 Model'!N92</f>
        <v>0</v>
      </c>
      <c r="O137" s="208" t="n">
        <f aca="false">'SDLC-1 Model'!O92</f>
        <v>0</v>
      </c>
      <c r="P137" s="208" t="n">
        <f aca="false">'SDLC-1 Model'!P92</f>
        <v>0</v>
      </c>
      <c r="Q137" s="93" t="s">
        <v>251</v>
      </c>
      <c r="R137" s="16"/>
      <c r="T137" s="220" t="n">
        <f aca="false">'SDLC-1 Model'!T92</f>
        <v>0</v>
      </c>
      <c r="U137" s="220" t="n">
        <f aca="false">'SDLC-1 Model'!U92</f>
        <v>0</v>
      </c>
      <c r="V137" s="220" t="n">
        <f aca="false">'SDLC-1 Model'!V92</f>
        <v>0</v>
      </c>
      <c r="W137" s="220" t="n">
        <f aca="false">'SDLC-1 Model'!W92</f>
        <v>0</v>
      </c>
      <c r="X137" s="220" t="n">
        <f aca="false">'SDLC-1 Model'!X92</f>
        <v>0</v>
      </c>
      <c r="Y137" s="220" t="n">
        <f aca="false">'SDLC-1 Model'!Y92</f>
        <v>0</v>
      </c>
      <c r="Z137" s="220" t="n">
        <f aca="false">'SDLC-1 Model'!Z92</f>
        <v>0</v>
      </c>
      <c r="AA137" s="220" t="n">
        <f aca="false">'SDLC-1 Model'!AA92</f>
        <v>0</v>
      </c>
      <c r="AB137" s="220" t="n">
        <f aca="false">'SDLC-1 Model'!AB92</f>
        <v>0</v>
      </c>
      <c r="AC137" s="220" t="n">
        <f aca="false">'SDLC-1 Model'!AC92</f>
        <v>0</v>
      </c>
      <c r="AD137" s="220" t="n">
        <f aca="false">'SDLC-1 Model'!AD92</f>
        <v>0</v>
      </c>
      <c r="AE137" s="220" t="n">
        <f aca="false">'SDLC-1 Model'!AE92</f>
        <v>0</v>
      </c>
      <c r="AF137" s="220" t="n">
        <f aca="false">'SDLC-1 Model'!AF92</f>
        <v>0</v>
      </c>
      <c r="AG137" s="220" t="n">
        <f aca="false">'SDLC-1 Model'!AG92</f>
        <v>0</v>
      </c>
      <c r="AH137" s="220" t="n">
        <f aca="false">'SDLC-1 Model'!AH92</f>
        <v>0</v>
      </c>
      <c r="AI137" s="220" t="n">
        <f aca="false">'SDLC-1 Model'!AI92</f>
        <v>0</v>
      </c>
      <c r="AJ137" s="220" t="n">
        <f aca="false">'SDLC-1 Model'!AJ92</f>
        <v>0</v>
      </c>
      <c r="AK137" s="220" t="n">
        <f aca="false">'SDLC-1 Model'!AK92</f>
        <v>0</v>
      </c>
      <c r="AL137" s="220" t="n">
        <f aca="false">'SDLC-1 Model'!AL92</f>
        <v>0</v>
      </c>
      <c r="AM137" s="220" t="n">
        <f aca="false">'SDLC-1 Model'!AM92</f>
        <v>0</v>
      </c>
      <c r="AN137" s="220" t="n">
        <f aca="false">'SDLC-1 Model'!AN92</f>
        <v>0</v>
      </c>
      <c r="AO137" s="220" t="n">
        <f aca="false">'SDLC-1 Model'!AO92</f>
        <v>0</v>
      </c>
      <c r="AP137" s="220" t="n">
        <f aca="false">'SDLC-1 Model'!AP92</f>
        <v>0</v>
      </c>
      <c r="AQ137" s="220" t="n">
        <f aca="false">'SDLC-1 Model'!AQ92</f>
        <v>0</v>
      </c>
      <c r="AR137" s="220" t="n">
        <f aca="false">'SDLC-1 Model'!AR92</f>
        <v>0</v>
      </c>
      <c r="AS137" s="220" t="n">
        <f aca="false">'SDLC-1 Model'!AS92</f>
        <v>0</v>
      </c>
      <c r="AT137" s="220" t="n">
        <f aca="false">'SDLC-1 Model'!AT92</f>
        <v>0</v>
      </c>
      <c r="AU137" s="220" t="n">
        <f aca="false">'SDLC-1 Model'!AU92</f>
        <v>0</v>
      </c>
      <c r="AV137" s="220" t="n">
        <f aca="false">'SDLC-1 Model'!AV92</f>
        <v>0</v>
      </c>
      <c r="AW137" s="220" t="n">
        <f aca="false">'SDLC-1 Model'!AW92</f>
        <v>0</v>
      </c>
      <c r="AX137" s="220" t="n">
        <f aca="false">'SDLC-1 Model'!AX92</f>
        <v>0</v>
      </c>
      <c r="AY137" s="220" t="n">
        <f aca="false">'SDLC-1 Model'!AY92</f>
        <v>0</v>
      </c>
      <c r="AZ137" s="220" t="n">
        <f aca="false">'SDLC-1 Model'!AZ92</f>
        <v>0</v>
      </c>
      <c r="BA137" s="220" t="n">
        <f aca="false">'SDLC-1 Model'!BA92</f>
        <v>0</v>
      </c>
      <c r="BB137" s="220" t="n">
        <f aca="false">'SDLC-1 Model'!BB92</f>
        <v>0</v>
      </c>
      <c r="BC137" s="220" t="n">
        <f aca="false">'SDLC-1 Model'!BC92</f>
        <v>0</v>
      </c>
      <c r="BD137" s="220" t="n">
        <f aca="false">'SDLC-1 Model'!BD92</f>
        <v>0</v>
      </c>
      <c r="BE137" s="220" t="n">
        <f aca="false">'SDLC-1 Model'!BE92</f>
        <v>0</v>
      </c>
      <c r="BF137" s="220" t="n">
        <f aca="false">'SDLC-1 Model'!BF92</f>
        <v>0</v>
      </c>
      <c r="BG137" s="220" t="n">
        <f aca="false">'SDLC-1 Model'!BG92</f>
        <v>0</v>
      </c>
      <c r="BH137" s="220" t="n">
        <f aca="false">'SDLC-1 Model'!BH92</f>
        <v>0</v>
      </c>
      <c r="BI137" s="220" t="n">
        <f aca="false">'SDLC-1 Model'!BI92</f>
        <v>0</v>
      </c>
      <c r="BJ137" s="220" t="n">
        <f aca="false">'SDLC-1 Model'!BJ92</f>
        <v>0</v>
      </c>
      <c r="BK137" s="220" t="n">
        <f aca="false">'SDLC-1 Model'!BK92</f>
        <v>0</v>
      </c>
      <c r="BL137" s="220" t="n">
        <f aca="false">'SDLC-1 Model'!BL92</f>
        <v>0</v>
      </c>
      <c r="BM137" s="220" t="n">
        <f aca="false">'SDLC-1 Model'!BM92</f>
        <v>0</v>
      </c>
      <c r="BN137" s="220" t="n">
        <f aca="false">'SDLC-1 Model'!BN92</f>
        <v>0</v>
      </c>
      <c r="BO137" s="220" t="n">
        <f aca="false">'SDLC-1 Model'!BO92</f>
        <v>0</v>
      </c>
      <c r="BP137" s="220" t="n">
        <f aca="false">'SDLC-1 Model'!BP92</f>
        <v>0</v>
      </c>
      <c r="BQ137" s="220" t="n">
        <f aca="false">'SDLC-1 Model'!BQ92</f>
        <v>0</v>
      </c>
      <c r="BR137" s="220" t="n">
        <f aca="false">'SDLC-1 Model'!BR92</f>
        <v>0</v>
      </c>
      <c r="BS137" s="220" t="n">
        <f aca="false">'SDLC-1 Model'!BS92</f>
        <v>0</v>
      </c>
      <c r="BT137" s="220" t="n">
        <f aca="false">'SDLC-1 Model'!BT92</f>
        <v>0</v>
      </c>
      <c r="BU137" s="220" t="n">
        <f aca="false">'SDLC-1 Model'!BU92</f>
        <v>0</v>
      </c>
      <c r="BV137" s="220" t="n">
        <f aca="false">'SDLC-1 Model'!BV92</f>
        <v>0</v>
      </c>
      <c r="BW137" s="220" t="n">
        <f aca="false">'SDLC-1 Model'!BW92</f>
        <v>0</v>
      </c>
      <c r="BX137" s="220" t="n">
        <f aca="false">'SDLC-1 Model'!BX92</f>
        <v>0</v>
      </c>
      <c r="BY137" s="220" t="n">
        <f aca="false">'SDLC-1 Model'!BY92</f>
        <v>0</v>
      </c>
      <c r="BZ137" s="221" t="n">
        <f aca="false">'SDLC-1 Model'!BZ92</f>
        <v>0</v>
      </c>
      <c r="CA137" s="221" t="n">
        <f aca="false">'SDLC-1 Model'!CA92</f>
        <v>0</v>
      </c>
      <c r="CC137" s="79" t="n">
        <f aca="false">SUMIFS($T137:$CA137, $T$1:$CA$1, CC$63)</f>
        <v>0</v>
      </c>
      <c r="CD137" s="79" t="n">
        <f aca="false">SUMIFS($T137:$CA137, $T$1:$CA$1, CD$63)</f>
        <v>0</v>
      </c>
      <c r="CE137" s="79" t="n">
        <f aca="false">SUMIFS($T137:$CA137, $T$1:$CA$1, CE$63)</f>
        <v>0</v>
      </c>
      <c r="CF137" s="79" t="n">
        <f aca="false">SUMIFS($T137:$CA137, $T$1:$CA$1, CF$63)</f>
        <v>0</v>
      </c>
      <c r="CG137" s="79" t="n">
        <f aca="false">SUMIFS($T137:$CA137, $T$1:$CA$1, CG$63)</f>
        <v>0</v>
      </c>
      <c r="CI137" s="79" t="n">
        <f aca="false">CC137=L137</f>
        <v>1</v>
      </c>
      <c r="CJ137" s="79" t="n">
        <f aca="false">CD137=M137</f>
        <v>1</v>
      </c>
      <c r="CK137" s="79" t="n">
        <f aca="false">CE137=N137</f>
        <v>1</v>
      </c>
      <c r="CL137" s="79" t="n">
        <f aca="false">CF137=O137</f>
        <v>1</v>
      </c>
      <c r="CM137" s="79" t="n">
        <f aca="false">CG137=P137</f>
        <v>1</v>
      </c>
    </row>
    <row r="138" s="14" customFormat="true" ht="16.5" hidden="false" customHeight="true" outlineLevel="0" collapsed="false">
      <c r="E138" s="96" t="s">
        <v>150</v>
      </c>
      <c r="L138" s="82" t="n">
        <f aca="false">SUM(L136:L137)</f>
        <v>0.105306666666667</v>
      </c>
      <c r="M138" s="82" t="n">
        <f aca="false">SUM(M136:M137)</f>
        <v>0.421226666666667</v>
      </c>
      <c r="N138" s="82" t="n">
        <f aca="false">SUM(N136:N137)</f>
        <v>0</v>
      </c>
      <c r="O138" s="82" t="n">
        <f aca="false">SUM(O136:O137)</f>
        <v>0</v>
      </c>
      <c r="P138" s="82" t="n">
        <f aca="false">SUM(P136:P137)</f>
        <v>0</v>
      </c>
      <c r="Q138" s="16"/>
      <c r="R138" s="16"/>
      <c r="T138" s="131" t="n">
        <f aca="false">SUM(T136:T137)</f>
        <v>0</v>
      </c>
      <c r="U138" s="131" t="n">
        <f aca="false">SUM(U136:U137)</f>
        <v>0</v>
      </c>
      <c r="V138" s="131" t="n">
        <f aca="false">SUM(V136:V137)</f>
        <v>0</v>
      </c>
      <c r="W138" s="131" t="n">
        <f aca="false">SUM(W136:W137)</f>
        <v>0</v>
      </c>
      <c r="X138" s="131" t="n">
        <f aca="false">SUM(X136:X137)</f>
        <v>0</v>
      </c>
      <c r="Y138" s="131" t="n">
        <f aca="false">SUM(Y136:Y137)</f>
        <v>0</v>
      </c>
      <c r="Z138" s="131" t="n">
        <f aca="false">SUM(Z136:Z137)</f>
        <v>0</v>
      </c>
      <c r="AA138" s="131" t="n">
        <f aca="false">SUM(AA136:AA137)</f>
        <v>0</v>
      </c>
      <c r="AB138" s="131" t="n">
        <f aca="false">SUM(AB136:AB137)</f>
        <v>0</v>
      </c>
      <c r="AC138" s="131" t="n">
        <f aca="false">SUM(AC136:AC137)</f>
        <v>0</v>
      </c>
      <c r="AD138" s="131" t="n">
        <f aca="false">SUM(AD136:AD137)</f>
        <v>0</v>
      </c>
      <c r="AE138" s="131" t="n">
        <f aca="false">SUM(AE136:AE137)</f>
        <v>0.105306666666667</v>
      </c>
      <c r="AF138" s="131" t="n">
        <f aca="false">SUM(AF136:AF137)</f>
        <v>0.105306666666667</v>
      </c>
      <c r="AG138" s="131" t="n">
        <f aca="false">SUM(AG136:AG137)</f>
        <v>0.105306666666667</v>
      </c>
      <c r="AH138" s="131" t="n">
        <f aca="false">SUM(AH136:AH137)</f>
        <v>0.105306666666667</v>
      </c>
      <c r="AI138" s="131" t="n">
        <f aca="false">SUM(AI136:AI137)</f>
        <v>0.105306666666667</v>
      </c>
      <c r="AJ138" s="131" t="n">
        <f aca="false">SUM(AJ136:AJ137)</f>
        <v>0</v>
      </c>
      <c r="AK138" s="131" t="n">
        <f aca="false">SUM(AK136:AK137)</f>
        <v>0</v>
      </c>
      <c r="AL138" s="131" t="n">
        <f aca="false">SUM(AL136:AL137)</f>
        <v>0</v>
      </c>
      <c r="AM138" s="131" t="n">
        <f aca="false">SUM(AM136:AM137)</f>
        <v>0</v>
      </c>
      <c r="AN138" s="131" t="n">
        <f aca="false">SUM(AN136:AN137)</f>
        <v>0</v>
      </c>
      <c r="AO138" s="131" t="n">
        <f aca="false">SUM(AO136:AO137)</f>
        <v>0</v>
      </c>
      <c r="AP138" s="131" t="n">
        <f aca="false">SUM(AP136:AP137)</f>
        <v>0</v>
      </c>
      <c r="AQ138" s="131" t="n">
        <f aca="false">SUM(AQ136:AQ137)</f>
        <v>0</v>
      </c>
      <c r="AR138" s="131" t="n">
        <f aca="false">SUM(AR136:AR137)</f>
        <v>0</v>
      </c>
      <c r="AS138" s="131" t="n">
        <f aca="false">SUM(AS136:AS137)</f>
        <v>0</v>
      </c>
      <c r="AT138" s="131" t="n">
        <f aca="false">SUM(AT136:AT137)</f>
        <v>0</v>
      </c>
      <c r="AU138" s="131" t="n">
        <f aca="false">SUM(AU136:AU137)</f>
        <v>0</v>
      </c>
      <c r="AV138" s="131" t="n">
        <f aca="false">SUM(AV136:AV137)</f>
        <v>0</v>
      </c>
      <c r="AW138" s="131" t="n">
        <f aca="false">SUM(AW136:AW137)</f>
        <v>0</v>
      </c>
      <c r="AX138" s="131" t="n">
        <f aca="false">SUM(AX136:AX137)</f>
        <v>0</v>
      </c>
      <c r="AY138" s="131" t="n">
        <f aca="false">SUM(AY136:AY137)</f>
        <v>0</v>
      </c>
      <c r="AZ138" s="131" t="n">
        <f aca="false">SUM(AZ136:AZ137)</f>
        <v>0</v>
      </c>
      <c r="BA138" s="131" t="n">
        <f aca="false">SUM(BA136:BA137)</f>
        <v>0</v>
      </c>
      <c r="BB138" s="131" t="n">
        <f aca="false">SUM(BB136:BB137)</f>
        <v>0</v>
      </c>
      <c r="BC138" s="131" t="n">
        <f aca="false">SUM(BC136:BC137)</f>
        <v>0</v>
      </c>
      <c r="BD138" s="131" t="n">
        <f aca="false">SUM(BD136:BD137)</f>
        <v>0</v>
      </c>
      <c r="BE138" s="131" t="n">
        <f aca="false">SUM(BE136:BE137)</f>
        <v>0</v>
      </c>
      <c r="BF138" s="131" t="n">
        <f aca="false">SUM(BF136:BF137)</f>
        <v>0</v>
      </c>
      <c r="BG138" s="131" t="n">
        <f aca="false">SUM(BG136:BG137)</f>
        <v>0</v>
      </c>
      <c r="BH138" s="131" t="n">
        <f aca="false">SUM(BH136:BH137)</f>
        <v>0</v>
      </c>
      <c r="BI138" s="131" t="n">
        <f aca="false">SUM(BI136:BI137)</f>
        <v>0</v>
      </c>
      <c r="BJ138" s="131" t="n">
        <f aca="false">SUM(BJ136:BJ137)</f>
        <v>0</v>
      </c>
      <c r="BK138" s="131" t="n">
        <f aca="false">SUM(BK136:BK137)</f>
        <v>0</v>
      </c>
      <c r="BL138" s="131" t="n">
        <f aca="false">SUM(BL136:BL137)</f>
        <v>0</v>
      </c>
      <c r="BM138" s="131" t="n">
        <f aca="false">SUM(BM136:BM137)</f>
        <v>0</v>
      </c>
      <c r="BN138" s="131" t="n">
        <f aca="false">SUM(BN136:BN137)</f>
        <v>0</v>
      </c>
      <c r="BO138" s="131" t="n">
        <f aca="false">SUM(BO136:BO137)</f>
        <v>0</v>
      </c>
      <c r="BP138" s="131" t="n">
        <f aca="false">SUM(BP136:BP137)</f>
        <v>0</v>
      </c>
      <c r="BQ138" s="131" t="n">
        <f aca="false">SUM(BQ136:BQ137)</f>
        <v>0</v>
      </c>
      <c r="BR138" s="131" t="n">
        <f aca="false">SUM(BR136:BR137)</f>
        <v>0</v>
      </c>
      <c r="BS138" s="131" t="n">
        <f aca="false">SUM(BS136:BS137)</f>
        <v>0</v>
      </c>
      <c r="BT138" s="131" t="n">
        <f aca="false">SUM(BT136:BT137)</f>
        <v>0</v>
      </c>
      <c r="BU138" s="131" t="n">
        <f aca="false">SUM(BU136:BU137)</f>
        <v>0</v>
      </c>
      <c r="BV138" s="131" t="n">
        <f aca="false">SUM(BV136:BV137)</f>
        <v>0</v>
      </c>
      <c r="BW138" s="131" t="n">
        <f aca="false">SUM(BW136:BW137)</f>
        <v>0</v>
      </c>
      <c r="BX138" s="131" t="n">
        <f aca="false">SUM(BX136:BX137)</f>
        <v>0</v>
      </c>
      <c r="BY138" s="131" t="n">
        <f aca="false">SUM(BY136:BY137)</f>
        <v>0</v>
      </c>
      <c r="BZ138" s="136" t="n">
        <f aca="false">SUM(BZ136:BZ137)</f>
        <v>0</v>
      </c>
      <c r="CA138" s="136" t="n">
        <f aca="false">SUM(CA136:CA137)</f>
        <v>0</v>
      </c>
      <c r="CC138" s="136" t="n">
        <f aca="false">SUM(CC136:CC137)</f>
        <v>0.105306666666667</v>
      </c>
      <c r="CD138" s="136" t="n">
        <f aca="false">SUM(CD136:CD137)</f>
        <v>0.421226666666667</v>
      </c>
      <c r="CE138" s="136" t="n">
        <f aca="false">SUM(CE136:CE137)</f>
        <v>0</v>
      </c>
      <c r="CF138" s="136" t="n">
        <f aca="false">SUM(CF136:CF137)</f>
        <v>0</v>
      </c>
      <c r="CG138" s="136" t="n">
        <f aca="false">SUM(CG136:CG137)</f>
        <v>0</v>
      </c>
      <c r="CI138" s="136" t="n">
        <f aca="false">CC138=L138</f>
        <v>1</v>
      </c>
      <c r="CJ138" s="136" t="n">
        <f aca="false">CD138=M138</f>
        <v>1</v>
      </c>
      <c r="CK138" s="136" t="n">
        <f aca="false">CE138=N138</f>
        <v>1</v>
      </c>
      <c r="CL138" s="136" t="n">
        <f aca="false">CF138=O138</f>
        <v>1</v>
      </c>
      <c r="CM138" s="136" t="n">
        <f aca="false">CG138=P138</f>
        <v>1</v>
      </c>
    </row>
    <row r="139" s="14" customFormat="true" ht="16.5" hidden="false" customHeight="true" outlineLevel="0" collapsed="false">
      <c r="L139" s="88"/>
      <c r="M139" s="88"/>
      <c r="N139" s="88"/>
      <c r="O139" s="88"/>
      <c r="P139" s="88"/>
      <c r="Q139" s="16"/>
      <c r="R139" s="16"/>
      <c r="T139" s="137"/>
      <c r="U139" s="137"/>
      <c r="V139" s="137"/>
      <c r="W139" s="137"/>
      <c r="X139" s="137"/>
      <c r="Y139" s="137"/>
      <c r="Z139" s="137"/>
      <c r="AA139" s="137"/>
      <c r="AB139" s="137"/>
      <c r="AC139" s="137"/>
      <c r="AD139" s="137"/>
      <c r="AE139" s="137"/>
      <c r="AF139" s="137"/>
      <c r="AG139" s="137"/>
      <c r="AH139" s="137"/>
      <c r="AI139" s="137"/>
      <c r="AJ139" s="137"/>
      <c r="AK139" s="137"/>
      <c r="AL139" s="137"/>
      <c r="AM139" s="137"/>
      <c r="AN139" s="137"/>
      <c r="AO139" s="137"/>
      <c r="AP139" s="137"/>
      <c r="AQ139" s="137"/>
      <c r="AR139" s="137"/>
      <c r="AS139" s="137"/>
      <c r="AT139" s="137"/>
      <c r="AU139" s="137"/>
      <c r="AV139" s="137"/>
      <c r="AW139" s="137"/>
      <c r="AX139" s="137"/>
      <c r="AY139" s="137"/>
      <c r="AZ139" s="137"/>
      <c r="BA139" s="137"/>
      <c r="BB139" s="137"/>
      <c r="BC139" s="137"/>
      <c r="BD139" s="137"/>
      <c r="BE139" s="137"/>
      <c r="BF139" s="137"/>
      <c r="BG139" s="137"/>
      <c r="BH139" s="137"/>
      <c r="BI139" s="137"/>
      <c r="BJ139" s="137"/>
      <c r="BK139" s="137"/>
      <c r="BL139" s="137"/>
      <c r="BM139" s="137"/>
      <c r="BN139" s="137"/>
      <c r="BO139" s="137"/>
      <c r="BP139" s="137"/>
      <c r="BQ139" s="137"/>
      <c r="BR139" s="137"/>
      <c r="BS139" s="137"/>
      <c r="BT139" s="137"/>
      <c r="BU139" s="137"/>
      <c r="BV139" s="137"/>
      <c r="BW139" s="137"/>
      <c r="BX139" s="137"/>
      <c r="BY139" s="137"/>
      <c r="BZ139" s="121"/>
      <c r="CA139" s="121"/>
    </row>
    <row r="140" s="14" customFormat="true" ht="16.5" hidden="false" customHeight="true" outlineLevel="0" collapsed="false">
      <c r="E140" s="21" t="s">
        <v>151</v>
      </c>
      <c r="L140" s="88"/>
      <c r="M140" s="88"/>
      <c r="N140" s="88"/>
      <c r="O140" s="88"/>
      <c r="P140" s="88"/>
      <c r="Q140" s="16"/>
      <c r="R140" s="16"/>
      <c r="T140" s="137"/>
      <c r="U140" s="137"/>
      <c r="V140" s="137"/>
      <c r="W140" s="137"/>
      <c r="X140" s="137"/>
      <c r="Y140" s="137"/>
      <c r="Z140" s="137"/>
      <c r="AA140" s="137"/>
      <c r="AB140" s="137"/>
      <c r="AC140" s="137"/>
      <c r="AD140" s="137"/>
      <c r="AE140" s="137"/>
      <c r="AF140" s="137"/>
      <c r="AG140" s="137"/>
      <c r="AH140" s="137"/>
      <c r="AI140" s="137"/>
      <c r="AJ140" s="137"/>
      <c r="AK140" s="137"/>
      <c r="AL140" s="137"/>
      <c r="AM140" s="137"/>
      <c r="AN140" s="137"/>
      <c r="AO140" s="137"/>
      <c r="AP140" s="137"/>
      <c r="AQ140" s="137"/>
      <c r="AR140" s="137"/>
      <c r="AS140" s="137"/>
      <c r="AT140" s="137"/>
      <c r="AU140" s="137"/>
      <c r="AV140" s="137"/>
      <c r="AW140" s="137"/>
      <c r="AX140" s="137"/>
      <c r="AY140" s="137"/>
      <c r="AZ140" s="137"/>
      <c r="BA140" s="137"/>
      <c r="BB140" s="137"/>
      <c r="BC140" s="137"/>
      <c r="BD140" s="137"/>
      <c r="BE140" s="137"/>
      <c r="BF140" s="137"/>
      <c r="BG140" s="137"/>
      <c r="BH140" s="137"/>
      <c r="BI140" s="137"/>
      <c r="BJ140" s="137"/>
      <c r="BK140" s="137"/>
      <c r="BL140" s="137"/>
      <c r="BM140" s="137"/>
      <c r="BN140" s="137"/>
      <c r="BO140" s="137"/>
      <c r="BP140" s="137"/>
      <c r="BQ140" s="137"/>
      <c r="BR140" s="137"/>
      <c r="BS140" s="137"/>
      <c r="BT140" s="137"/>
      <c r="BU140" s="137"/>
      <c r="BV140" s="137"/>
      <c r="BW140" s="137"/>
      <c r="BX140" s="137"/>
      <c r="BY140" s="137"/>
      <c r="BZ140" s="121"/>
      <c r="CA140" s="121"/>
    </row>
    <row r="141" s="14" customFormat="true" ht="16.5" hidden="false" customHeight="true" outlineLevel="0" collapsed="false">
      <c r="E141" s="91" t="s">
        <v>351</v>
      </c>
      <c r="K141" s="29"/>
      <c r="L141" s="208" t="n">
        <f aca="false">'SDLC-1 Model'!L93</f>
        <v>0.15796</v>
      </c>
      <c r="M141" s="208" t="n">
        <f aca="false">'SDLC-1 Model'!M93</f>
        <v>0.598931666666667</v>
      </c>
      <c r="N141" s="208" t="n">
        <f aca="false">'SDLC-1 Model'!N93</f>
        <v>0</v>
      </c>
      <c r="O141" s="208" t="n">
        <f aca="false">'SDLC-1 Model'!O93</f>
        <v>0</v>
      </c>
      <c r="P141" s="208" t="n">
        <f aca="false">'SDLC-1 Model'!P93</f>
        <v>0</v>
      </c>
      <c r="Q141" s="93" t="s">
        <v>251</v>
      </c>
      <c r="R141" s="16"/>
      <c r="T141" s="220" t="n">
        <f aca="false">'SDLC-1 Model'!T93</f>
        <v>0</v>
      </c>
      <c r="U141" s="220" t="n">
        <f aca="false">'SDLC-1 Model'!U93</f>
        <v>0</v>
      </c>
      <c r="V141" s="220" t="n">
        <f aca="false">'SDLC-1 Model'!V93</f>
        <v>0</v>
      </c>
      <c r="W141" s="220" t="n">
        <f aca="false">'SDLC-1 Model'!W93</f>
        <v>0</v>
      </c>
      <c r="X141" s="220" t="n">
        <f aca="false">'SDLC-1 Model'!X93</f>
        <v>0</v>
      </c>
      <c r="Y141" s="220" t="n">
        <f aca="false">'SDLC-1 Model'!Y93</f>
        <v>0</v>
      </c>
      <c r="Z141" s="220" t="n">
        <f aca="false">'SDLC-1 Model'!Z93</f>
        <v>0</v>
      </c>
      <c r="AA141" s="220" t="n">
        <f aca="false">'SDLC-1 Model'!AA93</f>
        <v>0</v>
      </c>
      <c r="AB141" s="220" t="n">
        <f aca="false">'SDLC-1 Model'!AB93</f>
        <v>0</v>
      </c>
      <c r="AC141" s="220" t="n">
        <f aca="false">'SDLC-1 Model'!AC93</f>
        <v>0.0658166666666667</v>
      </c>
      <c r="AD141" s="220" t="n">
        <f aca="false">'SDLC-1 Model'!AD93</f>
        <v>0.0658166666666667</v>
      </c>
      <c r="AE141" s="220" t="n">
        <f aca="false">'SDLC-1 Model'!AE93</f>
        <v>0.0263266666666667</v>
      </c>
      <c r="AF141" s="220" t="n">
        <f aca="false">'SDLC-1 Model'!AF93</f>
        <v>0.0263266666666667</v>
      </c>
      <c r="AG141" s="220" t="n">
        <f aca="false">'SDLC-1 Model'!AG93</f>
        <v>0.0263266666666667</v>
      </c>
      <c r="AH141" s="220" t="n">
        <f aca="false">'SDLC-1 Model'!AH93</f>
        <v>0.0263266666666667</v>
      </c>
      <c r="AI141" s="220" t="n">
        <f aca="false">'SDLC-1 Model'!AI93</f>
        <v>0.0263266666666667</v>
      </c>
      <c r="AJ141" s="220" t="n">
        <f aca="false">'SDLC-1 Model'!AJ93</f>
        <v>0.0822708333333333</v>
      </c>
      <c r="AK141" s="220" t="n">
        <f aca="false">'SDLC-1 Model'!AK93</f>
        <v>0.0822708333333333</v>
      </c>
      <c r="AL141" s="220" t="n">
        <f aca="false">'SDLC-1 Model'!AL93</f>
        <v>0.0822708333333333</v>
      </c>
      <c r="AM141" s="220" t="n">
        <f aca="false">'SDLC-1 Model'!AM93</f>
        <v>0.0822708333333333</v>
      </c>
      <c r="AN141" s="220" t="n">
        <f aca="false">'SDLC-1 Model'!AN93</f>
        <v>0.0822708333333333</v>
      </c>
      <c r="AO141" s="220" t="n">
        <f aca="false">'SDLC-1 Model'!AO93</f>
        <v>0.0822708333333333</v>
      </c>
      <c r="AP141" s="220" t="n">
        <f aca="false">'SDLC-1 Model'!AP93</f>
        <v>0</v>
      </c>
      <c r="AQ141" s="220" t="n">
        <f aca="false">'SDLC-1 Model'!AQ93</f>
        <v>0</v>
      </c>
      <c r="AR141" s="220" t="n">
        <f aca="false">'SDLC-1 Model'!AR93</f>
        <v>0</v>
      </c>
      <c r="AS141" s="220" t="n">
        <f aca="false">'SDLC-1 Model'!AS93</f>
        <v>0</v>
      </c>
      <c r="AT141" s="220" t="n">
        <f aca="false">'SDLC-1 Model'!AT93</f>
        <v>0</v>
      </c>
      <c r="AU141" s="220" t="n">
        <f aca="false">'SDLC-1 Model'!AU93</f>
        <v>0</v>
      </c>
      <c r="AV141" s="220" t="n">
        <f aca="false">'SDLC-1 Model'!AV93</f>
        <v>0</v>
      </c>
      <c r="AW141" s="220" t="n">
        <f aca="false">'SDLC-1 Model'!AW93</f>
        <v>0</v>
      </c>
      <c r="AX141" s="220" t="n">
        <f aca="false">'SDLC-1 Model'!AX93</f>
        <v>0</v>
      </c>
      <c r="AY141" s="220" t="n">
        <f aca="false">'SDLC-1 Model'!AY93</f>
        <v>0</v>
      </c>
      <c r="AZ141" s="220" t="n">
        <f aca="false">'SDLC-1 Model'!AZ93</f>
        <v>0</v>
      </c>
      <c r="BA141" s="220" t="n">
        <f aca="false">'SDLC-1 Model'!BA93</f>
        <v>0</v>
      </c>
      <c r="BB141" s="220" t="n">
        <f aca="false">'SDLC-1 Model'!BB93</f>
        <v>0</v>
      </c>
      <c r="BC141" s="220" t="n">
        <f aca="false">'SDLC-1 Model'!BC93</f>
        <v>0</v>
      </c>
      <c r="BD141" s="220" t="n">
        <f aca="false">'SDLC-1 Model'!BD93</f>
        <v>0</v>
      </c>
      <c r="BE141" s="220" t="n">
        <f aca="false">'SDLC-1 Model'!BE93</f>
        <v>0</v>
      </c>
      <c r="BF141" s="220" t="n">
        <f aca="false">'SDLC-1 Model'!BF93</f>
        <v>0</v>
      </c>
      <c r="BG141" s="220" t="n">
        <f aca="false">'SDLC-1 Model'!BG93</f>
        <v>0</v>
      </c>
      <c r="BH141" s="220" t="n">
        <f aca="false">'SDLC-1 Model'!BH93</f>
        <v>0</v>
      </c>
      <c r="BI141" s="220" t="n">
        <f aca="false">'SDLC-1 Model'!BI93</f>
        <v>0</v>
      </c>
      <c r="BJ141" s="220" t="n">
        <f aca="false">'SDLC-1 Model'!BJ93</f>
        <v>0</v>
      </c>
      <c r="BK141" s="220" t="n">
        <f aca="false">'SDLC-1 Model'!BK93</f>
        <v>0</v>
      </c>
      <c r="BL141" s="220" t="n">
        <f aca="false">'SDLC-1 Model'!BL93</f>
        <v>0</v>
      </c>
      <c r="BM141" s="220" t="n">
        <f aca="false">'SDLC-1 Model'!BM93</f>
        <v>0</v>
      </c>
      <c r="BN141" s="220" t="n">
        <f aca="false">'SDLC-1 Model'!BN93</f>
        <v>0</v>
      </c>
      <c r="BO141" s="220" t="n">
        <f aca="false">'SDLC-1 Model'!BO93</f>
        <v>0</v>
      </c>
      <c r="BP141" s="220" t="n">
        <f aca="false">'SDLC-1 Model'!BP93</f>
        <v>0</v>
      </c>
      <c r="BQ141" s="220" t="n">
        <f aca="false">'SDLC-1 Model'!BQ93</f>
        <v>0</v>
      </c>
      <c r="BR141" s="220" t="n">
        <f aca="false">'SDLC-1 Model'!BR93</f>
        <v>0</v>
      </c>
      <c r="BS141" s="220" t="n">
        <f aca="false">'SDLC-1 Model'!BS93</f>
        <v>0</v>
      </c>
      <c r="BT141" s="220" t="n">
        <f aca="false">'SDLC-1 Model'!BT93</f>
        <v>0</v>
      </c>
      <c r="BU141" s="220" t="n">
        <f aca="false">'SDLC-1 Model'!BU93</f>
        <v>0</v>
      </c>
      <c r="BV141" s="220" t="n">
        <f aca="false">'SDLC-1 Model'!BV93</f>
        <v>0</v>
      </c>
      <c r="BW141" s="220" t="n">
        <f aca="false">'SDLC-1 Model'!BW93</f>
        <v>0</v>
      </c>
      <c r="BX141" s="220" t="n">
        <f aca="false">'SDLC-1 Model'!BX93</f>
        <v>0</v>
      </c>
      <c r="BY141" s="220" t="n">
        <f aca="false">'SDLC-1 Model'!BY93</f>
        <v>0</v>
      </c>
      <c r="BZ141" s="222" t="n">
        <f aca="false">'SDLC-1 Model'!BZ93</f>
        <v>0</v>
      </c>
      <c r="CA141" s="222" t="n">
        <f aca="false">'SDLC-1 Model'!CA93</f>
        <v>0</v>
      </c>
      <c r="CC141" s="79" t="n">
        <f aca="false">SUMIFS($T141:$CA141, $T$1:$CA$1, CC$63)</f>
        <v>0.15796</v>
      </c>
      <c r="CD141" s="79" t="n">
        <f aca="false">SUMIFS($T141:$CA141, $T$1:$CA$1, CD$63)</f>
        <v>0.598931666666667</v>
      </c>
      <c r="CE141" s="79" t="n">
        <f aca="false">SUMIFS($T141:$CA141, $T$1:$CA$1, CE$63)</f>
        <v>0</v>
      </c>
      <c r="CF141" s="79" t="n">
        <f aca="false">SUMIFS($T141:$CA141, $T$1:$CA$1, CF$63)</f>
        <v>0</v>
      </c>
      <c r="CG141" s="79" t="n">
        <f aca="false">SUMIFS($T141:$CA141, $T$1:$CA$1, CG$63)</f>
        <v>0</v>
      </c>
      <c r="CI141" s="79" t="n">
        <f aca="false">CC141=L141</f>
        <v>1</v>
      </c>
      <c r="CJ141" s="79" t="n">
        <f aca="false">CD141=M141</f>
        <v>1</v>
      </c>
      <c r="CK141" s="79" t="n">
        <f aca="false">CE141=N141</f>
        <v>1</v>
      </c>
      <c r="CL141" s="79" t="n">
        <f aca="false">CF141=O141</f>
        <v>1</v>
      </c>
      <c r="CM141" s="79" t="n">
        <f aca="false">CG141=P141</f>
        <v>1</v>
      </c>
    </row>
    <row r="142" s="14" customFormat="true" ht="16.5" hidden="false" customHeight="true" outlineLevel="0" collapsed="false">
      <c r="E142" s="91" t="s">
        <v>352</v>
      </c>
      <c r="L142" s="208" t="n">
        <f aca="false">'SDLC-1 Model'!L94</f>
        <v>0.0804279666666667</v>
      </c>
      <c r="M142" s="208" t="n">
        <f aca="false">'SDLC-1 Model'!M94</f>
        <v>0.160855933333333</v>
      </c>
      <c r="N142" s="208" t="n">
        <f aca="false">'SDLC-1 Model'!N94</f>
        <v>0</v>
      </c>
      <c r="O142" s="208" t="n">
        <f aca="false">'SDLC-1 Model'!O94</f>
        <v>0</v>
      </c>
      <c r="P142" s="208" t="n">
        <f aca="false">'SDLC-1 Model'!P94</f>
        <v>0</v>
      </c>
      <c r="Q142" s="93" t="s">
        <v>251</v>
      </c>
      <c r="R142" s="16"/>
      <c r="T142" s="220" t="n">
        <f aca="false">'SDLC-1 Model'!T94</f>
        <v>0</v>
      </c>
      <c r="U142" s="220" t="n">
        <f aca="false">'SDLC-1 Model'!U94</f>
        <v>0</v>
      </c>
      <c r="V142" s="220" t="n">
        <f aca="false">'SDLC-1 Model'!V94</f>
        <v>0</v>
      </c>
      <c r="W142" s="220" t="n">
        <f aca="false">'SDLC-1 Model'!W94</f>
        <v>0</v>
      </c>
      <c r="X142" s="220" t="n">
        <f aca="false">'SDLC-1 Model'!X94</f>
        <v>0</v>
      </c>
      <c r="Y142" s="220" t="n">
        <f aca="false">'SDLC-1 Model'!Y94</f>
        <v>0</v>
      </c>
      <c r="Z142" s="220" t="n">
        <f aca="false">'SDLC-1 Model'!Z94</f>
        <v>0</v>
      </c>
      <c r="AA142" s="220" t="n">
        <f aca="false">'SDLC-1 Model'!AA94</f>
        <v>0</v>
      </c>
      <c r="AB142" s="220" t="n">
        <f aca="false">'SDLC-1 Model'!AB94</f>
        <v>0</v>
      </c>
      <c r="AC142" s="220" t="n">
        <f aca="false">'SDLC-1 Model'!AC94</f>
        <v>0.0268093222222222</v>
      </c>
      <c r="AD142" s="220" t="n">
        <f aca="false">'SDLC-1 Model'!AD94</f>
        <v>0.0268093222222222</v>
      </c>
      <c r="AE142" s="220" t="n">
        <f aca="false">'SDLC-1 Model'!AE94</f>
        <v>0.0268093222222222</v>
      </c>
      <c r="AF142" s="220" t="n">
        <f aca="false">'SDLC-1 Model'!AF94</f>
        <v>0.0268093222222222</v>
      </c>
      <c r="AG142" s="220" t="n">
        <f aca="false">'SDLC-1 Model'!AG94</f>
        <v>0.0268093222222222</v>
      </c>
      <c r="AH142" s="220" t="n">
        <f aca="false">'SDLC-1 Model'!AH94</f>
        <v>0.0268093222222222</v>
      </c>
      <c r="AI142" s="220" t="n">
        <f aca="false">'SDLC-1 Model'!AI94</f>
        <v>0.0268093222222222</v>
      </c>
      <c r="AJ142" s="220" t="n">
        <f aca="false">'SDLC-1 Model'!AJ94</f>
        <v>0.0268093222222222</v>
      </c>
      <c r="AK142" s="220" t="n">
        <f aca="false">'SDLC-1 Model'!AK94</f>
        <v>0.0268093222222222</v>
      </c>
      <c r="AL142" s="220" t="n">
        <f aca="false">'SDLC-1 Model'!AL94</f>
        <v>0</v>
      </c>
      <c r="AM142" s="220" t="n">
        <f aca="false">'SDLC-1 Model'!AM94</f>
        <v>0</v>
      </c>
      <c r="AN142" s="220" t="n">
        <f aca="false">'SDLC-1 Model'!AN94</f>
        <v>0</v>
      </c>
      <c r="AO142" s="220" t="n">
        <f aca="false">'SDLC-1 Model'!AO94</f>
        <v>0</v>
      </c>
      <c r="AP142" s="220" t="n">
        <f aca="false">'SDLC-1 Model'!AP94</f>
        <v>0</v>
      </c>
      <c r="AQ142" s="220" t="n">
        <f aca="false">'SDLC-1 Model'!AQ94</f>
        <v>0</v>
      </c>
      <c r="AR142" s="220" t="n">
        <f aca="false">'SDLC-1 Model'!AR94</f>
        <v>0</v>
      </c>
      <c r="AS142" s="220" t="n">
        <f aca="false">'SDLC-1 Model'!AS94</f>
        <v>0</v>
      </c>
      <c r="AT142" s="220" t="n">
        <f aca="false">'SDLC-1 Model'!AT94</f>
        <v>0</v>
      </c>
      <c r="AU142" s="220" t="n">
        <f aca="false">'SDLC-1 Model'!AU94</f>
        <v>0</v>
      </c>
      <c r="AV142" s="220" t="n">
        <f aca="false">'SDLC-1 Model'!AV94</f>
        <v>0</v>
      </c>
      <c r="AW142" s="220" t="n">
        <f aca="false">'SDLC-1 Model'!AW94</f>
        <v>0</v>
      </c>
      <c r="AX142" s="220" t="n">
        <f aca="false">'SDLC-1 Model'!AX94</f>
        <v>0</v>
      </c>
      <c r="AY142" s="220" t="n">
        <f aca="false">'SDLC-1 Model'!AY94</f>
        <v>0</v>
      </c>
      <c r="AZ142" s="220" t="n">
        <f aca="false">'SDLC-1 Model'!AZ94</f>
        <v>0</v>
      </c>
      <c r="BA142" s="220" t="n">
        <f aca="false">'SDLC-1 Model'!BA94</f>
        <v>0</v>
      </c>
      <c r="BB142" s="220" t="n">
        <f aca="false">'SDLC-1 Model'!BB94</f>
        <v>0</v>
      </c>
      <c r="BC142" s="220" t="n">
        <f aca="false">'SDLC-1 Model'!BC94</f>
        <v>0</v>
      </c>
      <c r="BD142" s="220" t="n">
        <f aca="false">'SDLC-1 Model'!BD94</f>
        <v>0</v>
      </c>
      <c r="BE142" s="220" t="n">
        <f aca="false">'SDLC-1 Model'!BE94</f>
        <v>0</v>
      </c>
      <c r="BF142" s="220" t="n">
        <f aca="false">'SDLC-1 Model'!BF94</f>
        <v>0</v>
      </c>
      <c r="BG142" s="220" t="n">
        <f aca="false">'SDLC-1 Model'!BG94</f>
        <v>0</v>
      </c>
      <c r="BH142" s="220" t="n">
        <f aca="false">'SDLC-1 Model'!BH94</f>
        <v>0</v>
      </c>
      <c r="BI142" s="220" t="n">
        <f aca="false">'SDLC-1 Model'!BI94</f>
        <v>0</v>
      </c>
      <c r="BJ142" s="220" t="n">
        <f aca="false">'SDLC-1 Model'!BJ94</f>
        <v>0</v>
      </c>
      <c r="BK142" s="220" t="n">
        <f aca="false">'SDLC-1 Model'!BK94</f>
        <v>0</v>
      </c>
      <c r="BL142" s="220" t="n">
        <f aca="false">'SDLC-1 Model'!BL94</f>
        <v>0</v>
      </c>
      <c r="BM142" s="220" t="n">
        <f aca="false">'SDLC-1 Model'!BM94</f>
        <v>0</v>
      </c>
      <c r="BN142" s="220" t="n">
        <f aca="false">'SDLC-1 Model'!BN94</f>
        <v>0</v>
      </c>
      <c r="BO142" s="220" t="n">
        <f aca="false">'SDLC-1 Model'!BO94</f>
        <v>0</v>
      </c>
      <c r="BP142" s="220" t="n">
        <f aca="false">'SDLC-1 Model'!BP94</f>
        <v>0</v>
      </c>
      <c r="BQ142" s="220" t="n">
        <f aca="false">'SDLC-1 Model'!BQ94</f>
        <v>0</v>
      </c>
      <c r="BR142" s="220" t="n">
        <f aca="false">'SDLC-1 Model'!BR94</f>
        <v>0</v>
      </c>
      <c r="BS142" s="220" t="n">
        <f aca="false">'SDLC-1 Model'!BS94</f>
        <v>0</v>
      </c>
      <c r="BT142" s="220" t="n">
        <f aca="false">'SDLC-1 Model'!BT94</f>
        <v>0</v>
      </c>
      <c r="BU142" s="220" t="n">
        <f aca="false">'SDLC-1 Model'!BU94</f>
        <v>0</v>
      </c>
      <c r="BV142" s="220" t="n">
        <f aca="false">'SDLC-1 Model'!BV94</f>
        <v>0</v>
      </c>
      <c r="BW142" s="220" t="n">
        <f aca="false">'SDLC-1 Model'!BW94</f>
        <v>0</v>
      </c>
      <c r="BX142" s="220" t="n">
        <f aca="false">'SDLC-1 Model'!BX94</f>
        <v>0</v>
      </c>
      <c r="BY142" s="220" t="n">
        <f aca="false">'SDLC-1 Model'!BY94</f>
        <v>0</v>
      </c>
      <c r="BZ142" s="222" t="n">
        <f aca="false">'SDLC-1 Model'!BZ94</f>
        <v>0</v>
      </c>
      <c r="CA142" s="222" t="n">
        <f aca="false">'SDLC-1 Model'!CA94</f>
        <v>0</v>
      </c>
      <c r="CC142" s="79" t="n">
        <f aca="false">SUMIFS($T142:$CA142, $T$1:$CA$1, CC$63)</f>
        <v>0.0804279666666667</v>
      </c>
      <c r="CD142" s="79" t="n">
        <f aca="false">SUMIFS($T142:$CA142, $T$1:$CA$1, CD$63)</f>
        <v>0.160855933333333</v>
      </c>
      <c r="CE142" s="79" t="n">
        <f aca="false">SUMIFS($T142:$CA142, $T$1:$CA$1, CE$63)</f>
        <v>0</v>
      </c>
      <c r="CF142" s="79" t="n">
        <f aca="false">SUMIFS($T142:$CA142, $T$1:$CA$1, CF$63)</f>
        <v>0</v>
      </c>
      <c r="CG142" s="79" t="n">
        <f aca="false">SUMIFS($T142:$CA142, $T$1:$CA$1, CG$63)</f>
        <v>0</v>
      </c>
      <c r="CI142" s="79" t="n">
        <f aca="false">CC142=L142</f>
        <v>1</v>
      </c>
      <c r="CJ142" s="79" t="n">
        <f aca="false">CD142=M142</f>
        <v>1</v>
      </c>
      <c r="CK142" s="79" t="n">
        <f aca="false">CE142=N142</f>
        <v>1</v>
      </c>
      <c r="CL142" s="79" t="n">
        <f aca="false">CF142=O142</f>
        <v>1</v>
      </c>
      <c r="CM142" s="79" t="n">
        <f aca="false">CG142=P142</f>
        <v>1</v>
      </c>
    </row>
    <row r="143" s="14" customFormat="true" ht="16.5" hidden="false" customHeight="true" outlineLevel="0" collapsed="false">
      <c r="E143" s="91"/>
      <c r="L143" s="91"/>
      <c r="M143" s="91"/>
      <c r="N143" s="91"/>
      <c r="O143" s="91"/>
      <c r="P143" s="91"/>
      <c r="Q143" s="93"/>
      <c r="R143" s="16"/>
      <c r="T143" s="135"/>
      <c r="U143" s="135"/>
      <c r="V143" s="135"/>
      <c r="W143" s="135"/>
      <c r="X143" s="135"/>
      <c r="Y143" s="135"/>
      <c r="Z143" s="135"/>
      <c r="AA143" s="135"/>
      <c r="AB143" s="135"/>
      <c r="AC143" s="135"/>
      <c r="AD143" s="135"/>
      <c r="AE143" s="135"/>
      <c r="AF143" s="135"/>
      <c r="AG143" s="135"/>
      <c r="AH143" s="135"/>
      <c r="AI143" s="135"/>
      <c r="AJ143" s="135"/>
      <c r="AK143" s="135"/>
      <c r="AL143" s="135"/>
      <c r="AM143" s="135"/>
      <c r="AN143" s="135"/>
      <c r="AO143" s="135"/>
      <c r="AP143" s="135"/>
      <c r="AQ143" s="135"/>
      <c r="AR143" s="135"/>
      <c r="AS143" s="135"/>
      <c r="AT143" s="135"/>
      <c r="AU143" s="135"/>
      <c r="AV143" s="135"/>
      <c r="AW143" s="135"/>
      <c r="AX143" s="135"/>
      <c r="AY143" s="135"/>
      <c r="AZ143" s="135"/>
      <c r="BA143" s="135"/>
      <c r="BB143" s="135"/>
      <c r="BC143" s="135"/>
      <c r="BD143" s="135"/>
      <c r="BE143" s="135"/>
      <c r="BF143" s="135"/>
      <c r="BG143" s="135"/>
      <c r="BH143" s="135"/>
      <c r="BI143" s="135"/>
      <c r="BJ143" s="135"/>
      <c r="BK143" s="135"/>
      <c r="BL143" s="135"/>
      <c r="BM143" s="135"/>
      <c r="BN143" s="135"/>
      <c r="BO143" s="135"/>
      <c r="BP143" s="135"/>
      <c r="BQ143" s="135"/>
      <c r="BR143" s="135"/>
      <c r="BS143" s="135"/>
      <c r="BT143" s="135"/>
      <c r="BU143" s="135"/>
      <c r="BV143" s="135"/>
      <c r="BW143" s="135"/>
      <c r="BX143" s="135"/>
      <c r="BY143" s="135"/>
      <c r="BZ143" s="138"/>
      <c r="CA143" s="138"/>
      <c r="CC143" s="79" t="n">
        <f aca="false">SUMIFS($T143:$CA143, $T$1:$CA$1, CC$63)</f>
        <v>0</v>
      </c>
      <c r="CD143" s="79" t="n">
        <f aca="false">SUMIFS($T143:$CA143, $T$1:$CA$1, CD$63)</f>
        <v>0</v>
      </c>
      <c r="CE143" s="79" t="n">
        <f aca="false">SUMIFS($T143:$CA143, $T$1:$CA$1, CE$63)</f>
        <v>0</v>
      </c>
      <c r="CF143" s="79" t="n">
        <f aca="false">SUMIFS($T143:$CA143, $T$1:$CA$1, CF$63)</f>
        <v>0</v>
      </c>
      <c r="CG143" s="79" t="n">
        <f aca="false">SUMIFS($T143:$CA143, $T$1:$CA$1, CG$63)</f>
        <v>0</v>
      </c>
      <c r="CI143" s="79" t="n">
        <f aca="false">CC143=L143</f>
        <v>1</v>
      </c>
      <c r="CJ143" s="79" t="n">
        <f aca="false">CD143=M143</f>
        <v>1</v>
      </c>
      <c r="CK143" s="79" t="n">
        <f aca="false">CE143=N143</f>
        <v>1</v>
      </c>
      <c r="CL143" s="79" t="n">
        <f aca="false">CF143=O143</f>
        <v>1</v>
      </c>
      <c r="CM143" s="79" t="n">
        <f aca="false">CG143=P143</f>
        <v>1</v>
      </c>
    </row>
    <row r="144" s="14" customFormat="true" ht="16.5" hidden="false" customHeight="true" outlineLevel="0" collapsed="false">
      <c r="E144" s="96" t="s">
        <v>152</v>
      </c>
      <c r="L144" s="82" t="n">
        <f aca="false">SUM(L141:L143)</f>
        <v>0.238387966666667</v>
      </c>
      <c r="M144" s="82" t="n">
        <f aca="false">SUM(M141:M143)</f>
        <v>0.7597876</v>
      </c>
      <c r="N144" s="82" t="n">
        <f aca="false">SUM(N141:N143)</f>
        <v>0</v>
      </c>
      <c r="O144" s="82" t="n">
        <f aca="false">SUM(O141:O143)</f>
        <v>0</v>
      </c>
      <c r="P144" s="82" t="n">
        <f aca="false">SUM(P141:P143)</f>
        <v>0</v>
      </c>
      <c r="Q144" s="16"/>
      <c r="R144" s="16"/>
      <c r="T144" s="131" t="n">
        <f aca="false">SUM(T141:T143)</f>
        <v>0</v>
      </c>
      <c r="U144" s="131" t="n">
        <f aca="false">SUM(U141:U143)</f>
        <v>0</v>
      </c>
      <c r="V144" s="131" t="n">
        <f aca="false">SUM(V141:V143)</f>
        <v>0</v>
      </c>
      <c r="W144" s="131" t="n">
        <f aca="false">SUM(W141:W143)</f>
        <v>0</v>
      </c>
      <c r="X144" s="131" t="n">
        <f aca="false">SUM(X141:X143)</f>
        <v>0</v>
      </c>
      <c r="Y144" s="131" t="n">
        <f aca="false">SUM(Y141:Y143)</f>
        <v>0</v>
      </c>
      <c r="Z144" s="131" t="n">
        <f aca="false">SUM(Z141:Z143)</f>
        <v>0</v>
      </c>
      <c r="AA144" s="131" t="n">
        <f aca="false">SUM(AA141:AA143)</f>
        <v>0</v>
      </c>
      <c r="AB144" s="131" t="n">
        <f aca="false">SUM(AB141:AB143)</f>
        <v>0</v>
      </c>
      <c r="AC144" s="131" t="n">
        <f aca="false">SUM(AC141:AC143)</f>
        <v>0.0926259888888889</v>
      </c>
      <c r="AD144" s="131" t="n">
        <f aca="false">SUM(AD141:AD143)</f>
        <v>0.0926259888888889</v>
      </c>
      <c r="AE144" s="131" t="n">
        <f aca="false">SUM(AE141:AE143)</f>
        <v>0.0531359888888889</v>
      </c>
      <c r="AF144" s="131" t="n">
        <f aca="false">SUM(AF141:AF143)</f>
        <v>0.0531359888888889</v>
      </c>
      <c r="AG144" s="131" t="n">
        <f aca="false">SUM(AG141:AG143)</f>
        <v>0.0531359888888889</v>
      </c>
      <c r="AH144" s="131" t="n">
        <f aca="false">SUM(AH141:AH143)</f>
        <v>0.0531359888888889</v>
      </c>
      <c r="AI144" s="131" t="n">
        <f aca="false">SUM(AI141:AI143)</f>
        <v>0.0531359888888889</v>
      </c>
      <c r="AJ144" s="131" t="n">
        <f aca="false">SUM(AJ141:AJ143)</f>
        <v>0.109080155555556</v>
      </c>
      <c r="AK144" s="131" t="n">
        <f aca="false">SUM(AK141:AK143)</f>
        <v>0.109080155555556</v>
      </c>
      <c r="AL144" s="131" t="n">
        <f aca="false">SUM(AL141:AL143)</f>
        <v>0.0822708333333333</v>
      </c>
      <c r="AM144" s="131" t="n">
        <f aca="false">SUM(AM141:AM143)</f>
        <v>0.0822708333333333</v>
      </c>
      <c r="AN144" s="131" t="n">
        <f aca="false">SUM(AN141:AN143)</f>
        <v>0.0822708333333333</v>
      </c>
      <c r="AO144" s="131" t="n">
        <f aca="false">SUM(AO141:AO143)</f>
        <v>0.0822708333333333</v>
      </c>
      <c r="AP144" s="131" t="n">
        <f aca="false">SUM(AP141:AP143)</f>
        <v>0</v>
      </c>
      <c r="AQ144" s="131" t="n">
        <f aca="false">SUM(AQ141:AQ143)</f>
        <v>0</v>
      </c>
      <c r="AR144" s="131" t="n">
        <f aca="false">SUM(AR141:AR143)</f>
        <v>0</v>
      </c>
      <c r="AS144" s="131" t="n">
        <f aca="false">SUM(AS141:AS143)</f>
        <v>0</v>
      </c>
      <c r="AT144" s="131" t="n">
        <f aca="false">SUM(AT141:AT143)</f>
        <v>0</v>
      </c>
      <c r="AU144" s="131" t="n">
        <f aca="false">SUM(AU141:AU143)</f>
        <v>0</v>
      </c>
      <c r="AV144" s="131" t="n">
        <f aca="false">SUM(AV141:AV143)</f>
        <v>0</v>
      </c>
      <c r="AW144" s="131" t="n">
        <f aca="false">SUM(AW141:AW143)</f>
        <v>0</v>
      </c>
      <c r="AX144" s="131" t="n">
        <f aca="false">SUM(AX141:AX143)</f>
        <v>0</v>
      </c>
      <c r="AY144" s="131" t="n">
        <f aca="false">SUM(AY141:AY143)</f>
        <v>0</v>
      </c>
      <c r="AZ144" s="131" t="n">
        <f aca="false">SUM(AZ141:AZ143)</f>
        <v>0</v>
      </c>
      <c r="BA144" s="131" t="n">
        <f aca="false">SUM(BA141:BA143)</f>
        <v>0</v>
      </c>
      <c r="BB144" s="131" t="n">
        <f aca="false">SUM(BB141:BB143)</f>
        <v>0</v>
      </c>
      <c r="BC144" s="131" t="n">
        <f aca="false">SUM(BC141:BC143)</f>
        <v>0</v>
      </c>
      <c r="BD144" s="131" t="n">
        <f aca="false">SUM(BD141:BD143)</f>
        <v>0</v>
      </c>
      <c r="BE144" s="131" t="n">
        <f aca="false">SUM(BE141:BE143)</f>
        <v>0</v>
      </c>
      <c r="BF144" s="131" t="n">
        <f aca="false">SUM(BF141:BF143)</f>
        <v>0</v>
      </c>
      <c r="BG144" s="131" t="n">
        <f aca="false">SUM(BG141:BG143)</f>
        <v>0</v>
      </c>
      <c r="BH144" s="131" t="n">
        <f aca="false">SUM(BH141:BH143)</f>
        <v>0</v>
      </c>
      <c r="BI144" s="131" t="n">
        <f aca="false">SUM(BI141:BI143)</f>
        <v>0</v>
      </c>
      <c r="BJ144" s="131" t="n">
        <f aca="false">SUM(BJ141:BJ143)</f>
        <v>0</v>
      </c>
      <c r="BK144" s="131" t="n">
        <f aca="false">SUM(BK141:BK143)</f>
        <v>0</v>
      </c>
      <c r="BL144" s="131" t="n">
        <f aca="false">SUM(BL141:BL143)</f>
        <v>0</v>
      </c>
      <c r="BM144" s="131" t="n">
        <f aca="false">SUM(BM141:BM143)</f>
        <v>0</v>
      </c>
      <c r="BN144" s="131" t="n">
        <f aca="false">SUM(BN141:BN143)</f>
        <v>0</v>
      </c>
      <c r="BO144" s="131" t="n">
        <f aca="false">SUM(BO141:BO143)</f>
        <v>0</v>
      </c>
      <c r="BP144" s="131" t="n">
        <f aca="false">SUM(BP141:BP143)</f>
        <v>0</v>
      </c>
      <c r="BQ144" s="131" t="n">
        <f aca="false">SUM(BQ141:BQ143)</f>
        <v>0</v>
      </c>
      <c r="BR144" s="131" t="n">
        <f aca="false">SUM(BR141:BR143)</f>
        <v>0</v>
      </c>
      <c r="BS144" s="131" t="n">
        <f aca="false">SUM(BS141:BS143)</f>
        <v>0</v>
      </c>
      <c r="BT144" s="131" t="n">
        <f aca="false">SUM(BT141:BT143)</f>
        <v>0</v>
      </c>
      <c r="BU144" s="131" t="n">
        <f aca="false">SUM(BU141:BU143)</f>
        <v>0</v>
      </c>
      <c r="BV144" s="131" t="n">
        <f aca="false">SUM(BV141:BV143)</f>
        <v>0</v>
      </c>
      <c r="BW144" s="131" t="n">
        <f aca="false">SUM(BW141:BW143)</f>
        <v>0</v>
      </c>
      <c r="BX144" s="131" t="n">
        <f aca="false">SUM(BX141:BX143)</f>
        <v>0</v>
      </c>
      <c r="BY144" s="131" t="n">
        <f aca="false">SUM(BY141:BY143)</f>
        <v>0</v>
      </c>
      <c r="BZ144" s="136" t="n">
        <f aca="false">SUM(BZ141:BZ143)</f>
        <v>0</v>
      </c>
      <c r="CA144" s="136" t="n">
        <f aca="false">SUM(CA141:CA143)</f>
        <v>0</v>
      </c>
      <c r="CC144" s="136" t="n">
        <f aca="false">SUM(CC141:CC143)</f>
        <v>0.238387966666667</v>
      </c>
      <c r="CD144" s="136" t="n">
        <f aca="false">SUM(CD141:CD143)</f>
        <v>0.7597876</v>
      </c>
      <c r="CE144" s="136" t="n">
        <f aca="false">SUM(CE141:CE143)</f>
        <v>0</v>
      </c>
      <c r="CF144" s="136" t="n">
        <f aca="false">SUM(CF141:CF143)</f>
        <v>0</v>
      </c>
      <c r="CG144" s="136" t="n">
        <f aca="false">SUM(CG141:CG143)</f>
        <v>0</v>
      </c>
      <c r="CI144" s="136" t="n">
        <f aca="false">CC144=L144</f>
        <v>1</v>
      </c>
      <c r="CJ144" s="136" t="n">
        <f aca="false">CD144=M144</f>
        <v>1</v>
      </c>
      <c r="CK144" s="136" t="n">
        <f aca="false">CE144=N144</f>
        <v>1</v>
      </c>
      <c r="CL144" s="136" t="n">
        <f aca="false">CF144=O144</f>
        <v>1</v>
      </c>
      <c r="CM144" s="136" t="n">
        <f aca="false">CG144=P144</f>
        <v>1</v>
      </c>
    </row>
    <row r="145" s="14" customFormat="true" ht="16.5" hidden="false" customHeight="true" outlineLevel="0" collapsed="false">
      <c r="E145" s="96"/>
      <c r="L145" s="82"/>
      <c r="M145" s="82"/>
      <c r="N145" s="82"/>
      <c r="O145" s="82"/>
      <c r="P145" s="82"/>
      <c r="Q145" s="16"/>
      <c r="R145" s="16"/>
      <c r="T145" s="131"/>
      <c r="U145" s="131"/>
      <c r="V145" s="131"/>
      <c r="W145" s="131"/>
      <c r="X145" s="131"/>
      <c r="Y145" s="131"/>
      <c r="Z145" s="131"/>
      <c r="AA145" s="131"/>
      <c r="AB145" s="131"/>
      <c r="AC145" s="131"/>
      <c r="AD145" s="131"/>
      <c r="AE145" s="131"/>
      <c r="AF145" s="131"/>
      <c r="AG145" s="131"/>
      <c r="AH145" s="131"/>
      <c r="AI145" s="131"/>
      <c r="AJ145" s="131"/>
      <c r="AK145" s="131"/>
      <c r="AL145" s="131"/>
      <c r="AM145" s="131"/>
      <c r="AN145" s="131"/>
      <c r="AO145" s="131"/>
      <c r="AP145" s="131"/>
      <c r="AQ145" s="131"/>
      <c r="AR145" s="131"/>
      <c r="AS145" s="131"/>
      <c r="AT145" s="131"/>
      <c r="AU145" s="131"/>
      <c r="AV145" s="131"/>
      <c r="AW145" s="131"/>
      <c r="AX145" s="131"/>
      <c r="AY145" s="131"/>
      <c r="AZ145" s="131"/>
      <c r="BA145" s="131"/>
      <c r="BB145" s="131"/>
      <c r="BC145" s="131"/>
      <c r="BD145" s="131"/>
      <c r="BE145" s="131"/>
      <c r="BF145" s="131"/>
      <c r="BG145" s="131"/>
      <c r="BH145" s="131"/>
      <c r="BI145" s="131"/>
      <c r="BJ145" s="131"/>
      <c r="BK145" s="131"/>
      <c r="BL145" s="131"/>
      <c r="BM145" s="131"/>
      <c r="BN145" s="131"/>
      <c r="BO145" s="131"/>
      <c r="BP145" s="131"/>
      <c r="BQ145" s="131"/>
      <c r="BR145" s="131"/>
      <c r="BS145" s="131"/>
      <c r="BT145" s="131"/>
      <c r="BU145" s="131"/>
      <c r="BV145" s="131"/>
      <c r="BW145" s="131"/>
      <c r="BX145" s="131"/>
      <c r="BY145" s="131"/>
      <c r="BZ145" s="136"/>
      <c r="CA145" s="136"/>
    </row>
    <row r="146" s="14" customFormat="true" ht="16.5" hidden="false" customHeight="true" outlineLevel="0" collapsed="false">
      <c r="E146" s="96"/>
      <c r="L146" s="82"/>
      <c r="M146" s="82"/>
      <c r="N146" s="82"/>
      <c r="O146" s="82"/>
      <c r="P146" s="82"/>
      <c r="Q146" s="16"/>
      <c r="R146" s="16"/>
      <c r="T146" s="131"/>
      <c r="U146" s="131"/>
      <c r="V146" s="131"/>
      <c r="W146" s="131"/>
      <c r="X146" s="131"/>
      <c r="Y146" s="131"/>
      <c r="Z146" s="131"/>
      <c r="AA146" s="131"/>
      <c r="AB146" s="131"/>
      <c r="AC146" s="131"/>
      <c r="AD146" s="131"/>
      <c r="AE146" s="131"/>
      <c r="AF146" s="131"/>
      <c r="AG146" s="131"/>
      <c r="AH146" s="131"/>
      <c r="AI146" s="131"/>
      <c r="AJ146" s="131"/>
      <c r="AK146" s="131"/>
      <c r="AL146" s="131"/>
      <c r="AM146" s="131"/>
      <c r="AN146" s="131"/>
      <c r="AO146" s="131"/>
      <c r="AP146" s="131"/>
      <c r="AQ146" s="131"/>
      <c r="AR146" s="131"/>
      <c r="AS146" s="131"/>
      <c r="AT146" s="131"/>
      <c r="AU146" s="131"/>
      <c r="AV146" s="131"/>
      <c r="AW146" s="131"/>
      <c r="AX146" s="131"/>
      <c r="AY146" s="131"/>
      <c r="AZ146" s="131"/>
      <c r="BA146" s="131"/>
      <c r="BB146" s="131"/>
      <c r="BC146" s="131"/>
      <c r="BD146" s="131"/>
      <c r="BE146" s="131"/>
      <c r="BF146" s="131"/>
      <c r="BG146" s="131"/>
      <c r="BH146" s="131"/>
      <c r="BI146" s="131"/>
      <c r="BJ146" s="131"/>
      <c r="BK146" s="131"/>
      <c r="BL146" s="131"/>
      <c r="BM146" s="131"/>
      <c r="BN146" s="131"/>
      <c r="BO146" s="131"/>
      <c r="BP146" s="131"/>
      <c r="BQ146" s="131"/>
      <c r="BR146" s="131"/>
      <c r="BS146" s="131"/>
      <c r="BT146" s="131"/>
      <c r="BU146" s="131"/>
      <c r="BV146" s="131"/>
      <c r="BW146" s="131"/>
      <c r="BX146" s="131"/>
      <c r="BY146" s="131"/>
      <c r="BZ146" s="136"/>
      <c r="CA146" s="136"/>
    </row>
    <row r="147" s="14" customFormat="true" ht="16.5" hidden="false" customHeight="true" outlineLevel="0" collapsed="false">
      <c r="E147" s="109" t="s">
        <v>153</v>
      </c>
      <c r="F147" s="109"/>
      <c r="G147" s="109"/>
      <c r="H147" s="109"/>
      <c r="I147" s="132"/>
      <c r="J147" s="132"/>
      <c r="K147" s="132"/>
      <c r="L147" s="120" t="n">
        <f aca="false">SUM(L138, L144)</f>
        <v>0.343694633333333</v>
      </c>
      <c r="M147" s="120" t="n">
        <f aca="false">SUM(M138, M144)</f>
        <v>1.18101426666667</v>
      </c>
      <c r="N147" s="120" t="n">
        <f aca="false">SUM(N138, N144)</f>
        <v>0</v>
      </c>
      <c r="O147" s="120" t="n">
        <f aca="false">SUM(O138, O144)</f>
        <v>0</v>
      </c>
      <c r="P147" s="120" t="n">
        <f aca="false">SUM(P138, P144)</f>
        <v>0</v>
      </c>
      <c r="Q147" s="139"/>
      <c r="R147" s="139"/>
      <c r="T147" s="120" t="n">
        <f aca="false">SUM(T138, T144)</f>
        <v>0</v>
      </c>
      <c r="U147" s="120" t="n">
        <f aca="false">SUM(U138, U144)</f>
        <v>0</v>
      </c>
      <c r="V147" s="120" t="n">
        <f aca="false">SUM(V138, V144)</f>
        <v>0</v>
      </c>
      <c r="W147" s="120" t="n">
        <f aca="false">SUM(W138, W144)</f>
        <v>0</v>
      </c>
      <c r="X147" s="120" t="n">
        <f aca="false">SUM(X138, X144)</f>
        <v>0</v>
      </c>
      <c r="Y147" s="120" t="n">
        <f aca="false">SUM(Y138, Y144)</f>
        <v>0</v>
      </c>
      <c r="Z147" s="120" t="n">
        <f aca="false">SUM(Z138, Z144)</f>
        <v>0</v>
      </c>
      <c r="AA147" s="120" t="n">
        <f aca="false">SUM(AA138, AA144)</f>
        <v>0</v>
      </c>
      <c r="AB147" s="120" t="n">
        <f aca="false">SUM(AB138, AB144)</f>
        <v>0</v>
      </c>
      <c r="AC147" s="120" t="n">
        <f aca="false">SUM(AC138, AC144)</f>
        <v>0.0926259888888889</v>
      </c>
      <c r="AD147" s="120" t="n">
        <f aca="false">SUM(AD138, AD144)</f>
        <v>0.0926259888888889</v>
      </c>
      <c r="AE147" s="120" t="n">
        <f aca="false">SUM(AE138, AE144)</f>
        <v>0.158442655555556</v>
      </c>
      <c r="AF147" s="120" t="n">
        <f aca="false">SUM(AF138, AF144)</f>
        <v>0.158442655555556</v>
      </c>
      <c r="AG147" s="120" t="n">
        <f aca="false">SUM(AG138, AG144)</f>
        <v>0.158442655555556</v>
      </c>
      <c r="AH147" s="120" t="n">
        <f aca="false">SUM(AH138, AH144)</f>
        <v>0.158442655555556</v>
      </c>
      <c r="AI147" s="120" t="n">
        <f aca="false">SUM(AI138, AI144)</f>
        <v>0.158442655555556</v>
      </c>
      <c r="AJ147" s="120" t="n">
        <f aca="false">SUM(AJ138, AJ144)</f>
        <v>0.109080155555556</v>
      </c>
      <c r="AK147" s="120" t="n">
        <f aca="false">SUM(AK138, AK144)</f>
        <v>0.109080155555556</v>
      </c>
      <c r="AL147" s="120" t="n">
        <f aca="false">SUM(AL138, AL144)</f>
        <v>0.0822708333333333</v>
      </c>
      <c r="AM147" s="120" t="n">
        <f aca="false">SUM(AM138, AM144)</f>
        <v>0.0822708333333333</v>
      </c>
      <c r="AN147" s="120" t="n">
        <f aca="false">SUM(AN138, AN144)</f>
        <v>0.0822708333333333</v>
      </c>
      <c r="AO147" s="120" t="n">
        <f aca="false">SUM(AO138, AO144)</f>
        <v>0.0822708333333333</v>
      </c>
      <c r="AP147" s="120" t="n">
        <f aca="false">SUM(AP138, AP144)</f>
        <v>0</v>
      </c>
      <c r="AQ147" s="120" t="n">
        <f aca="false">SUM(AQ138, AQ144)</f>
        <v>0</v>
      </c>
      <c r="AR147" s="120" t="n">
        <f aca="false">SUM(AR138, AR144)</f>
        <v>0</v>
      </c>
      <c r="AS147" s="120" t="n">
        <f aca="false">SUM(AS138, AS144)</f>
        <v>0</v>
      </c>
      <c r="AT147" s="120" t="n">
        <f aca="false">SUM(AT138, AT144)</f>
        <v>0</v>
      </c>
      <c r="AU147" s="120" t="n">
        <f aca="false">SUM(AU138, AU144)</f>
        <v>0</v>
      </c>
      <c r="AV147" s="120" t="n">
        <f aca="false">SUM(AV138, AV144)</f>
        <v>0</v>
      </c>
      <c r="AW147" s="120" t="n">
        <f aca="false">SUM(AW138, AW144)</f>
        <v>0</v>
      </c>
      <c r="AX147" s="120" t="n">
        <f aca="false">SUM(AX138, AX144)</f>
        <v>0</v>
      </c>
      <c r="AY147" s="120" t="n">
        <f aca="false">SUM(AY138, AY144)</f>
        <v>0</v>
      </c>
      <c r="AZ147" s="120" t="n">
        <f aca="false">SUM(AZ138, AZ144)</f>
        <v>0</v>
      </c>
      <c r="BA147" s="120" t="n">
        <f aca="false">SUM(BA138, BA144)</f>
        <v>0</v>
      </c>
      <c r="BB147" s="120" t="n">
        <f aca="false">SUM(BB138, BB144)</f>
        <v>0</v>
      </c>
      <c r="BC147" s="120" t="n">
        <f aca="false">SUM(BC138, BC144)</f>
        <v>0</v>
      </c>
      <c r="BD147" s="120" t="n">
        <f aca="false">SUM(BD138, BD144)</f>
        <v>0</v>
      </c>
      <c r="BE147" s="120" t="n">
        <f aca="false">SUM(BE138, BE144)</f>
        <v>0</v>
      </c>
      <c r="BF147" s="120" t="n">
        <f aca="false">SUM(BF138, BF144)</f>
        <v>0</v>
      </c>
      <c r="BG147" s="120" t="n">
        <f aca="false">SUM(BG138, BG144)</f>
        <v>0</v>
      </c>
      <c r="BH147" s="120" t="n">
        <f aca="false">SUM(BH138, BH144)</f>
        <v>0</v>
      </c>
      <c r="BI147" s="120" t="n">
        <f aca="false">SUM(BI138, BI144)</f>
        <v>0</v>
      </c>
      <c r="BJ147" s="120" t="n">
        <f aca="false">SUM(BJ138, BJ144)</f>
        <v>0</v>
      </c>
      <c r="BK147" s="120" t="n">
        <f aca="false">SUM(BK138, BK144)</f>
        <v>0</v>
      </c>
      <c r="BL147" s="120" t="n">
        <f aca="false">SUM(BL138, BL144)</f>
        <v>0</v>
      </c>
      <c r="BM147" s="120" t="n">
        <f aca="false">SUM(BM138, BM144)</f>
        <v>0</v>
      </c>
      <c r="BN147" s="120" t="n">
        <f aca="false">SUM(BN138, BN144)</f>
        <v>0</v>
      </c>
      <c r="BO147" s="120" t="n">
        <f aca="false">SUM(BO138, BO144)</f>
        <v>0</v>
      </c>
      <c r="BP147" s="120" t="n">
        <f aca="false">SUM(BP138, BP144)</f>
        <v>0</v>
      </c>
      <c r="BQ147" s="120" t="n">
        <f aca="false">SUM(BQ138, BQ144)</f>
        <v>0</v>
      </c>
      <c r="BR147" s="120" t="n">
        <f aca="false">SUM(BR138, BR144)</f>
        <v>0</v>
      </c>
      <c r="BS147" s="120" t="n">
        <f aca="false">SUM(BS138, BS144)</f>
        <v>0</v>
      </c>
      <c r="BT147" s="120" t="n">
        <f aca="false">SUM(BT138, BT144)</f>
        <v>0</v>
      </c>
      <c r="BU147" s="120" t="n">
        <f aca="false">SUM(BU138, BU144)</f>
        <v>0</v>
      </c>
      <c r="BV147" s="120" t="n">
        <f aca="false">SUM(BV138, BV144)</f>
        <v>0</v>
      </c>
      <c r="BW147" s="120" t="n">
        <f aca="false">SUM(BW138, BW144)</f>
        <v>0</v>
      </c>
      <c r="BX147" s="120" t="n">
        <f aca="false">SUM(BX138, BX144)</f>
        <v>0</v>
      </c>
      <c r="BY147" s="120" t="n">
        <f aca="false">SUM(BY138, BY144)</f>
        <v>0</v>
      </c>
      <c r="BZ147" s="120" t="n">
        <f aca="false">SUM(BZ138, BZ144)</f>
        <v>0</v>
      </c>
      <c r="CA147" s="120" t="n">
        <f aca="false">SUM(CA138, CA144)</f>
        <v>0</v>
      </c>
      <c r="CC147" s="120" t="n">
        <f aca="false">SUM(CC138, CC144)</f>
        <v>0.343694633333333</v>
      </c>
      <c r="CD147" s="120" t="n">
        <f aca="false">SUM(CD138, CD144)</f>
        <v>1.18101426666667</v>
      </c>
      <c r="CE147" s="120" t="n">
        <f aca="false">SUM(CE138, CE144)</f>
        <v>0</v>
      </c>
      <c r="CF147" s="120" t="n">
        <f aca="false">SUM(CF138, CF144)</f>
        <v>0</v>
      </c>
      <c r="CG147" s="120" t="n">
        <f aca="false">SUM(CG138, CG144)</f>
        <v>0</v>
      </c>
      <c r="CI147" s="140" t="n">
        <f aca="false">CC147=L147</f>
        <v>1</v>
      </c>
      <c r="CJ147" s="140" t="n">
        <f aca="false">CD147=M147</f>
        <v>1</v>
      </c>
      <c r="CK147" s="140" t="n">
        <f aca="false">CE147=N147</f>
        <v>1</v>
      </c>
      <c r="CL147" s="140" t="n">
        <f aca="false">CF147=O147</f>
        <v>1</v>
      </c>
      <c r="CM147" s="140" t="n">
        <f aca="false">CG147=P147</f>
        <v>1</v>
      </c>
    </row>
    <row r="148" s="14" customFormat="true" ht="16.5" hidden="false" customHeight="true" outlineLevel="0" collapsed="false">
      <c r="E148" s="21"/>
      <c r="L148" s="88"/>
      <c r="M148" s="88"/>
      <c r="N148" s="88"/>
      <c r="O148" s="88"/>
      <c r="P148" s="88"/>
      <c r="Q148" s="121"/>
      <c r="R148" s="121"/>
      <c r="T148" s="137"/>
      <c r="U148" s="137"/>
      <c r="V148" s="137"/>
      <c r="W148" s="137"/>
      <c r="X148" s="137"/>
      <c r="Y148" s="137"/>
      <c r="Z148" s="137"/>
      <c r="AA148" s="137"/>
      <c r="AB148" s="137"/>
      <c r="AC148" s="137"/>
      <c r="AD148" s="137"/>
      <c r="AE148" s="137"/>
      <c r="AF148" s="137"/>
      <c r="AG148" s="137"/>
      <c r="AH148" s="137"/>
      <c r="AI148" s="137"/>
      <c r="AJ148" s="137"/>
      <c r="AK148" s="137"/>
      <c r="AL148" s="137"/>
      <c r="AM148" s="137"/>
      <c r="AN148" s="137"/>
      <c r="AO148" s="137"/>
      <c r="AP148" s="137"/>
      <c r="AQ148" s="137"/>
      <c r="AR148" s="137"/>
      <c r="AS148" s="137"/>
      <c r="AT148" s="137"/>
      <c r="AU148" s="137"/>
      <c r="AV148" s="137"/>
      <c r="AW148" s="137"/>
      <c r="AX148" s="137"/>
      <c r="AY148" s="137"/>
      <c r="AZ148" s="137"/>
      <c r="BA148" s="137"/>
      <c r="BB148" s="137"/>
      <c r="BC148" s="137"/>
      <c r="BD148" s="137"/>
      <c r="BE148" s="137"/>
      <c r="BF148" s="137"/>
      <c r="BG148" s="137"/>
      <c r="BH148" s="137"/>
      <c r="BI148" s="137"/>
      <c r="BJ148" s="137"/>
      <c r="BK148" s="137"/>
      <c r="BL148" s="137"/>
      <c r="BM148" s="137"/>
      <c r="BN148" s="137"/>
      <c r="BO148" s="137"/>
      <c r="BP148" s="137"/>
      <c r="BQ148" s="137"/>
      <c r="BR148" s="137"/>
      <c r="BS148" s="137"/>
      <c r="BT148" s="137"/>
      <c r="BU148" s="137"/>
      <c r="BV148" s="137"/>
      <c r="BW148" s="137"/>
      <c r="BX148" s="137"/>
      <c r="BY148" s="137"/>
      <c r="BZ148" s="121"/>
      <c r="CA148" s="121"/>
    </row>
    <row r="149" s="14" customFormat="true" ht="16.5" hidden="false" customHeight="true" outlineLevel="0" collapsed="false">
      <c r="E149" s="141" t="s">
        <v>401</v>
      </c>
      <c r="F149" s="123"/>
      <c r="G149" s="123"/>
      <c r="H149" s="123"/>
      <c r="I149" s="126"/>
      <c r="J149" s="126"/>
      <c r="K149" s="142"/>
      <c r="L149" s="125" t="n">
        <f aca="false">SUM(L130, -L147)</f>
        <v>-0.343694633333333</v>
      </c>
      <c r="M149" s="125" t="n">
        <f aca="false">SUM(M130, -M147)</f>
        <v>-1.18101426666667</v>
      </c>
      <c r="N149" s="125" t="n">
        <f aca="false">SUM(N130, -N147)</f>
        <v>0</v>
      </c>
      <c r="O149" s="125" t="n">
        <f aca="false">SUM(O130, -O147)</f>
        <v>0</v>
      </c>
      <c r="P149" s="125" t="n">
        <f aca="false">SUM(P130, -P147)</f>
        <v>0</v>
      </c>
      <c r="Q149" s="143"/>
      <c r="R149" s="143"/>
      <c r="T149" s="144" t="n">
        <f aca="false">SUM(T130, -T147)</f>
        <v>0</v>
      </c>
      <c r="U149" s="144" t="n">
        <f aca="false">SUM(U130, -U147)</f>
        <v>0</v>
      </c>
      <c r="V149" s="144" t="n">
        <f aca="false">SUM(V130, -V147)</f>
        <v>0</v>
      </c>
      <c r="W149" s="144" t="n">
        <f aca="false">SUM(W130, -W147)</f>
        <v>0</v>
      </c>
      <c r="X149" s="144" t="n">
        <f aca="false">SUM(X130, -X147)</f>
        <v>0</v>
      </c>
      <c r="Y149" s="144" t="n">
        <f aca="false">SUM(Y130, -Y147)</f>
        <v>0</v>
      </c>
      <c r="Z149" s="144" t="n">
        <f aca="false">SUM(Z130, -Z147)</f>
        <v>0</v>
      </c>
      <c r="AA149" s="144" t="n">
        <f aca="false">SUM(AA130, -AA147)</f>
        <v>0</v>
      </c>
      <c r="AB149" s="144" t="n">
        <f aca="false">SUM(AB130, -AB147)</f>
        <v>0</v>
      </c>
      <c r="AC149" s="144" t="n">
        <f aca="false">SUM(AC130, -AC147)</f>
        <v>-0.0926259888888889</v>
      </c>
      <c r="AD149" s="144" t="n">
        <f aca="false">SUM(AD130, -AD147)</f>
        <v>-0.0926259888888889</v>
      </c>
      <c r="AE149" s="144" t="n">
        <f aca="false">SUM(AE130, -AE147)</f>
        <v>-0.158442655555556</v>
      </c>
      <c r="AF149" s="144" t="n">
        <f aca="false">SUM(AF130, -AF147)</f>
        <v>-0.158442655555556</v>
      </c>
      <c r="AG149" s="144" t="n">
        <f aca="false">SUM(AG130, -AG147)</f>
        <v>-0.158442655555556</v>
      </c>
      <c r="AH149" s="144" t="n">
        <f aca="false">SUM(AH130, -AH147)</f>
        <v>-0.158442655555556</v>
      </c>
      <c r="AI149" s="144" t="n">
        <f aca="false">SUM(AI130, -AI147)</f>
        <v>-0.158442655555556</v>
      </c>
      <c r="AJ149" s="144" t="n">
        <f aca="false">SUM(AJ130, -AJ147)</f>
        <v>-0.109080155555556</v>
      </c>
      <c r="AK149" s="144" t="n">
        <f aca="false">SUM(AK130, -AK147)</f>
        <v>-0.109080155555556</v>
      </c>
      <c r="AL149" s="144" t="n">
        <f aca="false">SUM(AL130, -AL147)</f>
        <v>-0.0822708333333333</v>
      </c>
      <c r="AM149" s="144" t="n">
        <f aca="false">SUM(AM130, -AM147)</f>
        <v>-0.0822708333333333</v>
      </c>
      <c r="AN149" s="144" t="n">
        <f aca="false">SUM(AN130, -AN147)</f>
        <v>-0.0822708333333333</v>
      </c>
      <c r="AO149" s="144" t="n">
        <f aca="false">SUM(AO130, -AO147)</f>
        <v>-0.0822708333333333</v>
      </c>
      <c r="AP149" s="144" t="n">
        <f aca="false">SUM(AP130, -AP147)</f>
        <v>0</v>
      </c>
      <c r="AQ149" s="144" t="n">
        <f aca="false">SUM(AQ130, -AQ147)</f>
        <v>0</v>
      </c>
      <c r="AR149" s="144" t="n">
        <f aca="false">SUM(AR130, -AR147)</f>
        <v>0</v>
      </c>
      <c r="AS149" s="144" t="n">
        <f aca="false">SUM(AS130, -AS147)</f>
        <v>0</v>
      </c>
      <c r="AT149" s="144" t="n">
        <f aca="false">SUM(AT130, -AT147)</f>
        <v>0</v>
      </c>
      <c r="AU149" s="144" t="n">
        <f aca="false">SUM(AU130, -AU147)</f>
        <v>0</v>
      </c>
      <c r="AV149" s="144" t="n">
        <f aca="false">SUM(AV130, -AV147)</f>
        <v>0</v>
      </c>
      <c r="AW149" s="144" t="n">
        <f aca="false">SUM(AW130, -AW147)</f>
        <v>0</v>
      </c>
      <c r="AX149" s="144" t="n">
        <f aca="false">SUM(AX130, -AX147)</f>
        <v>0</v>
      </c>
      <c r="AY149" s="144" t="n">
        <f aca="false">SUM(AY130, -AY147)</f>
        <v>0</v>
      </c>
      <c r="AZ149" s="144" t="n">
        <f aca="false">SUM(AZ130, -AZ147)</f>
        <v>0</v>
      </c>
      <c r="BA149" s="144" t="n">
        <f aca="false">SUM(BA130, -BA147)</f>
        <v>0</v>
      </c>
      <c r="BB149" s="144" t="n">
        <f aca="false">SUM(BB130, -BB147)</f>
        <v>0</v>
      </c>
      <c r="BC149" s="144" t="n">
        <f aca="false">SUM(BC130, -BC147)</f>
        <v>0</v>
      </c>
      <c r="BD149" s="144" t="n">
        <f aca="false">SUM(BD130, -BD147)</f>
        <v>0</v>
      </c>
      <c r="BE149" s="144" t="n">
        <f aca="false">SUM(BE130, -BE147)</f>
        <v>0</v>
      </c>
      <c r="BF149" s="144" t="n">
        <f aca="false">SUM(BF130, -BF147)</f>
        <v>0</v>
      </c>
      <c r="BG149" s="144" t="n">
        <f aca="false">SUM(BG130, -BG147)</f>
        <v>0</v>
      </c>
      <c r="BH149" s="144" t="n">
        <f aca="false">SUM(BH130, -BH147)</f>
        <v>0</v>
      </c>
      <c r="BI149" s="144" t="n">
        <f aca="false">SUM(BI130, -BI147)</f>
        <v>0</v>
      </c>
      <c r="BJ149" s="144" t="n">
        <f aca="false">SUM(BJ130, -BJ147)</f>
        <v>0</v>
      </c>
      <c r="BK149" s="144" t="n">
        <f aca="false">SUM(BK130, -BK147)</f>
        <v>0</v>
      </c>
      <c r="BL149" s="144" t="n">
        <f aca="false">SUM(BL130, -BL147)</f>
        <v>0</v>
      </c>
      <c r="BM149" s="144" t="n">
        <f aca="false">SUM(BM130, -BM147)</f>
        <v>0</v>
      </c>
      <c r="BN149" s="144" t="n">
        <f aca="false">SUM(BN130, -BN147)</f>
        <v>0</v>
      </c>
      <c r="BO149" s="144" t="n">
        <f aca="false">SUM(BO130, -BO147)</f>
        <v>0</v>
      </c>
      <c r="BP149" s="144" t="n">
        <f aca="false">SUM(BP130, -BP147)</f>
        <v>0</v>
      </c>
      <c r="BQ149" s="144" t="n">
        <f aca="false">SUM(BQ130, -BQ147)</f>
        <v>0</v>
      </c>
      <c r="BR149" s="144" t="n">
        <f aca="false">SUM(BR130, -BR147)</f>
        <v>0</v>
      </c>
      <c r="BS149" s="144" t="n">
        <f aca="false">SUM(BS130, -BS147)</f>
        <v>0</v>
      </c>
      <c r="BT149" s="144" t="n">
        <f aca="false">SUM(BT130, -BT147)</f>
        <v>0</v>
      </c>
      <c r="BU149" s="144" t="n">
        <f aca="false">SUM(BU130, -BU147)</f>
        <v>0</v>
      </c>
      <c r="BV149" s="144" t="n">
        <f aca="false">SUM(BV130, -BV147)</f>
        <v>0</v>
      </c>
      <c r="BW149" s="144" t="n">
        <f aca="false">SUM(BW130, -BW147)</f>
        <v>0</v>
      </c>
      <c r="BX149" s="144" t="n">
        <f aca="false">SUM(BX130, -BX147)</f>
        <v>0</v>
      </c>
      <c r="BY149" s="144" t="n">
        <f aca="false">SUM(BY130, -BY147)</f>
        <v>0</v>
      </c>
      <c r="BZ149" s="143" t="n">
        <f aca="false">SUM(BZ130, -BZ147)</f>
        <v>0</v>
      </c>
      <c r="CA149" s="143" t="n">
        <f aca="false">SUM(CA130, -CA147)</f>
        <v>0</v>
      </c>
      <c r="CC149" s="143" t="n">
        <f aca="false">SUM(CC130, -CC147)</f>
        <v>-0.343694633333333</v>
      </c>
      <c r="CD149" s="143" t="n">
        <f aca="false">SUM(CD130, -CD147)</f>
        <v>-1.18101426666667</v>
      </c>
      <c r="CE149" s="143" t="n">
        <f aca="false">SUM(CE130, -CE147)</f>
        <v>0</v>
      </c>
      <c r="CF149" s="143" t="n">
        <f aca="false">SUM(CF130, -CF147)</f>
        <v>0</v>
      </c>
      <c r="CG149" s="143" t="n">
        <f aca="false">SUM(CG130, -CG147)</f>
        <v>0</v>
      </c>
      <c r="CI149" s="143" t="n">
        <f aca="false">CC149=L149</f>
        <v>1</v>
      </c>
      <c r="CJ149" s="143" t="n">
        <f aca="false">CD149=M149</f>
        <v>1</v>
      </c>
      <c r="CK149" s="143" t="n">
        <f aca="false">CE149=N149</f>
        <v>1</v>
      </c>
      <c r="CL149" s="143" t="n">
        <f aca="false">CF149=O149</f>
        <v>1</v>
      </c>
      <c r="CM149" s="143" t="n">
        <f aca="false">CG149=P149</f>
        <v>1</v>
      </c>
    </row>
    <row r="150" s="14" customFormat="true" ht="16.5" hidden="false" customHeight="true" outlineLevel="0" collapsed="false">
      <c r="E150" s="21"/>
      <c r="H150" s="21"/>
      <c r="I150" s="21"/>
      <c r="J150" s="21"/>
      <c r="K150" s="21"/>
      <c r="L150" s="21"/>
      <c r="M150" s="21"/>
      <c r="N150" s="21"/>
      <c r="O150" s="21"/>
      <c r="P150" s="21"/>
      <c r="Q150" s="145"/>
      <c r="R150" s="145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  <c r="AV150" s="21"/>
      <c r="AW150" s="21"/>
      <c r="AX150" s="21"/>
      <c r="AY150" s="21"/>
      <c r="AZ150" s="21"/>
      <c r="BA150" s="21"/>
      <c r="BB150" s="21"/>
      <c r="BC150" s="21"/>
      <c r="BD150" s="21"/>
      <c r="BE150" s="21"/>
      <c r="BF150" s="21"/>
      <c r="BG150" s="21"/>
      <c r="BH150" s="21"/>
      <c r="BI150" s="21"/>
      <c r="BJ150" s="21"/>
      <c r="BK150" s="21"/>
      <c r="BL150" s="21"/>
      <c r="BM150" s="21"/>
      <c r="BN150" s="21"/>
      <c r="BO150" s="21"/>
      <c r="BP150" s="21"/>
      <c r="BQ150" s="21"/>
      <c r="BR150" s="21"/>
      <c r="BS150" s="21"/>
      <c r="BT150" s="21"/>
      <c r="BU150" s="21"/>
      <c r="BV150" s="21"/>
      <c r="BW150" s="21"/>
      <c r="BX150" s="21"/>
      <c r="BY150" s="21"/>
      <c r="BZ150" s="21"/>
      <c r="CA150" s="21"/>
    </row>
    <row r="151" s="14" customFormat="true" ht="16.5" hidden="false" customHeight="true" outlineLevel="0" collapsed="false">
      <c r="E151" s="21"/>
      <c r="H151" s="21"/>
      <c r="I151" s="21"/>
      <c r="J151" s="21"/>
      <c r="K151" s="21"/>
      <c r="L151" s="21"/>
      <c r="M151" s="21"/>
      <c r="N151" s="21"/>
      <c r="O151" s="21"/>
      <c r="P151" s="21"/>
      <c r="Q151" s="145"/>
      <c r="R151" s="145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  <c r="AX151" s="21"/>
      <c r="AY151" s="21"/>
      <c r="AZ151" s="21"/>
      <c r="BA151" s="21"/>
      <c r="BB151" s="21"/>
      <c r="BC151" s="21"/>
      <c r="BD151" s="21"/>
      <c r="BE151" s="21"/>
      <c r="BF151" s="21"/>
      <c r="BG151" s="21"/>
      <c r="BH151" s="21"/>
      <c r="BI151" s="21"/>
      <c r="BJ151" s="21"/>
      <c r="BK151" s="21"/>
      <c r="BL151" s="21"/>
      <c r="BM151" s="21"/>
      <c r="BN151" s="21"/>
      <c r="BO151" s="21"/>
      <c r="BP151" s="21"/>
      <c r="BQ151" s="21"/>
      <c r="BR151" s="21"/>
      <c r="BS151" s="21"/>
      <c r="BT151" s="21"/>
      <c r="BU151" s="21"/>
      <c r="BV151" s="21"/>
      <c r="BW151" s="21"/>
      <c r="BX151" s="21"/>
      <c r="BY151" s="21"/>
      <c r="BZ151" s="21"/>
      <c r="CA151" s="21"/>
    </row>
    <row r="152" s="14" customFormat="true" ht="16.5" hidden="true" customHeight="true" outlineLevel="1" collapsed="false">
      <c r="C152" s="19" t="s">
        <v>155</v>
      </c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20"/>
      <c r="R152" s="20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  <c r="AJ152" s="19"/>
      <c r="AK152" s="19"/>
      <c r="AL152" s="19"/>
      <c r="AM152" s="19"/>
      <c r="AN152" s="19"/>
      <c r="AO152" s="19"/>
      <c r="AP152" s="19"/>
      <c r="AQ152" s="19"/>
      <c r="AR152" s="19"/>
      <c r="AS152" s="19"/>
      <c r="AT152" s="19"/>
      <c r="AU152" s="19"/>
      <c r="AV152" s="19"/>
      <c r="AW152" s="19"/>
      <c r="AX152" s="19"/>
      <c r="AY152" s="19"/>
      <c r="AZ152" s="19"/>
      <c r="BA152" s="19"/>
      <c r="BB152" s="19"/>
      <c r="BC152" s="19"/>
      <c r="BD152" s="19"/>
      <c r="BE152" s="19"/>
      <c r="BF152" s="19"/>
      <c r="BG152" s="19"/>
      <c r="BH152" s="19"/>
      <c r="BI152" s="19"/>
      <c r="BJ152" s="19"/>
      <c r="BK152" s="19"/>
      <c r="BL152" s="19"/>
      <c r="BM152" s="19"/>
      <c r="BN152" s="19"/>
      <c r="BO152" s="19"/>
      <c r="BP152" s="19"/>
      <c r="BQ152" s="19"/>
      <c r="BR152" s="19"/>
      <c r="BS152" s="19"/>
      <c r="BT152" s="19"/>
      <c r="BU152" s="19"/>
      <c r="BV152" s="19"/>
      <c r="BW152" s="19"/>
      <c r="BX152" s="19"/>
      <c r="BY152" s="19"/>
      <c r="BZ152" s="19"/>
      <c r="CA152" s="19"/>
      <c r="CC152" s="19" t="s">
        <v>117</v>
      </c>
      <c r="CD152" s="19"/>
      <c r="CE152" s="19"/>
      <c r="CF152" s="19"/>
      <c r="CG152" s="19"/>
      <c r="CI152" s="19" t="s">
        <v>118</v>
      </c>
      <c r="CJ152" s="19"/>
      <c r="CK152" s="19"/>
      <c r="CL152" s="19"/>
      <c r="CM152" s="19"/>
    </row>
    <row r="153" s="14" customFormat="true" ht="16.5" hidden="true" customHeight="true" outlineLevel="1" collapsed="false">
      <c r="E153" s="21"/>
      <c r="H153" s="21"/>
      <c r="I153" s="21"/>
      <c r="J153" s="21"/>
      <c r="K153" s="21"/>
      <c r="L153" s="21"/>
      <c r="M153" s="21"/>
      <c r="N153" s="21"/>
      <c r="O153" s="21"/>
      <c r="P153" s="21"/>
      <c r="Q153" s="145"/>
      <c r="R153" s="145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  <c r="AY153" s="21"/>
      <c r="AZ153" s="21"/>
      <c r="BA153" s="21"/>
      <c r="BB153" s="21"/>
      <c r="BC153" s="21"/>
      <c r="BD153" s="21"/>
      <c r="BE153" s="21"/>
      <c r="BF153" s="21"/>
      <c r="BG153" s="21"/>
      <c r="BH153" s="21"/>
      <c r="BI153" s="21"/>
      <c r="BJ153" s="21"/>
      <c r="BK153" s="21"/>
      <c r="BL153" s="21"/>
      <c r="BM153" s="21"/>
      <c r="BN153" s="21"/>
      <c r="BO153" s="21"/>
      <c r="BP153" s="21"/>
      <c r="BQ153" s="21"/>
      <c r="BR153" s="21"/>
      <c r="BS153" s="21"/>
      <c r="BT153" s="21"/>
      <c r="BU153" s="21"/>
      <c r="BV153" s="21"/>
      <c r="BW153" s="21"/>
      <c r="BX153" s="21"/>
      <c r="BY153" s="21"/>
      <c r="BZ153" s="21"/>
      <c r="CA153" s="21"/>
    </row>
    <row r="154" s="14" customFormat="true" ht="16.5" hidden="true" customHeight="true" outlineLevel="1" collapsed="false">
      <c r="E154" s="21"/>
      <c r="H154" s="21"/>
      <c r="I154" s="21"/>
      <c r="J154" s="21"/>
      <c r="K154" s="21"/>
      <c r="Q154" s="145"/>
      <c r="R154" s="145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  <c r="AV154" s="21"/>
      <c r="AW154" s="21"/>
      <c r="AX154" s="21"/>
      <c r="AY154" s="21"/>
      <c r="AZ154" s="21"/>
      <c r="BA154" s="21"/>
      <c r="BB154" s="21"/>
      <c r="BC154" s="21"/>
      <c r="BD154" s="21"/>
      <c r="BE154" s="21"/>
      <c r="BF154" s="21"/>
      <c r="BG154" s="21"/>
      <c r="BH154" s="21"/>
      <c r="BI154" s="21"/>
      <c r="BJ154" s="21"/>
      <c r="BK154" s="21"/>
      <c r="BL154" s="21"/>
      <c r="BM154" s="21"/>
      <c r="BN154" s="21"/>
      <c r="BO154" s="21"/>
      <c r="BP154" s="21"/>
      <c r="BQ154" s="21"/>
      <c r="BR154" s="21"/>
      <c r="BS154" s="21"/>
      <c r="BT154" s="21"/>
      <c r="BU154" s="21"/>
      <c r="BV154" s="21"/>
      <c r="BW154" s="21"/>
      <c r="BX154" s="21"/>
      <c r="BY154" s="21"/>
      <c r="BZ154" s="21"/>
      <c r="CA154" s="21"/>
    </row>
    <row r="155" s="14" customFormat="true" ht="16.5" hidden="true" customHeight="true" outlineLevel="1" collapsed="false">
      <c r="E155" s="30" t="s">
        <v>156</v>
      </c>
      <c r="F155" s="31"/>
      <c r="G155" s="31"/>
      <c r="H155" s="31"/>
      <c r="I155" s="31"/>
      <c r="J155" s="31"/>
      <c r="K155" s="31"/>
      <c r="L155" s="31" t="n">
        <v>2026</v>
      </c>
      <c r="M155" s="31" t="n">
        <f aca="false">L155+1</f>
        <v>2027</v>
      </c>
      <c r="N155" s="31" t="n">
        <f aca="false">M155+1</f>
        <v>2028</v>
      </c>
      <c r="O155" s="31" t="n">
        <f aca="false">N155+1</f>
        <v>2029</v>
      </c>
      <c r="P155" s="31" t="n">
        <f aca="false">O155+1</f>
        <v>2030</v>
      </c>
      <c r="Q155" s="31" t="s">
        <v>157</v>
      </c>
      <c r="R155" s="145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  <c r="AX155" s="21"/>
      <c r="AY155" s="21"/>
      <c r="AZ155" s="21"/>
      <c r="BA155" s="21"/>
      <c r="BB155" s="21"/>
      <c r="BC155" s="21"/>
      <c r="BD155" s="21"/>
      <c r="BE155" s="21"/>
      <c r="BF155" s="21"/>
      <c r="BG155" s="21"/>
      <c r="BH155" s="21"/>
      <c r="BI155" s="21"/>
      <c r="BJ155" s="21"/>
      <c r="BK155" s="21"/>
      <c r="BL155" s="21"/>
      <c r="BM155" s="21"/>
      <c r="BN155" s="21"/>
      <c r="BO155" s="21"/>
      <c r="BP155" s="21"/>
      <c r="BQ155" s="21"/>
      <c r="BR155" s="21"/>
      <c r="BS155" s="21"/>
      <c r="BT155" s="21"/>
      <c r="BU155" s="21"/>
      <c r="BV155" s="21"/>
      <c r="BW155" s="21"/>
      <c r="BX155" s="21"/>
      <c r="BY155" s="21"/>
      <c r="BZ155" s="21"/>
      <c r="CA155" s="21"/>
    </row>
    <row r="156" s="14" customFormat="true" ht="16.5" hidden="true" customHeight="true" outlineLevel="1" collapsed="false">
      <c r="E156" s="14" t="s">
        <v>158</v>
      </c>
      <c r="H156" s="21"/>
      <c r="I156" s="21"/>
      <c r="J156" s="21"/>
      <c r="K156" s="21"/>
      <c r="L156" s="90" t="n">
        <f aca="false">L117</f>
        <v>0</v>
      </c>
      <c r="M156" s="90" t="n">
        <f aca="false">M117</f>
        <v>0</v>
      </c>
      <c r="N156" s="90" t="n">
        <f aca="false">N117</f>
        <v>0</v>
      </c>
      <c r="O156" s="90" t="n">
        <f aca="false">O117</f>
        <v>0</v>
      </c>
      <c r="P156" s="90" t="n">
        <f aca="false">P117</f>
        <v>0</v>
      </c>
      <c r="Q156" s="146" t="n">
        <f aca="false">SUM(L156:P156)</f>
        <v>0</v>
      </c>
      <c r="R156" s="145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  <c r="BE156" s="21"/>
      <c r="BF156" s="21"/>
      <c r="BG156" s="21"/>
      <c r="BH156" s="21"/>
      <c r="BI156" s="21"/>
      <c r="BJ156" s="21"/>
      <c r="BK156" s="21"/>
      <c r="BL156" s="21"/>
      <c r="BM156" s="21"/>
      <c r="BN156" s="21"/>
      <c r="BO156" s="21"/>
      <c r="BP156" s="21"/>
      <c r="BQ156" s="21"/>
      <c r="BR156" s="21"/>
      <c r="BS156" s="21"/>
      <c r="BT156" s="21"/>
      <c r="BU156" s="21"/>
      <c r="BV156" s="21"/>
      <c r="BW156" s="21"/>
      <c r="BX156" s="21"/>
      <c r="BY156" s="21"/>
      <c r="BZ156" s="21"/>
      <c r="CA156" s="21"/>
    </row>
    <row r="157" s="14" customFormat="true" ht="16.5" hidden="true" customHeight="true" outlineLevel="1" collapsed="false">
      <c r="E157" s="14" t="s">
        <v>159</v>
      </c>
      <c r="L157" s="90" t="n">
        <f aca="false">L130</f>
        <v>0</v>
      </c>
      <c r="M157" s="90" t="n">
        <f aca="false">M130</f>
        <v>0</v>
      </c>
      <c r="N157" s="90" t="n">
        <f aca="false">N130</f>
        <v>0</v>
      </c>
      <c r="O157" s="90" t="n">
        <f aca="false">O130</f>
        <v>0</v>
      </c>
      <c r="P157" s="90" t="n">
        <f aca="false">P130</f>
        <v>0</v>
      </c>
      <c r="Q157" s="146" t="n">
        <f aca="false">SUM(L157:P157)</f>
        <v>0</v>
      </c>
      <c r="R157" s="145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21"/>
      <c r="AY157" s="21"/>
      <c r="AZ157" s="21"/>
      <c r="BA157" s="21"/>
      <c r="BB157" s="21"/>
      <c r="BC157" s="21"/>
      <c r="BD157" s="21"/>
      <c r="BE157" s="21"/>
      <c r="BF157" s="21"/>
      <c r="BG157" s="21"/>
      <c r="BH157" s="21"/>
      <c r="BI157" s="21"/>
      <c r="BJ157" s="21"/>
      <c r="BK157" s="21"/>
      <c r="BL157" s="21"/>
      <c r="BM157" s="21"/>
      <c r="BN157" s="21"/>
      <c r="BO157" s="21"/>
      <c r="BP157" s="21"/>
      <c r="BQ157" s="21"/>
      <c r="BR157" s="21"/>
      <c r="BS157" s="21"/>
      <c r="BT157" s="21"/>
      <c r="BU157" s="21"/>
      <c r="BV157" s="21"/>
      <c r="BW157" s="21"/>
      <c r="BX157" s="21"/>
      <c r="BY157" s="21"/>
      <c r="BZ157" s="21"/>
      <c r="CA157" s="21"/>
    </row>
    <row r="158" s="14" customFormat="true" ht="16.5" hidden="true" customHeight="true" outlineLevel="1" collapsed="false">
      <c r="E158" s="14" t="s">
        <v>160</v>
      </c>
      <c r="L158" s="90" t="n">
        <f aca="false">-L147</f>
        <v>-0.343694633333333</v>
      </c>
      <c r="M158" s="90" t="n">
        <f aca="false">-M147</f>
        <v>-1.18101426666667</v>
      </c>
      <c r="N158" s="90" t="n">
        <f aca="false">-N147</f>
        <v>-0</v>
      </c>
      <c r="O158" s="90" t="n">
        <f aca="false">-O147</f>
        <v>-0</v>
      </c>
      <c r="P158" s="90" t="n">
        <f aca="false">-P147</f>
        <v>-0</v>
      </c>
      <c r="Q158" s="146" t="n">
        <f aca="false">SUM(L158:P158)</f>
        <v>-1.5247089</v>
      </c>
      <c r="R158" s="145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1"/>
      <c r="BI158" s="21"/>
      <c r="BJ158" s="21"/>
      <c r="BK158" s="21"/>
      <c r="BL158" s="21"/>
      <c r="BM158" s="21"/>
      <c r="BN158" s="21"/>
      <c r="BO158" s="21"/>
      <c r="BP158" s="21"/>
      <c r="BQ158" s="21"/>
      <c r="BR158" s="21"/>
      <c r="BS158" s="21"/>
      <c r="BT158" s="21"/>
      <c r="BU158" s="21"/>
      <c r="BV158" s="21"/>
      <c r="BW158" s="21"/>
      <c r="BX158" s="21"/>
      <c r="BY158" s="21"/>
      <c r="BZ158" s="21"/>
      <c r="CA158" s="21"/>
    </row>
    <row r="159" s="14" customFormat="true" ht="16.5" hidden="true" customHeight="true" outlineLevel="1" collapsed="false">
      <c r="E159" s="223" t="s">
        <v>156</v>
      </c>
      <c r="F159" s="223"/>
      <c r="G159" s="223"/>
      <c r="H159" s="223"/>
      <c r="I159" s="223"/>
      <c r="J159" s="223"/>
      <c r="K159" s="223"/>
      <c r="L159" s="224" t="n">
        <f aca="false">SUM(L156:L158)</f>
        <v>-0.343694633333333</v>
      </c>
      <c r="M159" s="224" t="n">
        <f aca="false">SUM(M156:M158)</f>
        <v>-1.18101426666667</v>
      </c>
      <c r="N159" s="224" t="n">
        <f aca="false">SUM(N156:N158)</f>
        <v>0</v>
      </c>
      <c r="O159" s="224" t="n">
        <f aca="false">SUM(O156:O158)</f>
        <v>0</v>
      </c>
      <c r="P159" s="224" t="n">
        <f aca="false">SUM(P156:P158)</f>
        <v>0</v>
      </c>
      <c r="Q159" s="225" t="n">
        <f aca="false">SUM(L159:P159)</f>
        <v>-1.5247089</v>
      </c>
      <c r="R159" s="145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  <c r="BK159" s="21"/>
      <c r="BL159" s="21"/>
      <c r="BM159" s="21"/>
      <c r="BN159" s="21"/>
      <c r="BO159" s="21"/>
      <c r="BP159" s="21"/>
      <c r="BQ159" s="21"/>
      <c r="BR159" s="21"/>
      <c r="BS159" s="21"/>
      <c r="BT159" s="21"/>
      <c r="BU159" s="21"/>
      <c r="BV159" s="21"/>
      <c r="BW159" s="21"/>
      <c r="BX159" s="21"/>
      <c r="BY159" s="21"/>
      <c r="BZ159" s="21"/>
      <c r="CA159" s="21"/>
    </row>
    <row r="160" s="14" customFormat="true" ht="16.5" hidden="true" customHeight="true" outlineLevel="1" collapsed="false">
      <c r="E160" s="14" t="s">
        <v>161</v>
      </c>
      <c r="H160" s="21"/>
      <c r="I160" s="21"/>
      <c r="J160" s="21"/>
      <c r="K160" s="21"/>
      <c r="L160" s="90" t="n">
        <f aca="false">L159</f>
        <v>-0.343694633333333</v>
      </c>
      <c r="M160" s="90" t="n">
        <f aca="false">L160+M159</f>
        <v>-1.5247089</v>
      </c>
      <c r="N160" s="90" t="n">
        <f aca="false">M160+N159</f>
        <v>-1.5247089</v>
      </c>
      <c r="O160" s="90" t="n">
        <f aca="false">N160+O159</f>
        <v>-1.5247089</v>
      </c>
      <c r="P160" s="90" t="n">
        <f aca="false">O160+P159</f>
        <v>-1.5247089</v>
      </c>
      <c r="Q160" s="146" t="n">
        <f aca="false">P160</f>
        <v>-1.5247089</v>
      </c>
      <c r="R160" s="145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  <c r="BL160" s="21"/>
      <c r="BM160" s="21"/>
      <c r="BN160" s="21"/>
      <c r="BO160" s="21"/>
      <c r="BP160" s="21"/>
      <c r="BQ160" s="21"/>
      <c r="BR160" s="21"/>
      <c r="BS160" s="21"/>
      <c r="BT160" s="21"/>
      <c r="BU160" s="21"/>
      <c r="BV160" s="21"/>
      <c r="BW160" s="21"/>
      <c r="BX160" s="21"/>
      <c r="BY160" s="21"/>
      <c r="BZ160" s="21"/>
      <c r="CA160" s="21"/>
    </row>
    <row r="161" s="14" customFormat="true" ht="16.5" hidden="true" customHeight="true" outlineLevel="1" collapsed="false">
      <c r="E161" s="14" t="s">
        <v>162</v>
      </c>
      <c r="H161" s="21"/>
      <c r="I161" s="21"/>
      <c r="J161" s="21"/>
      <c r="K161" s="21"/>
      <c r="L161" s="148" t="n">
        <f aca="false">IF(L160&lt;0,1,0)</f>
        <v>1</v>
      </c>
      <c r="M161" s="148" t="n">
        <f aca="false">IF(M160&lt;0,1,IF(AND(L160&lt;0,M159&gt;0),-L160/M159,0))</f>
        <v>1</v>
      </c>
      <c r="N161" s="148" t="n">
        <f aca="false">IF(N160&lt;0,1,IF(AND(M160&lt;0,N159&gt;0),-M160/N159,0))</f>
        <v>1</v>
      </c>
      <c r="O161" s="148" t="n">
        <f aca="false">IF(O160&lt;0,1,IF(AND(N160&lt;0,O159&gt;0),-N160/O159,0))</f>
        <v>1</v>
      </c>
      <c r="P161" s="148" t="n">
        <f aca="false">IF(P160&lt;0,1,IF(AND(O160&lt;0,P159&gt;0),-O160/P159,0))</f>
        <v>1</v>
      </c>
      <c r="Q161" s="90"/>
      <c r="R161" s="145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  <c r="AZ161" s="21"/>
      <c r="BA161" s="21"/>
      <c r="BB161" s="21"/>
      <c r="BC161" s="21"/>
      <c r="BD161" s="21"/>
      <c r="BE161" s="21"/>
      <c r="BF161" s="21"/>
      <c r="BG161" s="21"/>
      <c r="BH161" s="21"/>
      <c r="BI161" s="21"/>
      <c r="BJ161" s="21"/>
      <c r="BK161" s="21"/>
      <c r="BL161" s="21"/>
      <c r="BM161" s="21"/>
      <c r="BN161" s="21"/>
      <c r="BO161" s="21"/>
      <c r="BP161" s="21"/>
      <c r="BQ161" s="21"/>
      <c r="BR161" s="21"/>
      <c r="BS161" s="21"/>
      <c r="BT161" s="21"/>
      <c r="BU161" s="21"/>
      <c r="BV161" s="21"/>
      <c r="BW161" s="21"/>
      <c r="BX161" s="21"/>
      <c r="BY161" s="21"/>
      <c r="BZ161" s="21"/>
      <c r="CA161" s="21"/>
    </row>
    <row r="162" s="14" customFormat="true" ht="16.5" hidden="true" customHeight="true" outlineLevel="1" collapsed="false">
      <c r="H162" s="21"/>
      <c r="I162" s="21"/>
      <c r="J162" s="21"/>
      <c r="K162" s="21"/>
      <c r="R162" s="145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1"/>
      <c r="AY162" s="21"/>
      <c r="AZ162" s="21"/>
      <c r="BA162" s="21"/>
      <c r="BB162" s="21"/>
      <c r="BC162" s="21"/>
      <c r="BD162" s="21"/>
      <c r="BE162" s="21"/>
      <c r="BF162" s="21"/>
      <c r="BG162" s="21"/>
      <c r="BH162" s="21"/>
      <c r="BI162" s="21"/>
      <c r="BJ162" s="21"/>
      <c r="BK162" s="21"/>
      <c r="BL162" s="21"/>
      <c r="BM162" s="21"/>
      <c r="BN162" s="21"/>
      <c r="BO162" s="21"/>
      <c r="BP162" s="21"/>
      <c r="BQ162" s="21"/>
      <c r="BR162" s="21"/>
      <c r="BS162" s="21"/>
      <c r="BT162" s="21"/>
      <c r="BU162" s="21"/>
      <c r="BV162" s="21"/>
      <c r="BW162" s="21"/>
      <c r="BX162" s="21"/>
      <c r="BY162" s="21"/>
      <c r="BZ162" s="21"/>
      <c r="CA162" s="21"/>
    </row>
    <row r="163" s="14" customFormat="true" ht="16.5" hidden="true" customHeight="true" outlineLevel="1" collapsed="false">
      <c r="E163" s="21" t="s">
        <v>402</v>
      </c>
      <c r="F163" s="150" t="s">
        <v>403</v>
      </c>
      <c r="G163" s="148" t="n">
        <f aca="false">IFERROR(K117/-SUM(L149:P149),"n/a")</f>
        <v>0</v>
      </c>
      <c r="H163" s="21"/>
      <c r="I163" s="21"/>
      <c r="J163" s="21"/>
      <c r="K163" s="21"/>
      <c r="R163" s="145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  <c r="BC163" s="21"/>
      <c r="BD163" s="21"/>
      <c r="BE163" s="21"/>
      <c r="BF163" s="21"/>
      <c r="BG163" s="21"/>
      <c r="BH163" s="21"/>
      <c r="BI163" s="21"/>
      <c r="BJ163" s="21"/>
      <c r="BK163" s="21"/>
      <c r="BL163" s="21"/>
      <c r="BM163" s="21"/>
      <c r="BN163" s="21"/>
      <c r="BO163" s="21"/>
      <c r="BP163" s="21"/>
      <c r="BQ163" s="21"/>
      <c r="BR163" s="21"/>
      <c r="BS163" s="21"/>
      <c r="BT163" s="21"/>
      <c r="BU163" s="21"/>
      <c r="BV163" s="21"/>
      <c r="BW163" s="21"/>
      <c r="BX163" s="21"/>
      <c r="BY163" s="21"/>
      <c r="BZ163" s="21"/>
      <c r="CA163" s="21"/>
    </row>
    <row r="164" s="14" customFormat="true" ht="16.5" hidden="true" customHeight="true" outlineLevel="1" collapsed="false">
      <c r="E164" s="21" t="s">
        <v>404</v>
      </c>
      <c r="F164" s="150" t="s">
        <v>405</v>
      </c>
      <c r="G164" s="226" t="str">
        <f aca="false">IFERROR(IRR($L$159:$P$159, 0.2),"n/a")</f>
        <v>n/a</v>
      </c>
      <c r="H164" s="21"/>
      <c r="I164" s="21"/>
      <c r="J164" s="21"/>
      <c r="K164" s="21"/>
      <c r="R164" s="145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  <c r="AZ164" s="21"/>
      <c r="BA164" s="21"/>
      <c r="BB164" s="21"/>
      <c r="BC164" s="21"/>
      <c r="BD164" s="21"/>
      <c r="BE164" s="21"/>
      <c r="BF164" s="21"/>
      <c r="BG164" s="21"/>
      <c r="BH164" s="21"/>
      <c r="BI164" s="21"/>
      <c r="BJ164" s="21"/>
      <c r="BK164" s="21"/>
      <c r="BL164" s="21"/>
      <c r="BM164" s="21"/>
      <c r="BN164" s="21"/>
      <c r="BO164" s="21"/>
      <c r="BP164" s="21"/>
      <c r="BQ164" s="21"/>
      <c r="BR164" s="21"/>
      <c r="BS164" s="21"/>
      <c r="BT164" s="21"/>
      <c r="BU164" s="21"/>
      <c r="BV164" s="21"/>
      <c r="BW164" s="21"/>
      <c r="BX164" s="21"/>
      <c r="BY164" s="21"/>
      <c r="BZ164" s="21"/>
      <c r="CA164" s="21"/>
    </row>
    <row r="165" s="14" customFormat="true" ht="16.5" hidden="true" customHeight="true" outlineLevel="1" collapsed="false">
      <c r="E165" s="21" t="s">
        <v>406</v>
      </c>
      <c r="F165" s="150" t="s">
        <v>166</v>
      </c>
      <c r="G165" s="148" t="str">
        <f aca="false">IF(SUM(L161:P161)=5,"&gt;5",SUM(L161:P161))</f>
        <v>&gt;5</v>
      </c>
      <c r="H165" s="21"/>
      <c r="I165" s="21"/>
      <c r="J165" s="21"/>
      <c r="K165" s="21"/>
      <c r="R165" s="145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  <c r="AZ165" s="21"/>
      <c r="BA165" s="21"/>
      <c r="BB165" s="21"/>
      <c r="BC165" s="21"/>
      <c r="BD165" s="21"/>
      <c r="BE165" s="21"/>
      <c r="BF165" s="21"/>
      <c r="BG165" s="21"/>
      <c r="BH165" s="21"/>
      <c r="BI165" s="21"/>
      <c r="BJ165" s="21"/>
      <c r="BK165" s="21"/>
      <c r="BL165" s="21"/>
      <c r="BM165" s="21"/>
      <c r="BN165" s="21"/>
      <c r="BO165" s="21"/>
      <c r="BP165" s="21"/>
      <c r="BQ165" s="21"/>
      <c r="BR165" s="21"/>
      <c r="BS165" s="21"/>
      <c r="BT165" s="21"/>
      <c r="BU165" s="21"/>
      <c r="BV165" s="21"/>
      <c r="BW165" s="21"/>
      <c r="BX165" s="21"/>
      <c r="BY165" s="21"/>
      <c r="BZ165" s="21"/>
      <c r="CA165" s="21"/>
    </row>
    <row r="166" s="14" customFormat="true" ht="16.5" hidden="true" customHeight="true" outlineLevel="1" collapsed="false">
      <c r="E166" s="21"/>
      <c r="F166" s="150"/>
      <c r="G166" s="148"/>
      <c r="H166" s="21"/>
      <c r="I166" s="21"/>
      <c r="J166" s="21"/>
      <c r="K166" s="21"/>
      <c r="R166" s="145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  <c r="AZ166" s="21"/>
      <c r="BA166" s="21"/>
      <c r="BB166" s="21"/>
      <c r="BC166" s="21"/>
      <c r="BD166" s="21"/>
      <c r="BE166" s="21"/>
      <c r="BF166" s="21"/>
      <c r="BG166" s="21"/>
      <c r="BH166" s="21"/>
      <c r="BI166" s="21"/>
      <c r="BJ166" s="21"/>
      <c r="BK166" s="21"/>
      <c r="BL166" s="21"/>
      <c r="BM166" s="21"/>
      <c r="BN166" s="21"/>
      <c r="BO166" s="21"/>
      <c r="BP166" s="21"/>
      <c r="BQ166" s="21"/>
      <c r="BR166" s="21"/>
      <c r="BS166" s="21"/>
      <c r="BT166" s="21"/>
      <c r="BU166" s="21"/>
      <c r="BV166" s="21"/>
      <c r="BW166" s="21"/>
      <c r="BX166" s="21"/>
      <c r="BY166" s="21"/>
      <c r="BZ166" s="21"/>
      <c r="CA166" s="21"/>
    </row>
    <row r="167" s="14" customFormat="true" ht="16.5" hidden="true" customHeight="true" outlineLevel="1" collapsed="false">
      <c r="E167" s="21" t="s">
        <v>163</v>
      </c>
      <c r="G167" s="149" t="n">
        <v>0.095</v>
      </c>
      <c r="H167" s="21"/>
      <c r="I167" s="21"/>
      <c r="J167" s="21"/>
      <c r="K167" s="21"/>
      <c r="R167" s="145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  <c r="AY167" s="21"/>
      <c r="AZ167" s="21"/>
      <c r="BA167" s="21"/>
      <c r="BB167" s="21"/>
      <c r="BC167" s="21"/>
      <c r="BD167" s="21"/>
      <c r="BE167" s="21"/>
      <c r="BF167" s="21"/>
      <c r="BG167" s="21"/>
      <c r="BH167" s="21"/>
      <c r="BI167" s="21"/>
      <c r="BJ167" s="21"/>
      <c r="BK167" s="21"/>
      <c r="BL167" s="21"/>
      <c r="BM167" s="21"/>
      <c r="BN167" s="21"/>
      <c r="BO167" s="21"/>
      <c r="BP167" s="21"/>
      <c r="BQ167" s="21"/>
      <c r="BR167" s="21"/>
      <c r="BS167" s="21"/>
      <c r="BT167" s="21"/>
      <c r="BU167" s="21"/>
      <c r="BV167" s="21"/>
      <c r="BW167" s="21"/>
      <c r="BX167" s="21"/>
      <c r="BY167" s="21"/>
      <c r="BZ167" s="21"/>
      <c r="CA167" s="21"/>
    </row>
    <row r="168" s="14" customFormat="true" ht="16.5" hidden="true" customHeight="true" outlineLevel="1" collapsed="false">
      <c r="E168" s="21" t="s">
        <v>164</v>
      </c>
      <c r="F168" s="150" t="s">
        <v>165</v>
      </c>
      <c r="G168" s="90" t="n">
        <f aca="false">SUM(L168:P168)</f>
        <v>-1.29885522834525</v>
      </c>
      <c r="H168" s="21"/>
      <c r="I168" s="21"/>
      <c r="J168" s="21"/>
      <c r="K168" s="21"/>
      <c r="L168" s="90" t="n">
        <f aca="false">L159/(1+$G$167)^L$1</f>
        <v>-0.313876377473364</v>
      </c>
      <c r="M168" s="90" t="n">
        <f aca="false">M159/(1+$G$167)^M$1</f>
        <v>-0.984978850871889</v>
      </c>
      <c r="N168" s="90" t="n">
        <f aca="false">N159/(1+$G$167)^N$1</f>
        <v>0</v>
      </c>
      <c r="O168" s="90" t="n">
        <f aca="false">O159/(1+$G$167)^O$1</f>
        <v>0</v>
      </c>
      <c r="P168" s="90" t="n">
        <f aca="false">P159/(1+$G$167)^P$1</f>
        <v>0</v>
      </c>
      <c r="Q168" s="90" t="n">
        <f aca="false">SUM(L168:P168)</f>
        <v>-1.29885522834525</v>
      </c>
      <c r="R168" s="145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  <c r="AZ168" s="21"/>
      <c r="BA168" s="21"/>
      <c r="BB168" s="21"/>
      <c r="BC168" s="21"/>
      <c r="BD168" s="21"/>
      <c r="BE168" s="21"/>
      <c r="BF168" s="21"/>
      <c r="BG168" s="21"/>
      <c r="BH168" s="21"/>
      <c r="BI168" s="21"/>
      <c r="BJ168" s="21"/>
      <c r="BK168" s="21"/>
      <c r="BL168" s="21"/>
      <c r="BM168" s="21"/>
      <c r="BN168" s="21"/>
      <c r="BO168" s="21"/>
      <c r="BP168" s="21"/>
      <c r="BQ168" s="21"/>
      <c r="BR168" s="21"/>
      <c r="BS168" s="21"/>
      <c r="BT168" s="21"/>
      <c r="BU168" s="21"/>
      <c r="BV168" s="21"/>
      <c r="BW168" s="21"/>
      <c r="BX168" s="21"/>
      <c r="BY168" s="21"/>
      <c r="BZ168" s="21"/>
      <c r="CA168" s="21"/>
    </row>
    <row r="169" s="14" customFormat="true" ht="16.5" hidden="true" customHeight="true" outlineLevel="1" collapsed="false">
      <c r="Q169" s="16"/>
      <c r="R169" s="16"/>
    </row>
    <row r="170" s="14" customFormat="true" ht="16.5" hidden="false" customHeight="true" outlineLevel="0" collapsed="false">
      <c r="Q170" s="16"/>
      <c r="R170" s="16"/>
    </row>
    <row r="171" s="14" customFormat="true" ht="16.5" hidden="false" customHeight="true" outlineLevel="0" collapsed="false">
      <c r="C171" s="19" t="s">
        <v>168</v>
      </c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20"/>
      <c r="R171" s="20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  <c r="AL171" s="19"/>
      <c r="AM171" s="19"/>
      <c r="AN171" s="19"/>
      <c r="AO171" s="19"/>
      <c r="AP171" s="19"/>
      <c r="AQ171" s="19"/>
      <c r="AR171" s="19"/>
      <c r="AS171" s="19"/>
      <c r="AT171" s="19"/>
      <c r="AU171" s="19"/>
      <c r="AV171" s="19"/>
      <c r="AW171" s="19"/>
      <c r="AX171" s="19"/>
      <c r="AY171" s="19"/>
      <c r="AZ171" s="19"/>
      <c r="BA171" s="19"/>
      <c r="BB171" s="19"/>
      <c r="BC171" s="19"/>
      <c r="BD171" s="19"/>
      <c r="BE171" s="19"/>
      <c r="BF171" s="19"/>
      <c r="BG171" s="19"/>
      <c r="BH171" s="19"/>
      <c r="BI171" s="19"/>
      <c r="BJ171" s="19"/>
      <c r="BK171" s="19"/>
      <c r="BL171" s="19"/>
      <c r="BM171" s="19"/>
      <c r="BN171" s="19"/>
      <c r="BO171" s="19"/>
      <c r="BP171" s="19"/>
      <c r="BQ171" s="19"/>
      <c r="BR171" s="19"/>
      <c r="BS171" s="19"/>
      <c r="BT171" s="19"/>
      <c r="BU171" s="19"/>
      <c r="BV171" s="19"/>
      <c r="BW171" s="19"/>
      <c r="BX171" s="19"/>
      <c r="BY171" s="19"/>
      <c r="BZ171" s="19"/>
      <c r="CA171" s="19"/>
      <c r="CB171" s="19"/>
      <c r="CC171" s="19"/>
      <c r="CD171" s="19"/>
      <c r="CE171" s="19"/>
      <c r="CF171" s="19"/>
      <c r="CG171" s="19"/>
      <c r="CH171" s="19"/>
      <c r="CI171" s="19"/>
      <c r="CJ171" s="19"/>
      <c r="CK171" s="19"/>
      <c r="CL171" s="19"/>
      <c r="CM171" s="19"/>
    </row>
  </sheetData>
  <mergeCells count="3">
    <mergeCell ref="F8:J10"/>
    <mergeCell ref="CI62:CM62"/>
    <mergeCell ref="CI90:CM90"/>
  </mergeCells>
  <conditionalFormatting sqref="J26">
    <cfRule type="expression" priority="2" aboveAverage="0" equalAverage="0" bottom="0" percent="0" rank="0" text="" dxfId="0">
      <formula>AND($F26="Yes")</formula>
    </cfRule>
    <cfRule type="expression" priority="3" aboveAverage="0" equalAverage="0" bottom="0" percent="0" rank="0" text="" dxfId="1">
      <formula>AND($F26="No")</formula>
    </cfRule>
  </conditionalFormatting>
  <conditionalFormatting sqref="T79:CA86">
    <cfRule type="expression" priority="4" aboveAverage="0" equalAverage="0" bottom="0" percent="0" rank="0" text="" dxfId="0">
      <formula>AND($F79="Yes")</formula>
    </cfRule>
    <cfRule type="expression" priority="5" aboveAverage="0" equalAverage="0" bottom="0" percent="0" rank="0" text="" dxfId="1">
      <formula>AND($F79="No")</formula>
    </cfRule>
  </conditionalFormatting>
  <conditionalFormatting sqref="I84:P86">
    <cfRule type="expression" priority="6" aboveAverage="0" equalAverage="0" bottom="0" percent="0" rank="0" text="" dxfId="0">
      <formula>AND($F84="Yes")</formula>
    </cfRule>
    <cfRule type="expression" priority="7" aboveAverage="0" equalAverage="0" bottom="0" percent="0" rank="0" text="" dxfId="1">
      <formula>AND($F84="No")</formula>
    </cfRule>
  </conditionalFormatting>
  <conditionalFormatting sqref="I112:K113">
    <cfRule type="expression" priority="8" aboveAverage="0" equalAverage="0" bottom="0" percent="0" rank="0" text="" dxfId="0">
      <formula>AND($F112="Yes")</formula>
    </cfRule>
    <cfRule type="expression" priority="9" aboveAverage="0" equalAverage="0" bottom="0" percent="0" rank="0" text="" dxfId="1">
      <formula>AND($F112="No")</formula>
    </cfRule>
  </conditionalFormatting>
  <conditionalFormatting sqref="E94:E95">
    <cfRule type="expression" priority="10" aboveAverage="0" equalAverage="0" bottom="0" percent="0" rank="0" text="" dxfId="0">
      <formula>AND($F94="Yes")</formula>
    </cfRule>
    <cfRule type="expression" priority="11" aboveAverage="0" equalAverage="0" bottom="0" percent="0" rank="0" text="" dxfId="1">
      <formula>AND($F94="No")</formula>
    </cfRule>
  </conditionalFormatting>
  <conditionalFormatting sqref="E107:E111">
    <cfRule type="expression" priority="12" aboveAverage="0" equalAverage="0" bottom="0" percent="0" rank="0" text="" dxfId="0">
      <formula>AND($F107="Yes")</formula>
    </cfRule>
    <cfRule type="expression" priority="13" aboveAverage="0" equalAverage="0" bottom="0" percent="0" rank="0" text="" dxfId="1">
      <formula>AND($F107="No")</formula>
    </cfRule>
  </conditionalFormatting>
  <conditionalFormatting sqref="E141:E143">
    <cfRule type="expression" priority="14" aboveAverage="0" equalAverage="0" bottom="0" percent="0" rank="0" text="" dxfId="0">
      <formula>AND($F141="Yes")</formula>
    </cfRule>
    <cfRule type="expression" priority="15" aboveAverage="0" equalAverage="0" bottom="0" percent="0" rank="0" text="" dxfId="1">
      <formula>AND($F141="No")</formula>
    </cfRule>
  </conditionalFormatting>
  <conditionalFormatting sqref="E136:E137">
    <cfRule type="expression" priority="16" aboveAverage="0" equalAverage="0" bottom="0" percent="0" rank="0" text="" dxfId="0">
      <formula>AND($F136="Yes")</formula>
    </cfRule>
    <cfRule type="expression" priority="17" aboveAverage="0" equalAverage="0" bottom="0" percent="0" rank="0" text="" dxfId="1">
      <formula>AND($F136="No")</formula>
    </cfRule>
  </conditionalFormatting>
  <conditionalFormatting sqref="E126:E127">
    <cfRule type="expression" priority="18" aboveAverage="0" equalAverage="0" bottom="0" percent="0" rank="0" text="" dxfId="0">
      <formula>AND($F126="Yes")</formula>
    </cfRule>
    <cfRule type="expression" priority="19" aboveAverage="0" equalAverage="0" bottom="0" percent="0" rank="0" text="" dxfId="1">
      <formula>AND($F126="No")</formula>
    </cfRule>
  </conditionalFormatting>
  <conditionalFormatting sqref="E66:E67">
    <cfRule type="expression" priority="20" aboveAverage="0" equalAverage="0" bottom="0" percent="0" rank="0" text="" dxfId="0">
      <formula>AND($F66="Yes")</formula>
    </cfRule>
    <cfRule type="expression" priority="21" aboveAverage="0" equalAverage="0" bottom="0" percent="0" rank="0" text="" dxfId="1">
      <formula>AND($F66="No")</formula>
    </cfRule>
  </conditionalFormatting>
  <conditionalFormatting sqref="CJ152:CM152">
    <cfRule type="containsText" priority="22" operator="containsText" aboveAverage="0" equalAverage="0" bottom="0" percent="0" rank="0" text="FALSE" dxfId="2">
      <formula>NOT(ISERROR(SEARCH("FALSE",CJ152)))</formula>
    </cfRule>
  </conditionalFormatting>
  <conditionalFormatting sqref="Q141:Q143">
    <cfRule type="containsText" priority="23" operator="containsText" aboveAverage="0" equalAverage="0" bottom="0" percent="0" rank="0" text="Error" dxfId="2">
      <formula>NOT(ISERROR(SEARCH("Error",Q141)))</formula>
    </cfRule>
    <cfRule type="containsText" priority="24" operator="containsText" aboveAverage="0" equalAverage="0" bottom="0" percent="0" rank="0" text="FALSE" dxfId="2">
      <formula>NOT(ISERROR(SEARCH("FALSE",Q141)))</formula>
    </cfRule>
  </conditionalFormatting>
  <conditionalFormatting sqref="Q136:Q137">
    <cfRule type="containsText" priority="25" operator="containsText" aboveAverage="0" equalAverage="0" bottom="0" percent="0" rank="0" text="Error" dxfId="2">
      <formula>NOT(ISERROR(SEARCH("Error",Q136)))</formula>
    </cfRule>
    <cfRule type="containsText" priority="26" operator="containsText" aboveAverage="0" equalAverage="0" bottom="0" percent="0" rank="0" text="FALSE" dxfId="2">
      <formula>NOT(ISERROR(SEARCH("FALSE",Q136)))</formula>
    </cfRule>
  </conditionalFormatting>
  <conditionalFormatting sqref="Q126:Q127">
    <cfRule type="containsText" priority="27" operator="containsText" aboveAverage="0" equalAverage="0" bottom="0" percent="0" rank="0" text="Error" dxfId="2">
      <formula>NOT(ISERROR(SEARCH("Error",Q126)))</formula>
    </cfRule>
    <cfRule type="containsText" priority="28" operator="containsText" aboveAverage="0" equalAverage="0" bottom="0" percent="0" rank="0" text="FALSE" dxfId="2">
      <formula>NOT(ISERROR(SEARCH("FALSE",Q126)))</formula>
    </cfRule>
  </conditionalFormatting>
  <conditionalFormatting sqref="J56:J57">
    <cfRule type="expression" priority="29" aboveAverage="0" equalAverage="0" bottom="0" percent="0" rank="0" text="" dxfId="0">
      <formula>AND($F56="Yes")</formula>
    </cfRule>
    <cfRule type="expression" priority="30" aboveAverage="0" equalAverage="0" bottom="0" percent="0" rank="0" text="" dxfId="1">
      <formula>AND($F56="No")</formula>
    </cfRule>
  </conditionalFormatting>
  <conditionalFormatting sqref="J46:J47 J51">
    <cfRule type="expression" priority="31" aboveAverage="0" equalAverage="0" bottom="0" percent="0" rank="0" text="" dxfId="0">
      <formula>AND($F46="Yes")</formula>
    </cfRule>
    <cfRule type="expression" priority="32" aboveAverage="0" equalAverage="0" bottom="0" percent="0" rank="0" text="" dxfId="1">
      <formula>AND($F46="No")</formula>
    </cfRule>
  </conditionalFormatting>
  <conditionalFormatting sqref="J52">
    <cfRule type="expression" priority="33" aboveAverage="0" equalAverage="0" bottom="0" percent="0" rank="0" text="" dxfId="0">
      <formula>AND(#ref!="Yes")</formula>
    </cfRule>
    <cfRule type="expression" priority="34" aboveAverage="0" equalAverage="0" bottom="0" percent="0" rank="0" text="" dxfId="1">
      <formula>AND(#ref!="No")</formula>
    </cfRule>
  </conditionalFormatting>
  <conditionalFormatting sqref="J42:J43">
    <cfRule type="expression" priority="35" aboveAverage="0" equalAverage="0" bottom="0" percent="0" rank="0" text="" dxfId="0">
      <formula>AND($F42="Yes")</formula>
    </cfRule>
    <cfRule type="expression" priority="36" aboveAverage="0" equalAverage="0" bottom="0" percent="0" rank="0" text="" dxfId="1">
      <formula>AND($F42="No")</formula>
    </cfRule>
  </conditionalFormatting>
  <conditionalFormatting sqref="J32:J33 J37">
    <cfRule type="expression" priority="37" aboveAverage="0" equalAverage="0" bottom="0" percent="0" rank="0" text="" dxfId="0">
      <formula>AND($F32="Yes")</formula>
    </cfRule>
    <cfRule type="expression" priority="38" aboveAverage="0" equalAverage="0" bottom="0" percent="0" rank="0" text="" dxfId="1">
      <formula>AND($F32="No")</formula>
    </cfRule>
  </conditionalFormatting>
  <conditionalFormatting sqref="J38">
    <cfRule type="expression" priority="39" aboveAverage="0" equalAverage="0" bottom="0" percent="0" rank="0" text="" dxfId="0">
      <formula>AND(#ref!="Yes")</formula>
    </cfRule>
    <cfRule type="expression" priority="40" aboveAverage="0" equalAverage="0" bottom="0" percent="0" rank="0" text="" dxfId="1">
      <formula>AND(#ref!="No")</formula>
    </cfRule>
  </conditionalFormatting>
  <conditionalFormatting sqref="CJ171:CM171">
    <cfRule type="containsText" priority="41" operator="containsText" aboveAverage="0" equalAverage="0" bottom="0" percent="0" rank="0" text="FALSE" dxfId="2">
      <formula>NOT(ISERROR(SEARCH("FALSE",CJ171)))</formula>
    </cfRule>
  </conditionalFormatting>
  <conditionalFormatting sqref="CJ120:CM120">
    <cfRule type="containsText" priority="42" operator="containsText" aboveAverage="0" equalAverage="0" bottom="0" percent="0" rank="0" text="FALSE" dxfId="2">
      <formula>NOT(ISERROR(SEARCH("FALSE",CJ120)))</formula>
    </cfRule>
  </conditionalFormatting>
  <conditionalFormatting sqref="P18:P21">
    <cfRule type="containsText" priority="43" operator="containsText" aboveAverage="0" equalAverage="0" bottom="0" percent="0" rank="0" text="PASS" dxfId="3">
      <formula>NOT(ISERROR(SEARCH("PASS",P18)))</formula>
    </cfRule>
  </conditionalFormatting>
  <conditionalFormatting sqref="CI141:CM144">
    <cfRule type="expression" priority="44" aboveAverage="0" equalAverage="0" bottom="0" percent="0" rank="0" text="" dxfId="0">
      <formula>AND($F141="Yes")</formula>
    </cfRule>
    <cfRule type="expression" priority="45" aboveAverage="0" equalAverage="0" bottom="0" percent="0" rank="0" text="" dxfId="1">
      <formula>AND($F141="No")</formula>
    </cfRule>
  </conditionalFormatting>
  <conditionalFormatting sqref="CI136:CM138">
    <cfRule type="expression" priority="46" aboveAverage="0" equalAverage="0" bottom="0" percent="0" rank="0" text="" dxfId="0">
      <formula>AND($F136="Yes")</formula>
    </cfRule>
    <cfRule type="expression" priority="47" aboveAverage="0" equalAverage="0" bottom="0" percent="0" rank="0" text="" dxfId="1">
      <formula>AND($F136="No")</formula>
    </cfRule>
  </conditionalFormatting>
  <conditionalFormatting sqref="CC141:CG144">
    <cfRule type="expression" priority="48" aboveAverage="0" equalAverage="0" bottom="0" percent="0" rank="0" text="" dxfId="0">
      <formula>AND($F141="Yes")</formula>
    </cfRule>
    <cfRule type="expression" priority="49" aboveAverage="0" equalAverage="0" bottom="0" percent="0" rank="0" text="" dxfId="1">
      <formula>AND($F141="No")</formula>
    </cfRule>
  </conditionalFormatting>
  <conditionalFormatting sqref="CC136:CG138">
    <cfRule type="expression" priority="50" aboveAverage="0" equalAverage="0" bottom="0" percent="0" rank="0" text="" dxfId="0">
      <formula>AND($F136="Yes")</formula>
    </cfRule>
    <cfRule type="expression" priority="51" aboveAverage="0" equalAverage="0" bottom="0" percent="0" rank="0" text="" dxfId="1">
      <formula>AND($F136="No")</formula>
    </cfRule>
  </conditionalFormatting>
  <conditionalFormatting sqref="V112:CA113">
    <cfRule type="expression" priority="52" aboveAverage="0" equalAverage="0" bottom="0" percent="0" rank="0" text="" dxfId="0">
      <formula>AND($F112="Yes")</formula>
    </cfRule>
    <cfRule type="expression" priority="53" aboveAverage="0" equalAverage="0" bottom="0" percent="0" rank="0" text="" dxfId="1">
      <formula>AND($F112="No")</formula>
    </cfRule>
  </conditionalFormatting>
  <conditionalFormatting sqref="T136:CA138">
    <cfRule type="expression" priority="54" aboveAverage="0" equalAverage="0" bottom="0" percent="0" rank="0" text="" dxfId="0">
      <formula>AND($F136="Yes")</formula>
    </cfRule>
    <cfRule type="expression" priority="55" aboveAverage="0" equalAverage="0" bottom="0" percent="0" rank="0" text="" dxfId="1">
      <formula>AND($F136="No")</formula>
    </cfRule>
  </conditionalFormatting>
  <conditionalFormatting sqref="V85:CA85">
    <cfRule type="expression" priority="56" aboveAverage="0" equalAverage="0" bottom="0" percent="0" rank="0" text="" dxfId="0">
      <formula>AND($F85="Yes")</formula>
    </cfRule>
    <cfRule type="expression" priority="57" aboveAverage="0" equalAverage="0" bottom="0" percent="0" rank="0" text="" dxfId="1">
      <formula>AND($F85="No")</formula>
    </cfRule>
  </conditionalFormatting>
  <conditionalFormatting sqref="T141:CA146">
    <cfRule type="expression" priority="58" aboveAverage="0" equalAverage="0" bottom="0" percent="0" rank="0" text="" dxfId="0">
      <formula>AND($F141="Yes")</formula>
    </cfRule>
    <cfRule type="expression" priority="59" aboveAverage="0" equalAverage="0" bottom="0" percent="0" rank="0" text="" dxfId="1">
      <formula>AND($F141="No")</formula>
    </cfRule>
  </conditionalFormatting>
  <conditionalFormatting sqref="Q63:R113 Q123">
    <cfRule type="containsText" priority="60" operator="containsText" aboveAverage="0" equalAverage="0" bottom="0" percent="0" rank="0" text="Error" dxfId="2">
      <formula>NOT(ISERROR(SEARCH("Error",Q63)))</formula>
    </cfRule>
  </conditionalFormatting>
  <conditionalFormatting sqref="Q66:R90 Q92:R113 CI66:CM119 CI121:CM149">
    <cfRule type="containsText" priority="61" operator="containsText" aboveAverage="0" equalAverage="0" bottom="0" percent="0" rank="0" text="FALSE" dxfId="2">
      <formula>NOT(ISERROR(SEARCH("FALSE",Q66)))</formula>
    </cfRule>
  </conditionalFormatting>
  <conditionalFormatting sqref="L136:P138">
    <cfRule type="expression" priority="62" aboveAverage="0" equalAverage="0" bottom="0" percent="0" rank="0" text="" dxfId="0">
      <formula>AND($F136="Yes")</formula>
    </cfRule>
    <cfRule type="expression" priority="63" aboveAverage="0" equalAverage="0" bottom="0" percent="0" rank="0" text="" dxfId="1">
      <formula>AND($F136="No")</formula>
    </cfRule>
  </conditionalFormatting>
  <conditionalFormatting sqref="Q117:R117">
    <cfRule type="containsText" priority="64" operator="containsText" aboveAverage="0" equalAverage="0" bottom="0" percent="0" rank="0" text="Error" dxfId="2">
      <formula>NOT(ISERROR(SEARCH("Error",Q117)))</formula>
    </cfRule>
    <cfRule type="containsText" priority="65" operator="containsText" aboveAverage="0" equalAverage="0" bottom="0" percent="0" rank="0" text="FALSE" dxfId="2">
      <formula>NOT(ISERROR(SEARCH("FALSE",Q117)))</formula>
    </cfRule>
  </conditionalFormatting>
  <conditionalFormatting sqref="I96:K96">
    <cfRule type="expression" priority="66" aboveAverage="0" equalAverage="0" bottom="0" percent="0" rank="0" text="" dxfId="0">
      <formula>AND($F96="Yes")</formula>
    </cfRule>
    <cfRule type="expression" priority="67" aboveAverage="0" equalAverage="0" bottom="0" percent="0" rank="0" text="" dxfId="1">
      <formula>AND($F96="No")</formula>
    </cfRule>
  </conditionalFormatting>
  <conditionalFormatting sqref="I104:K104">
    <cfRule type="expression" priority="68" aboveAverage="0" equalAverage="0" bottom="0" percent="0" rank="0" text="" dxfId="0">
      <formula>AND($F104="Yes")</formula>
    </cfRule>
    <cfRule type="expression" priority="69" aboveAverage="0" equalAverage="0" bottom="0" percent="0" rank="0" text="" dxfId="1">
      <formula>AND($F104="No")</formula>
    </cfRule>
  </conditionalFormatting>
  <conditionalFormatting sqref="E71:E75 E79:E83 E99:E103 F6:G6 I66:J67 I71:J75 I79:J83 I94:J95 I99:J103 I107:J111 J18:J21 J29 L66:P67 L71:P75 L79:P83 L94:P96 L99:P104 L107:P113 L126:P129 L141:P146 T66:CA68 T71:CA76 T94:CA96 T99:CA104 T107:CA113 T126:CA129 CC66:CG68 CC71:CG76 CC79:CG86 CC94:CG96 CC99:CG104 CC107:CG113 CC126:CG128 CI66:CM68 CI71:CM76 CI79:CM86 CI94:CM96 CI99:CM104 CI107:CM113 CI126:CM128">
    <cfRule type="expression" priority="70" aboveAverage="0" equalAverage="0" bottom="0" percent="0" rank="0" text="" dxfId="0">
      <formula>AND($F6="Yes")</formula>
    </cfRule>
    <cfRule type="expression" priority="71" aboveAverage="0" equalAverage="0" bottom="0" percent="0" rank="0" text="" dxfId="1">
      <formula>AND($F6="No")</formula>
    </cfRule>
  </conditionalFormatting>
  <conditionalFormatting sqref="E97">
    <cfRule type="expression" priority="72" aboveAverage="0" equalAverage="0" bottom="0" percent="0" rank="0" text="" dxfId="4">
      <formula>AND($F97="Yes")</formula>
    </cfRule>
    <cfRule type="expression" priority="73" aboveAverage="0" equalAverage="0" bottom="0" percent="0" rank="0" text="" dxfId="5">
      <formula>AND($F97="No")</formula>
    </cfRule>
  </conditionalFormatting>
  <conditionalFormatting sqref="E114">
    <cfRule type="expression" priority="74" aboveAverage="0" equalAverage="0" bottom="0" percent="0" rank="0" text="" dxfId="4">
      <formula>AND($F114="Yes")</formula>
    </cfRule>
    <cfRule type="expression" priority="75" aboveAverage="0" equalAverage="0" bottom="0" percent="0" rank="0" text="" dxfId="5">
      <formula>AND($F114="No")</formula>
    </cfRule>
  </conditionalFormatting>
  <conditionalFormatting sqref="I68:P68">
    <cfRule type="expression" priority="76" aboveAverage="0" equalAverage="0" bottom="0" percent="0" rank="0" text="" dxfId="0">
      <formula>AND($F68="Yes")</formula>
    </cfRule>
    <cfRule type="expression" priority="77" aboveAverage="0" equalAverage="0" bottom="0" percent="0" rank="0" text="" dxfId="1">
      <formula>AND($F68="No")</formula>
    </cfRule>
  </conditionalFormatting>
  <conditionalFormatting sqref="D136:D137 E69 E132">
    <cfRule type="expression" priority="78" aboveAverage="0" equalAverage="0" bottom="0" percent="0" rank="0" text="" dxfId="4">
      <formula>AND($F69="Yes")</formula>
    </cfRule>
    <cfRule type="expression" priority="79" aboveAverage="0" equalAverage="0" bottom="0" percent="0" rank="0" text="" dxfId="5">
      <formula>AND($F69="No")</formula>
    </cfRule>
  </conditionalFormatting>
  <conditionalFormatting sqref="I76:P76">
    <cfRule type="expression" priority="80" aboveAverage="0" equalAverage="0" bottom="0" percent="0" rank="0" text="" dxfId="0">
      <formula>AND($F76="Yes")</formula>
    </cfRule>
    <cfRule type="expression" priority="81" aboveAverage="0" equalAverage="0" bottom="0" percent="0" rank="0" text="" dxfId="1">
      <formula>AND($F76="No")</formula>
    </cfRule>
  </conditionalFormatting>
  <conditionalFormatting sqref="E87">
    <cfRule type="expression" priority="82" aboveAverage="0" equalAverage="0" bottom="0" percent="0" rank="0" text="" dxfId="4">
      <formula>AND($F87="Yes")</formula>
    </cfRule>
    <cfRule type="expression" priority="83" aboveAverage="0" equalAverage="0" bottom="0" percent="0" rank="0" text="" dxfId="5">
      <formula>AND($F87="No")</formula>
    </cfRule>
  </conditionalFormatting>
  <conditionalFormatting sqref="G167 J24:J25">
    <cfRule type="expression" priority="84" aboveAverage="0" equalAverage="0" bottom="0" percent="0" rank="0" text="" dxfId="0">
      <formula>AND(#ref!="Yes")</formula>
    </cfRule>
    <cfRule type="expression" priority="85" aboveAverage="0" equalAverage="0" bottom="0" percent="0" rank="0" text="" dxfId="1">
      <formula>AND(#ref!="No")</formula>
    </cfRule>
  </conditionalFormatting>
  <printOptions headings="false" gridLines="false" gridLinesSet="true" horizontalCentered="true" verticalCentered="false"/>
  <pageMargins left="0.25" right="0.25" top="0.75" bottom="0.75" header="0.511811023622047" footer="0.511811023622047"/>
  <pageSetup paperSize="1" scale="27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B2:CA1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6" topLeftCell="G7" activePane="bottomRight" state="frozen"/>
      <selection pane="topLeft" activeCell="A1" activeCellId="0" sqref="A1"/>
      <selection pane="topRight" activeCell="G1" activeCellId="0" sqref="G1"/>
      <selection pane="bottomLeft" activeCell="A7" activeCellId="0" sqref="A7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3" min="3" style="0" width="34"/>
    <col collapsed="false" customWidth="true" hidden="false" outlineLevel="0" max="4" min="4" style="0" width="15"/>
    <col collapsed="false" customWidth="true" hidden="false" outlineLevel="0" max="5" min="5" style="0" width="12"/>
    <col collapsed="false" customWidth="true" hidden="false" outlineLevel="0" max="8" min="6" style="0" width="15"/>
    <col collapsed="false" customWidth="true" hidden="false" outlineLevel="0" max="9" min="9" style="0" width="13"/>
    <col collapsed="false" customWidth="true" hidden="false" outlineLevel="0" max="10" min="10" style="0" width="2"/>
    <col collapsed="false" customWidth="true" hidden="false" outlineLevel="0" max="11" min="11" style="0" width="12"/>
    <col collapsed="false" customWidth="true" hidden="false" outlineLevel="0" max="16" min="12" style="0" width="11"/>
    <col collapsed="false" customWidth="true" hidden="false" outlineLevel="0" max="17" min="17" style="0" width="2"/>
    <col collapsed="false" customWidth="true" hidden="false" outlineLevel="0" max="18" min="18" style="0" width="60"/>
    <col collapsed="false" customWidth="true" hidden="false" outlineLevel="0" max="19" min="19" style="0" width="2"/>
    <col collapsed="false" customWidth="true" hidden="false" outlineLevel="0" max="79" min="20" style="0" width="9"/>
  </cols>
  <sheetData>
    <row r="2" customFormat="false" ht="24" hidden="false" customHeight="true" outlineLevel="0" collapsed="false">
      <c r="B2" s="153" t="s">
        <v>407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5" hidden="false" customHeight="false" outlineLevel="0" collapsed="false">
      <c r="B3" s="154" t="s">
        <v>242</v>
      </c>
    </row>
    <row r="5" customFormat="false" ht="15" hidden="false" customHeight="false" outlineLevel="0" collapsed="false">
      <c r="T5" s="175" t="n">
        <v>2026</v>
      </c>
      <c r="U5" s="175" t="n">
        <v>2026</v>
      </c>
      <c r="V5" s="175" t="n">
        <v>2026</v>
      </c>
      <c r="W5" s="175" t="n">
        <v>2026</v>
      </c>
      <c r="X5" s="175" t="n">
        <v>2026</v>
      </c>
      <c r="Y5" s="175" t="n">
        <v>2026</v>
      </c>
      <c r="Z5" s="175" t="n">
        <v>2026</v>
      </c>
      <c r="AA5" s="175" t="n">
        <v>2026</v>
      </c>
      <c r="AB5" s="175" t="n">
        <v>2026</v>
      </c>
      <c r="AC5" s="175" t="n">
        <v>2026</v>
      </c>
      <c r="AD5" s="175" t="n">
        <v>2026</v>
      </c>
      <c r="AE5" s="175" t="n">
        <v>2026</v>
      </c>
      <c r="AF5" s="175" t="n">
        <v>2027</v>
      </c>
      <c r="AG5" s="175" t="n">
        <v>2027</v>
      </c>
      <c r="AH5" s="175" t="n">
        <v>2027</v>
      </c>
      <c r="AI5" s="175" t="n">
        <v>2027</v>
      </c>
      <c r="AJ5" s="175" t="n">
        <v>2027</v>
      </c>
      <c r="AK5" s="175" t="n">
        <v>2027</v>
      </c>
      <c r="AL5" s="175" t="n">
        <v>2027</v>
      </c>
      <c r="AM5" s="175" t="n">
        <v>2027</v>
      </c>
      <c r="AN5" s="175" t="n">
        <v>2027</v>
      </c>
      <c r="AO5" s="175" t="n">
        <v>2027</v>
      </c>
      <c r="AP5" s="175" t="n">
        <v>2027</v>
      </c>
      <c r="AQ5" s="175" t="n">
        <v>2027</v>
      </c>
      <c r="AR5" s="175" t="n">
        <v>2028</v>
      </c>
      <c r="AS5" s="175" t="n">
        <v>2028</v>
      </c>
      <c r="AT5" s="175" t="n">
        <v>2028</v>
      </c>
      <c r="AU5" s="175" t="n">
        <v>2028</v>
      </c>
      <c r="AV5" s="175" t="n">
        <v>2028</v>
      </c>
      <c r="AW5" s="175" t="n">
        <v>2028</v>
      </c>
      <c r="AX5" s="175" t="n">
        <v>2028</v>
      </c>
      <c r="AY5" s="175" t="n">
        <v>2028</v>
      </c>
      <c r="AZ5" s="175" t="n">
        <v>2028</v>
      </c>
      <c r="BA5" s="175" t="n">
        <v>2028</v>
      </c>
      <c r="BB5" s="175" t="n">
        <v>2028</v>
      </c>
      <c r="BC5" s="175" t="n">
        <v>2028</v>
      </c>
      <c r="BD5" s="175" t="n">
        <v>2029</v>
      </c>
      <c r="BE5" s="175" t="n">
        <v>2029</v>
      </c>
      <c r="BF5" s="175" t="n">
        <v>2029</v>
      </c>
      <c r="BG5" s="175" t="n">
        <v>2029</v>
      </c>
      <c r="BH5" s="175" t="n">
        <v>2029</v>
      </c>
      <c r="BI5" s="175" t="n">
        <v>2029</v>
      </c>
      <c r="BJ5" s="175" t="n">
        <v>2029</v>
      </c>
      <c r="BK5" s="175" t="n">
        <v>2029</v>
      </c>
      <c r="BL5" s="175" t="n">
        <v>2029</v>
      </c>
      <c r="BM5" s="175" t="n">
        <v>2029</v>
      </c>
      <c r="BN5" s="175" t="n">
        <v>2029</v>
      </c>
      <c r="BO5" s="175" t="n">
        <v>2029</v>
      </c>
      <c r="BP5" s="175" t="n">
        <v>2030</v>
      </c>
      <c r="BQ5" s="175" t="n">
        <v>2030</v>
      </c>
      <c r="BR5" s="175" t="n">
        <v>2030</v>
      </c>
      <c r="BS5" s="175" t="n">
        <v>2030</v>
      </c>
      <c r="BT5" s="175" t="n">
        <v>2030</v>
      </c>
      <c r="BU5" s="175" t="n">
        <v>2030</v>
      </c>
      <c r="BV5" s="175" t="n">
        <v>2030</v>
      </c>
      <c r="BW5" s="175" t="n">
        <v>2030</v>
      </c>
      <c r="BX5" s="175" t="n">
        <v>2030</v>
      </c>
      <c r="BY5" s="175" t="n">
        <v>2030</v>
      </c>
      <c r="BZ5" s="175" t="n">
        <v>2030</v>
      </c>
      <c r="CA5" s="175" t="n">
        <v>2030</v>
      </c>
    </row>
    <row r="6" customFormat="false" ht="15" hidden="false" customHeight="false" outlineLevel="0" collapsed="false">
      <c r="B6" s="161" t="s">
        <v>243</v>
      </c>
      <c r="K6" s="176" t="s">
        <v>244</v>
      </c>
      <c r="L6" s="176" t="n">
        <v>2026</v>
      </c>
      <c r="M6" s="176" t="n">
        <v>2027</v>
      </c>
      <c r="N6" s="176" t="n">
        <v>2028</v>
      </c>
      <c r="O6" s="176" t="n">
        <v>2029</v>
      </c>
      <c r="P6" s="176" t="n">
        <v>2030</v>
      </c>
      <c r="T6" s="177" t="n">
        <f aca="false">DATE(2026,1,31)</f>
        <v>46053</v>
      </c>
      <c r="U6" s="177" t="n">
        <f aca="false">EOMONTH(T6,1)</f>
        <v>46081</v>
      </c>
      <c r="V6" s="177" t="n">
        <f aca="false">EOMONTH(U6,1)</f>
        <v>46112</v>
      </c>
      <c r="W6" s="177" t="n">
        <f aca="false">EOMONTH(V6,1)</f>
        <v>46142</v>
      </c>
      <c r="X6" s="177" t="n">
        <f aca="false">EOMONTH(W6,1)</f>
        <v>46173</v>
      </c>
      <c r="Y6" s="177" t="n">
        <f aca="false">EOMONTH(X6,1)</f>
        <v>46203</v>
      </c>
      <c r="Z6" s="177" t="n">
        <f aca="false">EOMONTH(Y6,1)</f>
        <v>46234</v>
      </c>
      <c r="AA6" s="177" t="n">
        <f aca="false">EOMONTH(Z6,1)</f>
        <v>46265</v>
      </c>
      <c r="AB6" s="177" t="n">
        <f aca="false">EOMONTH(AA6,1)</f>
        <v>46295</v>
      </c>
      <c r="AC6" s="177" t="n">
        <f aca="false">EOMONTH(AB6,1)</f>
        <v>46326</v>
      </c>
      <c r="AD6" s="177" t="n">
        <f aca="false">EOMONTH(AC6,1)</f>
        <v>46356</v>
      </c>
      <c r="AE6" s="177" t="n">
        <f aca="false">EOMONTH(AD6,1)</f>
        <v>46387</v>
      </c>
      <c r="AF6" s="177" t="n">
        <f aca="false">EOMONTH(AE6,1)</f>
        <v>46418</v>
      </c>
      <c r="AG6" s="177" t="n">
        <f aca="false">EOMONTH(AF6,1)</f>
        <v>46446</v>
      </c>
      <c r="AH6" s="177" t="n">
        <f aca="false">EOMONTH(AG6,1)</f>
        <v>46477</v>
      </c>
      <c r="AI6" s="177" t="n">
        <f aca="false">EOMONTH(AH6,1)</f>
        <v>46507</v>
      </c>
      <c r="AJ6" s="177" t="n">
        <f aca="false">EOMONTH(AI6,1)</f>
        <v>46538</v>
      </c>
      <c r="AK6" s="177" t="n">
        <f aca="false">EOMONTH(AJ6,1)</f>
        <v>46568</v>
      </c>
      <c r="AL6" s="177" t="n">
        <f aca="false">EOMONTH(AK6,1)</f>
        <v>46599</v>
      </c>
      <c r="AM6" s="177" t="n">
        <f aca="false">EOMONTH(AL6,1)</f>
        <v>46630</v>
      </c>
      <c r="AN6" s="177" t="n">
        <f aca="false">EOMONTH(AM6,1)</f>
        <v>46660</v>
      </c>
      <c r="AO6" s="177" t="n">
        <f aca="false">EOMONTH(AN6,1)</f>
        <v>46691</v>
      </c>
      <c r="AP6" s="177" t="n">
        <f aca="false">EOMONTH(AO6,1)</f>
        <v>46721</v>
      </c>
      <c r="AQ6" s="177" t="n">
        <f aca="false">EOMONTH(AP6,1)</f>
        <v>46752</v>
      </c>
      <c r="AR6" s="177" t="n">
        <f aca="false">EOMONTH(AQ6,1)</f>
        <v>46783</v>
      </c>
      <c r="AS6" s="177" t="n">
        <f aca="false">EOMONTH(AR6,1)</f>
        <v>46812</v>
      </c>
      <c r="AT6" s="177" t="n">
        <f aca="false">EOMONTH(AS6,1)</f>
        <v>46843</v>
      </c>
      <c r="AU6" s="177" t="n">
        <f aca="false">EOMONTH(AT6,1)</f>
        <v>46873</v>
      </c>
      <c r="AV6" s="177" t="n">
        <f aca="false">EOMONTH(AU6,1)</f>
        <v>46904</v>
      </c>
      <c r="AW6" s="177" t="n">
        <f aca="false">EOMONTH(AV6,1)</f>
        <v>46934</v>
      </c>
      <c r="AX6" s="177" t="n">
        <f aca="false">EOMONTH(AW6,1)</f>
        <v>46965</v>
      </c>
      <c r="AY6" s="177" t="n">
        <f aca="false">EOMONTH(AX6,1)</f>
        <v>46996</v>
      </c>
      <c r="AZ6" s="177" t="n">
        <f aca="false">EOMONTH(AY6,1)</f>
        <v>47026</v>
      </c>
      <c r="BA6" s="177" t="n">
        <f aca="false">EOMONTH(AZ6,1)</f>
        <v>47057</v>
      </c>
      <c r="BB6" s="177" t="n">
        <f aca="false">EOMONTH(BA6,1)</f>
        <v>47087</v>
      </c>
      <c r="BC6" s="177" t="n">
        <f aca="false">EOMONTH(BB6,1)</f>
        <v>47118</v>
      </c>
      <c r="BD6" s="177" t="n">
        <f aca="false">EOMONTH(BC6,1)</f>
        <v>47149</v>
      </c>
      <c r="BE6" s="177" t="n">
        <f aca="false">EOMONTH(BD6,1)</f>
        <v>47177</v>
      </c>
      <c r="BF6" s="177" t="n">
        <f aca="false">EOMONTH(BE6,1)</f>
        <v>47208</v>
      </c>
      <c r="BG6" s="177" t="n">
        <f aca="false">EOMONTH(BF6,1)</f>
        <v>47238</v>
      </c>
      <c r="BH6" s="177" t="n">
        <f aca="false">EOMONTH(BG6,1)</f>
        <v>47269</v>
      </c>
      <c r="BI6" s="177" t="n">
        <f aca="false">EOMONTH(BH6,1)</f>
        <v>47299</v>
      </c>
      <c r="BJ6" s="177" t="n">
        <f aca="false">EOMONTH(BI6,1)</f>
        <v>47330</v>
      </c>
      <c r="BK6" s="177" t="n">
        <f aca="false">EOMONTH(BJ6,1)</f>
        <v>47361</v>
      </c>
      <c r="BL6" s="177" t="n">
        <f aca="false">EOMONTH(BK6,1)</f>
        <v>47391</v>
      </c>
      <c r="BM6" s="177" t="n">
        <f aca="false">EOMONTH(BL6,1)</f>
        <v>47422</v>
      </c>
      <c r="BN6" s="177" t="n">
        <f aca="false">EOMONTH(BM6,1)</f>
        <v>47452</v>
      </c>
      <c r="BO6" s="177" t="n">
        <f aca="false">EOMONTH(BN6,1)</f>
        <v>47483</v>
      </c>
      <c r="BP6" s="177" t="n">
        <f aca="false">EOMONTH(BO6,1)</f>
        <v>47514</v>
      </c>
      <c r="BQ6" s="177" t="n">
        <f aca="false">EOMONTH(BP6,1)</f>
        <v>47542</v>
      </c>
      <c r="BR6" s="177" t="n">
        <f aca="false">EOMONTH(BQ6,1)</f>
        <v>47573</v>
      </c>
      <c r="BS6" s="177" t="n">
        <f aca="false">EOMONTH(BR6,1)</f>
        <v>47603</v>
      </c>
      <c r="BT6" s="177" t="n">
        <f aca="false">EOMONTH(BS6,1)</f>
        <v>47634</v>
      </c>
      <c r="BU6" s="177" t="n">
        <f aca="false">EOMONTH(BT6,1)</f>
        <v>47664</v>
      </c>
      <c r="BV6" s="177" t="n">
        <f aca="false">EOMONTH(BU6,1)</f>
        <v>47695</v>
      </c>
      <c r="BW6" s="177" t="n">
        <f aca="false">EOMONTH(BV6,1)</f>
        <v>47726</v>
      </c>
      <c r="BX6" s="177" t="n">
        <f aca="false">EOMONTH(BW6,1)</f>
        <v>47756</v>
      </c>
      <c r="BY6" s="177" t="n">
        <f aca="false">EOMONTH(BX6,1)</f>
        <v>47787</v>
      </c>
      <c r="BZ6" s="177" t="n">
        <f aca="false">EOMONTH(BY6,1)</f>
        <v>47817</v>
      </c>
      <c r="CA6" s="177" t="n">
        <f aca="false">EOMONTH(BZ6,1)</f>
        <v>47848</v>
      </c>
    </row>
    <row r="8" customFormat="false" ht="18" hidden="false" customHeight="true" outlineLevel="0" collapsed="false">
      <c r="B8" s="5" t="s">
        <v>245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10" customFormat="false" ht="15" hidden="false" customHeight="false" outlineLevel="0" collapsed="false">
      <c r="B10" s="10" t="s">
        <v>246</v>
      </c>
      <c r="D10" s="9" t="s">
        <v>408</v>
      </c>
      <c r="E10" s="9"/>
      <c r="F10" s="9"/>
      <c r="G10" s="9"/>
      <c r="H10" s="9"/>
    </row>
    <row r="11" customFormat="false" ht="22.35" hidden="false" customHeight="false" outlineLevel="0" collapsed="false">
      <c r="B11" s="10" t="s">
        <v>248</v>
      </c>
      <c r="D11" s="9" t="s">
        <v>409</v>
      </c>
      <c r="E11" s="9"/>
      <c r="F11" s="9"/>
      <c r="G11" s="9"/>
      <c r="H11" s="9"/>
      <c r="I11" s="155" t="s">
        <v>250</v>
      </c>
    </row>
    <row r="12" customFormat="false" ht="15" hidden="false" customHeight="false" outlineLevel="0" collapsed="false">
      <c r="B12" s="10" t="s">
        <v>122</v>
      </c>
      <c r="D12" s="9" t="s">
        <v>251</v>
      </c>
      <c r="E12" s="9"/>
      <c r="F12" s="9"/>
      <c r="G12" s="9"/>
      <c r="H12" s="9"/>
    </row>
    <row r="13" customFormat="false" ht="22.35" hidden="false" customHeight="false" outlineLevel="0" collapsed="false">
      <c r="B13" s="3" t="s">
        <v>252</v>
      </c>
      <c r="D13" s="178" t="n">
        <f aca="false">DATE(2027,6,1)</f>
        <v>46539</v>
      </c>
      <c r="I13" s="155" t="s">
        <v>253</v>
      </c>
    </row>
    <row r="15" customFormat="false" ht="15" hidden="false" customHeight="false" outlineLevel="0" collapsed="false">
      <c r="B15" s="167" t="s">
        <v>254</v>
      </c>
    </row>
    <row r="16" customFormat="false" ht="15" hidden="false" customHeight="false" outlineLevel="0" collapsed="false">
      <c r="B16" s="167" t="s">
        <v>255</v>
      </c>
    </row>
    <row r="17" customFormat="false" ht="15" hidden="false" customHeight="false" outlineLevel="0" collapsed="false">
      <c r="B17" s="179" t="s">
        <v>256</v>
      </c>
    </row>
    <row r="18" customFormat="false" ht="15" hidden="false" customHeight="false" outlineLevel="0" collapsed="false">
      <c r="B18" s="180" t="s">
        <v>410</v>
      </c>
    </row>
    <row r="19" customFormat="false" ht="15" hidden="false" customHeight="false" outlineLevel="0" collapsed="false">
      <c r="B19" s="180" t="s">
        <v>411</v>
      </c>
    </row>
    <row r="20" customFormat="false" ht="15" hidden="false" customHeight="false" outlineLevel="0" collapsed="false">
      <c r="B20" s="180" t="s">
        <v>412</v>
      </c>
    </row>
    <row r="21" customFormat="false" ht="15" hidden="false" customHeight="false" outlineLevel="0" collapsed="false">
      <c r="B21" s="180" t="s">
        <v>413</v>
      </c>
    </row>
    <row r="23" customFormat="false" ht="18" hidden="false" customHeight="true" outlineLevel="0" collapsed="false">
      <c r="B23" s="5" t="s">
        <v>262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</row>
    <row r="25" customFormat="false" ht="15" hidden="false" customHeight="false" outlineLevel="0" collapsed="false">
      <c r="B25" s="181" t="s">
        <v>414</v>
      </c>
    </row>
    <row r="26" customFormat="false" ht="43.25" hidden="false" customHeight="false" outlineLevel="0" collapsed="false">
      <c r="B26" s="182" t="s">
        <v>415</v>
      </c>
      <c r="D26" s="156" t="n">
        <v>0</v>
      </c>
      <c r="E26" s="167" t="s">
        <v>265</v>
      </c>
      <c r="F26" s="155" t="s">
        <v>416</v>
      </c>
    </row>
    <row r="27" customFormat="false" ht="43.25" hidden="false" customHeight="false" outlineLevel="0" collapsed="false">
      <c r="B27" s="182" t="s">
        <v>417</v>
      </c>
      <c r="D27" s="158" t="n">
        <v>0</v>
      </c>
      <c r="E27" s="167" t="s">
        <v>271</v>
      </c>
      <c r="F27" s="155" t="s">
        <v>269</v>
      </c>
    </row>
    <row r="28" customFormat="false" ht="15" hidden="false" customHeight="false" outlineLevel="0" collapsed="false">
      <c r="B28" s="181" t="s">
        <v>418</v>
      </c>
    </row>
    <row r="29" customFormat="false" ht="43.25" hidden="false" customHeight="false" outlineLevel="0" collapsed="false">
      <c r="B29" s="182" t="s">
        <v>419</v>
      </c>
      <c r="D29" s="168" t="n">
        <v>0.2</v>
      </c>
      <c r="E29" s="167" t="s">
        <v>277</v>
      </c>
      <c r="F29" s="155" t="s">
        <v>420</v>
      </c>
    </row>
    <row r="30" customFormat="false" ht="15" hidden="false" customHeight="false" outlineLevel="0" collapsed="false">
      <c r="B30" s="182" t="s">
        <v>421</v>
      </c>
      <c r="D30" s="168" t="n">
        <v>0.75</v>
      </c>
      <c r="E30" s="167" t="s">
        <v>277</v>
      </c>
      <c r="F30" s="155" t="s">
        <v>422</v>
      </c>
    </row>
    <row r="31" customFormat="false" ht="32.8" hidden="false" customHeight="false" outlineLevel="0" collapsed="false">
      <c r="B31" s="182" t="s">
        <v>281</v>
      </c>
      <c r="D31" s="168" t="n">
        <v>0.65</v>
      </c>
      <c r="E31" s="167" t="s">
        <v>277</v>
      </c>
      <c r="F31" s="155" t="s">
        <v>423</v>
      </c>
    </row>
    <row r="32" customFormat="false" ht="15" hidden="false" customHeight="false" outlineLevel="0" collapsed="false">
      <c r="B32" s="181" t="s">
        <v>283</v>
      </c>
    </row>
    <row r="33" customFormat="false" ht="15" hidden="false" customHeight="false" outlineLevel="0" collapsed="false">
      <c r="B33" s="182" t="s">
        <v>284</v>
      </c>
      <c r="D33" s="168" t="n">
        <v>0.08</v>
      </c>
      <c r="E33" s="167" t="s">
        <v>277</v>
      </c>
    </row>
    <row r="34" customFormat="false" ht="15" hidden="false" customHeight="false" outlineLevel="0" collapsed="false">
      <c r="B34" s="182" t="s">
        <v>286</v>
      </c>
      <c r="D34" s="168" t="n">
        <v>0.1</v>
      </c>
      <c r="E34" s="167" t="s">
        <v>277</v>
      </c>
    </row>
    <row r="35" customFormat="false" ht="15" hidden="false" customHeight="false" outlineLevel="0" collapsed="false">
      <c r="B35" s="182" t="s">
        <v>288</v>
      </c>
      <c r="D35" s="9"/>
    </row>
    <row r="36" customFormat="false" ht="15" hidden="false" customHeight="false" outlineLevel="0" collapsed="false">
      <c r="B36" s="182" t="s">
        <v>288</v>
      </c>
      <c r="D36" s="9"/>
    </row>
    <row r="38" customFormat="false" ht="18" hidden="false" customHeight="true" outlineLevel="0" collapsed="false">
      <c r="B38" s="5" t="s">
        <v>289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</row>
    <row r="40" customFormat="false" ht="15" hidden="false" customHeight="false" outlineLevel="0" collapsed="false">
      <c r="B40" s="182" t="s">
        <v>424</v>
      </c>
      <c r="D40" s="159" t="n">
        <f aca="false">$D$26*$D$27</f>
        <v>0</v>
      </c>
      <c r="E40" s="167" t="s">
        <v>271</v>
      </c>
    </row>
    <row r="41" customFormat="false" ht="15" hidden="false" customHeight="false" outlineLevel="0" collapsed="false">
      <c r="B41" s="182" t="s">
        <v>293</v>
      </c>
      <c r="D41" s="159" t="n">
        <f aca="false">$D$40*$D$29*$D$30</f>
        <v>0</v>
      </c>
      <c r="E41" s="167" t="s">
        <v>271</v>
      </c>
    </row>
    <row r="42" customFormat="false" ht="22.35" hidden="false" customHeight="false" outlineLevel="0" collapsed="false">
      <c r="B42" s="182" t="s">
        <v>295</v>
      </c>
      <c r="D42" s="159" t="n">
        <f aca="false">$D$41*$D$31</f>
        <v>0</v>
      </c>
      <c r="E42" s="167" t="s">
        <v>271</v>
      </c>
      <c r="F42" s="155" t="s">
        <v>425</v>
      </c>
    </row>
    <row r="44" customFormat="false" ht="18" hidden="false" customHeight="true" outlineLevel="0" collapsed="false">
      <c r="B44" s="5" t="s">
        <v>297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</row>
    <row r="46" customFormat="false" ht="53.7" hidden="false" customHeight="false" outlineLevel="0" collapsed="false">
      <c r="B46" s="3" t="s">
        <v>298</v>
      </c>
      <c r="D46" s="156" t="n">
        <v>12</v>
      </c>
      <c r="F46" s="155" t="s">
        <v>299</v>
      </c>
    </row>
    <row r="47" customFormat="false" ht="15" hidden="false" customHeight="false" outlineLevel="0" collapsed="false">
      <c r="B47" s="10" t="s">
        <v>300</v>
      </c>
      <c r="T47" s="183" t="n">
        <f aca="false">MIN(1,MAX(0,((YEAR(T$6)-YEAR($D$13))*12+MONTH(T$6)-MONTH($D$13)+0.5)/MAX($D$46,0.5)))</f>
        <v>0</v>
      </c>
      <c r="U47" s="183" t="n">
        <f aca="false">MIN(1,MAX(0,((YEAR(U$6)-YEAR($D$13))*12+MONTH(U$6)-MONTH($D$13)+0.5)/MAX($D$46,0.5)))</f>
        <v>0</v>
      </c>
      <c r="V47" s="183" t="n">
        <f aca="false">MIN(1,MAX(0,((YEAR(V$6)-YEAR($D$13))*12+MONTH(V$6)-MONTH($D$13)+0.5)/MAX($D$46,0.5)))</f>
        <v>0</v>
      </c>
      <c r="W47" s="183" t="n">
        <f aca="false">MIN(1,MAX(0,((YEAR(W$6)-YEAR($D$13))*12+MONTH(W$6)-MONTH($D$13)+0.5)/MAX($D$46,0.5)))</f>
        <v>0</v>
      </c>
      <c r="X47" s="183" t="n">
        <f aca="false">MIN(1,MAX(0,((YEAR(X$6)-YEAR($D$13))*12+MONTH(X$6)-MONTH($D$13)+0.5)/MAX($D$46,0.5)))</f>
        <v>0</v>
      </c>
      <c r="Y47" s="183" t="n">
        <f aca="false">MIN(1,MAX(0,((YEAR(Y$6)-YEAR($D$13))*12+MONTH(Y$6)-MONTH($D$13)+0.5)/MAX($D$46,0.5)))</f>
        <v>0</v>
      </c>
      <c r="Z47" s="183" t="n">
        <f aca="false">MIN(1,MAX(0,((YEAR(Z$6)-YEAR($D$13))*12+MONTH(Z$6)-MONTH($D$13)+0.5)/MAX($D$46,0.5)))</f>
        <v>0</v>
      </c>
      <c r="AA47" s="183" t="n">
        <f aca="false">MIN(1,MAX(0,((YEAR(AA$6)-YEAR($D$13))*12+MONTH(AA$6)-MONTH($D$13)+0.5)/MAX($D$46,0.5)))</f>
        <v>0</v>
      </c>
      <c r="AB47" s="183" t="n">
        <f aca="false">MIN(1,MAX(0,((YEAR(AB$6)-YEAR($D$13))*12+MONTH(AB$6)-MONTH($D$13)+0.5)/MAX($D$46,0.5)))</f>
        <v>0</v>
      </c>
      <c r="AC47" s="183" t="n">
        <f aca="false">MIN(1,MAX(0,((YEAR(AC$6)-YEAR($D$13))*12+MONTH(AC$6)-MONTH($D$13)+0.5)/MAX($D$46,0.5)))</f>
        <v>0</v>
      </c>
      <c r="AD47" s="183" t="n">
        <f aca="false">MIN(1,MAX(0,((YEAR(AD$6)-YEAR($D$13))*12+MONTH(AD$6)-MONTH($D$13)+0.5)/MAX($D$46,0.5)))</f>
        <v>0</v>
      </c>
      <c r="AE47" s="183" t="n">
        <f aca="false">MIN(1,MAX(0,((YEAR(AE$6)-YEAR($D$13))*12+MONTH(AE$6)-MONTH($D$13)+0.5)/MAX($D$46,0.5)))</f>
        <v>0</v>
      </c>
      <c r="AF47" s="183" t="n">
        <f aca="false">MIN(1,MAX(0,((YEAR(AF$6)-YEAR($D$13))*12+MONTH(AF$6)-MONTH($D$13)+0.5)/MAX($D$46,0.5)))</f>
        <v>0</v>
      </c>
      <c r="AG47" s="183" t="n">
        <f aca="false">MIN(1,MAX(0,((YEAR(AG$6)-YEAR($D$13))*12+MONTH(AG$6)-MONTH($D$13)+0.5)/MAX($D$46,0.5)))</f>
        <v>0</v>
      </c>
      <c r="AH47" s="183" t="n">
        <f aca="false">MIN(1,MAX(0,((YEAR(AH$6)-YEAR($D$13))*12+MONTH(AH$6)-MONTH($D$13)+0.5)/MAX($D$46,0.5)))</f>
        <v>0</v>
      </c>
      <c r="AI47" s="183" t="n">
        <f aca="false">MIN(1,MAX(0,((YEAR(AI$6)-YEAR($D$13))*12+MONTH(AI$6)-MONTH($D$13)+0.5)/MAX($D$46,0.5)))</f>
        <v>0</v>
      </c>
      <c r="AJ47" s="183" t="n">
        <f aca="false">MIN(1,MAX(0,((YEAR(AJ$6)-YEAR($D$13))*12+MONTH(AJ$6)-MONTH($D$13)+0.5)/MAX($D$46,0.5)))</f>
        <v>0</v>
      </c>
      <c r="AK47" s="183" t="n">
        <f aca="false">MIN(1,MAX(0,((YEAR(AK$6)-YEAR($D$13))*12+MONTH(AK$6)-MONTH($D$13)+0.5)/MAX($D$46,0.5)))</f>
        <v>0.0416666666666667</v>
      </c>
      <c r="AL47" s="183" t="n">
        <f aca="false">MIN(1,MAX(0,((YEAR(AL$6)-YEAR($D$13))*12+MONTH(AL$6)-MONTH($D$13)+0.5)/MAX($D$46,0.5)))</f>
        <v>0.125</v>
      </c>
      <c r="AM47" s="183" t="n">
        <f aca="false">MIN(1,MAX(0,((YEAR(AM$6)-YEAR($D$13))*12+MONTH(AM$6)-MONTH($D$13)+0.5)/MAX($D$46,0.5)))</f>
        <v>0.208333333333333</v>
      </c>
      <c r="AN47" s="183" t="n">
        <f aca="false">MIN(1,MAX(0,((YEAR(AN$6)-YEAR($D$13))*12+MONTH(AN$6)-MONTH($D$13)+0.5)/MAX($D$46,0.5)))</f>
        <v>0.291666666666667</v>
      </c>
      <c r="AO47" s="183" t="n">
        <f aca="false">MIN(1,MAX(0,((YEAR(AO$6)-YEAR($D$13))*12+MONTH(AO$6)-MONTH($D$13)+0.5)/MAX($D$46,0.5)))</f>
        <v>0.375</v>
      </c>
      <c r="AP47" s="183" t="n">
        <f aca="false">MIN(1,MAX(0,((YEAR(AP$6)-YEAR($D$13))*12+MONTH(AP$6)-MONTH($D$13)+0.5)/MAX($D$46,0.5)))</f>
        <v>0.458333333333333</v>
      </c>
      <c r="AQ47" s="183" t="n">
        <f aca="false">MIN(1,MAX(0,((YEAR(AQ$6)-YEAR($D$13))*12+MONTH(AQ$6)-MONTH($D$13)+0.5)/MAX($D$46,0.5)))</f>
        <v>0.541666666666667</v>
      </c>
      <c r="AR47" s="183" t="n">
        <f aca="false">MIN(1,MAX(0,((YEAR(AR$6)-YEAR($D$13))*12+MONTH(AR$6)-MONTH($D$13)+0.5)/MAX($D$46,0.5)))</f>
        <v>0.625</v>
      </c>
      <c r="AS47" s="183" t="n">
        <f aca="false">MIN(1,MAX(0,((YEAR(AS$6)-YEAR($D$13))*12+MONTH(AS$6)-MONTH($D$13)+0.5)/MAX($D$46,0.5)))</f>
        <v>0.708333333333333</v>
      </c>
      <c r="AT47" s="183" t="n">
        <f aca="false">MIN(1,MAX(0,((YEAR(AT$6)-YEAR($D$13))*12+MONTH(AT$6)-MONTH($D$13)+0.5)/MAX($D$46,0.5)))</f>
        <v>0.791666666666667</v>
      </c>
      <c r="AU47" s="183" t="n">
        <f aca="false">MIN(1,MAX(0,((YEAR(AU$6)-YEAR($D$13))*12+MONTH(AU$6)-MONTH($D$13)+0.5)/MAX($D$46,0.5)))</f>
        <v>0.875</v>
      </c>
      <c r="AV47" s="183" t="n">
        <f aca="false">MIN(1,MAX(0,((YEAR(AV$6)-YEAR($D$13))*12+MONTH(AV$6)-MONTH($D$13)+0.5)/MAX($D$46,0.5)))</f>
        <v>0.958333333333333</v>
      </c>
      <c r="AW47" s="183" t="n">
        <f aca="false">MIN(1,MAX(0,((YEAR(AW$6)-YEAR($D$13))*12+MONTH(AW$6)-MONTH($D$13)+0.5)/MAX($D$46,0.5)))</f>
        <v>1</v>
      </c>
      <c r="AX47" s="183" t="n">
        <f aca="false">MIN(1,MAX(0,((YEAR(AX$6)-YEAR($D$13))*12+MONTH(AX$6)-MONTH($D$13)+0.5)/MAX($D$46,0.5)))</f>
        <v>1</v>
      </c>
      <c r="AY47" s="183" t="n">
        <f aca="false">MIN(1,MAX(0,((YEAR(AY$6)-YEAR($D$13))*12+MONTH(AY$6)-MONTH($D$13)+0.5)/MAX($D$46,0.5)))</f>
        <v>1</v>
      </c>
      <c r="AZ47" s="183" t="n">
        <f aca="false">MIN(1,MAX(0,((YEAR(AZ$6)-YEAR($D$13))*12+MONTH(AZ$6)-MONTH($D$13)+0.5)/MAX($D$46,0.5)))</f>
        <v>1</v>
      </c>
      <c r="BA47" s="183" t="n">
        <f aca="false">MIN(1,MAX(0,((YEAR(BA$6)-YEAR($D$13))*12+MONTH(BA$6)-MONTH($D$13)+0.5)/MAX($D$46,0.5)))</f>
        <v>1</v>
      </c>
      <c r="BB47" s="183" t="n">
        <f aca="false">MIN(1,MAX(0,((YEAR(BB$6)-YEAR($D$13))*12+MONTH(BB$6)-MONTH($D$13)+0.5)/MAX($D$46,0.5)))</f>
        <v>1</v>
      </c>
      <c r="BC47" s="183" t="n">
        <f aca="false">MIN(1,MAX(0,((YEAR(BC$6)-YEAR($D$13))*12+MONTH(BC$6)-MONTH($D$13)+0.5)/MAX($D$46,0.5)))</f>
        <v>1</v>
      </c>
      <c r="BD47" s="183" t="n">
        <f aca="false">MIN(1,MAX(0,((YEAR(BD$6)-YEAR($D$13))*12+MONTH(BD$6)-MONTH($D$13)+0.5)/MAX($D$46,0.5)))</f>
        <v>1</v>
      </c>
      <c r="BE47" s="183" t="n">
        <f aca="false">MIN(1,MAX(0,((YEAR(BE$6)-YEAR($D$13))*12+MONTH(BE$6)-MONTH($D$13)+0.5)/MAX($D$46,0.5)))</f>
        <v>1</v>
      </c>
      <c r="BF47" s="183" t="n">
        <f aca="false">MIN(1,MAX(0,((YEAR(BF$6)-YEAR($D$13))*12+MONTH(BF$6)-MONTH($D$13)+0.5)/MAX($D$46,0.5)))</f>
        <v>1</v>
      </c>
      <c r="BG47" s="183" t="n">
        <f aca="false">MIN(1,MAX(0,((YEAR(BG$6)-YEAR($D$13))*12+MONTH(BG$6)-MONTH($D$13)+0.5)/MAX($D$46,0.5)))</f>
        <v>1</v>
      </c>
      <c r="BH47" s="183" t="n">
        <f aca="false">MIN(1,MAX(0,((YEAR(BH$6)-YEAR($D$13))*12+MONTH(BH$6)-MONTH($D$13)+0.5)/MAX($D$46,0.5)))</f>
        <v>1</v>
      </c>
      <c r="BI47" s="183" t="n">
        <f aca="false">MIN(1,MAX(0,((YEAR(BI$6)-YEAR($D$13))*12+MONTH(BI$6)-MONTH($D$13)+0.5)/MAX($D$46,0.5)))</f>
        <v>1</v>
      </c>
      <c r="BJ47" s="183" t="n">
        <f aca="false">MIN(1,MAX(0,((YEAR(BJ$6)-YEAR($D$13))*12+MONTH(BJ$6)-MONTH($D$13)+0.5)/MAX($D$46,0.5)))</f>
        <v>1</v>
      </c>
      <c r="BK47" s="183" t="n">
        <f aca="false">MIN(1,MAX(0,((YEAR(BK$6)-YEAR($D$13))*12+MONTH(BK$6)-MONTH($D$13)+0.5)/MAX($D$46,0.5)))</f>
        <v>1</v>
      </c>
      <c r="BL47" s="183" t="n">
        <f aca="false">MIN(1,MAX(0,((YEAR(BL$6)-YEAR($D$13))*12+MONTH(BL$6)-MONTH($D$13)+0.5)/MAX($D$46,0.5)))</f>
        <v>1</v>
      </c>
      <c r="BM47" s="183" t="n">
        <f aca="false">MIN(1,MAX(0,((YEAR(BM$6)-YEAR($D$13))*12+MONTH(BM$6)-MONTH($D$13)+0.5)/MAX($D$46,0.5)))</f>
        <v>1</v>
      </c>
      <c r="BN47" s="183" t="n">
        <f aca="false">MIN(1,MAX(0,((YEAR(BN$6)-YEAR($D$13))*12+MONTH(BN$6)-MONTH($D$13)+0.5)/MAX($D$46,0.5)))</f>
        <v>1</v>
      </c>
      <c r="BO47" s="183" t="n">
        <f aca="false">MIN(1,MAX(0,((YEAR(BO$6)-YEAR($D$13))*12+MONTH(BO$6)-MONTH($D$13)+0.5)/MAX($D$46,0.5)))</f>
        <v>1</v>
      </c>
      <c r="BP47" s="183" t="n">
        <f aca="false">MIN(1,MAX(0,((YEAR(BP$6)-YEAR($D$13))*12+MONTH(BP$6)-MONTH($D$13)+0.5)/MAX($D$46,0.5)))</f>
        <v>1</v>
      </c>
      <c r="BQ47" s="183" t="n">
        <f aca="false">MIN(1,MAX(0,((YEAR(BQ$6)-YEAR($D$13))*12+MONTH(BQ$6)-MONTH($D$13)+0.5)/MAX($D$46,0.5)))</f>
        <v>1</v>
      </c>
      <c r="BR47" s="183" t="n">
        <f aca="false">MIN(1,MAX(0,((YEAR(BR$6)-YEAR($D$13))*12+MONTH(BR$6)-MONTH($D$13)+0.5)/MAX($D$46,0.5)))</f>
        <v>1</v>
      </c>
      <c r="BS47" s="183" t="n">
        <f aca="false">MIN(1,MAX(0,((YEAR(BS$6)-YEAR($D$13))*12+MONTH(BS$6)-MONTH($D$13)+0.5)/MAX($D$46,0.5)))</f>
        <v>1</v>
      </c>
      <c r="BT47" s="183" t="n">
        <f aca="false">MIN(1,MAX(0,((YEAR(BT$6)-YEAR($D$13))*12+MONTH(BT$6)-MONTH($D$13)+0.5)/MAX($D$46,0.5)))</f>
        <v>1</v>
      </c>
      <c r="BU47" s="183" t="n">
        <f aca="false">MIN(1,MAX(0,((YEAR(BU$6)-YEAR($D$13))*12+MONTH(BU$6)-MONTH($D$13)+0.5)/MAX($D$46,0.5)))</f>
        <v>1</v>
      </c>
      <c r="BV47" s="183" t="n">
        <f aca="false">MIN(1,MAX(0,((YEAR(BV$6)-YEAR($D$13))*12+MONTH(BV$6)-MONTH($D$13)+0.5)/MAX($D$46,0.5)))</f>
        <v>1</v>
      </c>
      <c r="BW47" s="183" t="n">
        <f aca="false">MIN(1,MAX(0,((YEAR(BW$6)-YEAR($D$13))*12+MONTH(BW$6)-MONTH($D$13)+0.5)/MAX($D$46,0.5)))</f>
        <v>1</v>
      </c>
      <c r="BX47" s="183" t="n">
        <f aca="false">MIN(1,MAX(0,((YEAR(BX$6)-YEAR($D$13))*12+MONTH(BX$6)-MONTH($D$13)+0.5)/MAX($D$46,0.5)))</f>
        <v>1</v>
      </c>
      <c r="BY47" s="183" t="n">
        <f aca="false">MIN(1,MAX(0,((YEAR(BY$6)-YEAR($D$13))*12+MONTH(BY$6)-MONTH($D$13)+0.5)/MAX($D$46,0.5)))</f>
        <v>1</v>
      </c>
      <c r="BZ47" s="183" t="n">
        <f aca="false">MIN(1,MAX(0,((YEAR(BZ$6)-YEAR($D$13))*12+MONTH(BZ$6)-MONTH($D$13)+0.5)/MAX($D$46,0.5)))</f>
        <v>1</v>
      </c>
      <c r="CA47" s="183" t="n">
        <f aca="false">MIN(1,MAX(0,((YEAR(CA$6)-YEAR($D$13))*12+MONTH(CA$6)-MONTH($D$13)+0.5)/MAX($D$46,0.5)))</f>
        <v>1</v>
      </c>
    </row>
    <row r="48" customFormat="false" ht="15" hidden="false" customHeight="false" outlineLevel="0" collapsed="false">
      <c r="B48" s="10" t="s">
        <v>301</v>
      </c>
      <c r="L48" s="183" t="n">
        <f aca="false">SUMIFS($T47:$CA47,$T$5:$CA$5,2026)/12</f>
        <v>0</v>
      </c>
      <c r="M48" s="183" t="n">
        <f aca="false">SUMIFS($T47:$CA47,$T$5:$CA$5,2027)/12</f>
        <v>0.170138888888889</v>
      </c>
      <c r="N48" s="183" t="n">
        <f aca="false">SUMIFS($T47:$CA47,$T$5:$CA$5,2028)/12</f>
        <v>0.913194444444445</v>
      </c>
      <c r="O48" s="183" t="n">
        <f aca="false">SUMIFS($T47:$CA47,$T$5:$CA$5,2029)/12</f>
        <v>1</v>
      </c>
      <c r="P48" s="183" t="n">
        <f aca="false">SUMIFS($T47:$CA47,$T$5:$CA$5,2030)/12</f>
        <v>1</v>
      </c>
    </row>
    <row r="50" customFormat="false" ht="18" hidden="false" customHeight="true" outlineLevel="0" collapsed="false">
      <c r="B50" s="5" t="s">
        <v>302</v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</row>
    <row r="52" customFormat="false" ht="15" hidden="false" customHeight="false" outlineLevel="0" collapsed="false">
      <c r="B52" s="184" t="s">
        <v>303</v>
      </c>
      <c r="D52" s="169" t="s">
        <v>304</v>
      </c>
      <c r="K52" s="185" t="s">
        <v>244</v>
      </c>
    </row>
    <row r="53" customFormat="false" ht="15" hidden="false" customHeight="false" outlineLevel="0" collapsed="false">
      <c r="B53" s="10" t="s">
        <v>426</v>
      </c>
      <c r="D53" s="186" t="n">
        <f aca="false">$D$40/1000000</f>
        <v>0</v>
      </c>
      <c r="K53" s="186" t="n">
        <f aca="false">SUMIFS($T53:$CA53,$T$5:$CA$5,2030)</f>
        <v>0</v>
      </c>
      <c r="L53" s="186" t="n">
        <f aca="false">SUMIFS($T53:$CA53,$T$5:$CA$5,2026)</f>
        <v>0</v>
      </c>
      <c r="M53" s="186" t="n">
        <f aca="false">SUMIFS($T53:$CA53,$T$5:$CA$5,2027)</f>
        <v>0</v>
      </c>
      <c r="N53" s="186" t="n">
        <f aca="false">SUMIFS($T53:$CA53,$T$5:$CA$5,2028)</f>
        <v>0</v>
      </c>
      <c r="O53" s="186" t="n">
        <f aca="false">SUMIFS($T53:$CA53,$T$5:$CA$5,2029)</f>
        <v>0</v>
      </c>
      <c r="P53" s="186" t="n">
        <f aca="false">SUMIFS($T53:$CA53,$T$5:$CA$5,2030)</f>
        <v>0</v>
      </c>
      <c r="R53" s="10"/>
      <c r="T53" s="186" t="n">
        <f aca="false">($D$42)/1000000/12*T$47</f>
        <v>0</v>
      </c>
      <c r="U53" s="186" t="n">
        <f aca="false">($D$42)/1000000/12*U$47</f>
        <v>0</v>
      </c>
      <c r="V53" s="186" t="n">
        <f aca="false">($D$42)/1000000/12*V$47</f>
        <v>0</v>
      </c>
      <c r="W53" s="186" t="n">
        <f aca="false">($D$42)/1000000/12*W$47</f>
        <v>0</v>
      </c>
      <c r="X53" s="186" t="n">
        <f aca="false">($D$42)/1000000/12*X$47</f>
        <v>0</v>
      </c>
      <c r="Y53" s="186" t="n">
        <f aca="false">($D$42)/1000000/12*Y$47</f>
        <v>0</v>
      </c>
      <c r="Z53" s="186" t="n">
        <f aca="false">($D$42)/1000000/12*Z$47</f>
        <v>0</v>
      </c>
      <c r="AA53" s="186" t="n">
        <f aca="false">($D$42)/1000000/12*AA$47</f>
        <v>0</v>
      </c>
      <c r="AB53" s="186" t="n">
        <f aca="false">($D$42)/1000000/12*AB$47</f>
        <v>0</v>
      </c>
      <c r="AC53" s="186" t="n">
        <f aca="false">($D$42)/1000000/12*AC$47</f>
        <v>0</v>
      </c>
      <c r="AD53" s="186" t="n">
        <f aca="false">($D$42)/1000000/12*AD$47</f>
        <v>0</v>
      </c>
      <c r="AE53" s="186" t="n">
        <f aca="false">($D$42)/1000000/12*AE$47</f>
        <v>0</v>
      </c>
      <c r="AF53" s="186" t="n">
        <f aca="false">($D$42)/1000000/12*AF$47</f>
        <v>0</v>
      </c>
      <c r="AG53" s="186" t="n">
        <f aca="false">($D$42)/1000000/12*AG$47</f>
        <v>0</v>
      </c>
      <c r="AH53" s="186" t="n">
        <f aca="false">($D$42)/1000000/12*AH$47</f>
        <v>0</v>
      </c>
      <c r="AI53" s="186" t="n">
        <f aca="false">($D$42)/1000000/12*AI$47</f>
        <v>0</v>
      </c>
      <c r="AJ53" s="186" t="n">
        <f aca="false">($D$42)/1000000/12*AJ$47</f>
        <v>0</v>
      </c>
      <c r="AK53" s="186" t="n">
        <f aca="false">($D$42)/1000000/12*AK$47</f>
        <v>0</v>
      </c>
      <c r="AL53" s="186" t="n">
        <f aca="false">($D$42)/1000000/12*AL$47</f>
        <v>0</v>
      </c>
      <c r="AM53" s="186" t="n">
        <f aca="false">($D$42)/1000000/12*AM$47</f>
        <v>0</v>
      </c>
      <c r="AN53" s="186" t="n">
        <f aca="false">($D$42)/1000000/12*AN$47</f>
        <v>0</v>
      </c>
      <c r="AO53" s="186" t="n">
        <f aca="false">($D$42)/1000000/12*AO$47</f>
        <v>0</v>
      </c>
      <c r="AP53" s="186" t="n">
        <f aca="false">($D$42)/1000000/12*AP$47</f>
        <v>0</v>
      </c>
      <c r="AQ53" s="186" t="n">
        <f aca="false">($D$42)/1000000/12*AQ$47</f>
        <v>0</v>
      </c>
      <c r="AR53" s="186" t="n">
        <f aca="false">($D$42)/1000000/12*AR$47</f>
        <v>0</v>
      </c>
      <c r="AS53" s="186" t="n">
        <f aca="false">($D$42)/1000000/12*AS$47</f>
        <v>0</v>
      </c>
      <c r="AT53" s="186" t="n">
        <f aca="false">($D$42)/1000000/12*AT$47</f>
        <v>0</v>
      </c>
      <c r="AU53" s="186" t="n">
        <f aca="false">($D$42)/1000000/12*AU$47</f>
        <v>0</v>
      </c>
      <c r="AV53" s="186" t="n">
        <f aca="false">($D$42)/1000000/12*AV$47</f>
        <v>0</v>
      </c>
      <c r="AW53" s="186" t="n">
        <f aca="false">($D$42)/1000000/12*AW$47</f>
        <v>0</v>
      </c>
      <c r="AX53" s="186" t="n">
        <f aca="false">($D$42)/1000000/12*AX$47</f>
        <v>0</v>
      </c>
      <c r="AY53" s="186" t="n">
        <f aca="false">($D$42)/1000000/12*AY$47</f>
        <v>0</v>
      </c>
      <c r="AZ53" s="186" t="n">
        <f aca="false">($D$42)/1000000/12*AZ$47</f>
        <v>0</v>
      </c>
      <c r="BA53" s="186" t="n">
        <f aca="false">($D$42)/1000000/12*BA$47</f>
        <v>0</v>
      </c>
      <c r="BB53" s="186" t="n">
        <f aca="false">($D$42)/1000000/12*BB$47</f>
        <v>0</v>
      </c>
      <c r="BC53" s="186" t="n">
        <f aca="false">($D$42)/1000000/12*BC$47</f>
        <v>0</v>
      </c>
      <c r="BD53" s="186" t="n">
        <f aca="false">($D$42)/1000000/12*BD$47</f>
        <v>0</v>
      </c>
      <c r="BE53" s="186" t="n">
        <f aca="false">($D$42)/1000000/12*BE$47</f>
        <v>0</v>
      </c>
      <c r="BF53" s="186" t="n">
        <f aca="false">($D$42)/1000000/12*BF$47</f>
        <v>0</v>
      </c>
      <c r="BG53" s="186" t="n">
        <f aca="false">($D$42)/1000000/12*BG$47</f>
        <v>0</v>
      </c>
      <c r="BH53" s="186" t="n">
        <f aca="false">($D$42)/1000000/12*BH$47</f>
        <v>0</v>
      </c>
      <c r="BI53" s="186" t="n">
        <f aca="false">($D$42)/1000000/12*BI$47</f>
        <v>0</v>
      </c>
      <c r="BJ53" s="186" t="n">
        <f aca="false">($D$42)/1000000/12*BJ$47</f>
        <v>0</v>
      </c>
      <c r="BK53" s="186" t="n">
        <f aca="false">($D$42)/1000000/12*BK$47</f>
        <v>0</v>
      </c>
      <c r="BL53" s="186" t="n">
        <f aca="false">($D$42)/1000000/12*BL$47</f>
        <v>0</v>
      </c>
      <c r="BM53" s="186" t="n">
        <f aca="false">($D$42)/1000000/12*BM$47</f>
        <v>0</v>
      </c>
      <c r="BN53" s="186" t="n">
        <f aca="false">($D$42)/1000000/12*BN$47</f>
        <v>0</v>
      </c>
      <c r="BO53" s="186" t="n">
        <f aca="false">($D$42)/1000000/12*BO$47</f>
        <v>0</v>
      </c>
      <c r="BP53" s="186" t="n">
        <f aca="false">($D$42)/1000000/12*BP$47</f>
        <v>0</v>
      </c>
      <c r="BQ53" s="186" t="n">
        <f aca="false">($D$42)/1000000/12*BQ$47</f>
        <v>0</v>
      </c>
      <c r="BR53" s="186" t="n">
        <f aca="false">($D$42)/1000000/12*BR$47</f>
        <v>0</v>
      </c>
      <c r="BS53" s="186" t="n">
        <f aca="false">($D$42)/1000000/12*BS$47</f>
        <v>0</v>
      </c>
      <c r="BT53" s="186" t="n">
        <f aca="false">($D$42)/1000000/12*BT$47</f>
        <v>0</v>
      </c>
      <c r="BU53" s="186" t="n">
        <f aca="false">($D$42)/1000000/12*BU$47</f>
        <v>0</v>
      </c>
      <c r="BV53" s="186" t="n">
        <f aca="false">($D$42)/1000000/12*BV$47</f>
        <v>0</v>
      </c>
      <c r="BW53" s="186" t="n">
        <f aca="false">($D$42)/1000000/12*BW$47</f>
        <v>0</v>
      </c>
      <c r="BX53" s="186" t="n">
        <f aca="false">($D$42)/1000000/12*BX$47</f>
        <v>0</v>
      </c>
      <c r="BY53" s="186" t="n">
        <f aca="false">($D$42)/1000000/12*BY$47</f>
        <v>0</v>
      </c>
      <c r="BZ53" s="186" t="n">
        <f aca="false">($D$42)/1000000/12*BZ$47</f>
        <v>0</v>
      </c>
      <c r="CA53" s="186" t="n">
        <f aca="false">($D$42)/1000000/12*CA$47</f>
        <v>0</v>
      </c>
    </row>
    <row r="54" customFormat="false" ht="15" hidden="false" customHeight="false" outlineLevel="0" collapsed="false">
      <c r="B54" s="3" t="s">
        <v>306</v>
      </c>
      <c r="K54" s="186" t="n">
        <f aca="false">SUM(K53:K53)</f>
        <v>0</v>
      </c>
      <c r="L54" s="186" t="n">
        <f aca="false">SUM(L53:L53)</f>
        <v>0</v>
      </c>
      <c r="M54" s="186" t="n">
        <f aca="false">SUM(M53:M53)</f>
        <v>0</v>
      </c>
      <c r="N54" s="186" t="n">
        <f aca="false">SUM(N53:N53)</f>
        <v>0</v>
      </c>
      <c r="O54" s="186" t="n">
        <f aca="false">SUM(O53:O53)</f>
        <v>0</v>
      </c>
      <c r="P54" s="186" t="n">
        <f aca="false">SUM(P53:P53)</f>
        <v>0</v>
      </c>
    </row>
    <row r="56" customFormat="false" ht="18" hidden="false" customHeight="true" outlineLevel="0" collapsed="false">
      <c r="B56" s="5" t="s">
        <v>307</v>
      </c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</row>
    <row r="58" customFormat="false" ht="22.35" hidden="false" customHeight="false" outlineLevel="0" collapsed="false">
      <c r="B58" s="169" t="s">
        <v>211</v>
      </c>
      <c r="C58" s="169" t="s">
        <v>308</v>
      </c>
      <c r="D58" s="169" t="s">
        <v>309</v>
      </c>
      <c r="E58" s="169" t="s">
        <v>310</v>
      </c>
      <c r="F58" s="169" t="s">
        <v>311</v>
      </c>
      <c r="G58" s="169" t="s">
        <v>312</v>
      </c>
      <c r="H58" s="169" t="s">
        <v>313</v>
      </c>
      <c r="I58" s="169" t="s">
        <v>314</v>
      </c>
      <c r="K58" s="169" t="s">
        <v>315</v>
      </c>
    </row>
    <row r="59" customFormat="false" ht="30" hidden="false" customHeight="true" outlineLevel="0" collapsed="false">
      <c r="C59" s="187" t="s">
        <v>316</v>
      </c>
      <c r="E59" s="187" t="s">
        <v>317</v>
      </c>
      <c r="F59" s="187" t="s">
        <v>318</v>
      </c>
      <c r="G59" s="187" t="s">
        <v>319</v>
      </c>
      <c r="I59" s="187" t="s">
        <v>320</v>
      </c>
    </row>
    <row r="60" customFormat="false" ht="42" hidden="false" customHeight="true" outlineLevel="0" collapsed="false">
      <c r="B60" s="188" t="s">
        <v>214</v>
      </c>
      <c r="C60" s="189" t="s">
        <v>427</v>
      </c>
      <c r="D60" s="190" t="n">
        <v>4</v>
      </c>
      <c r="E60" s="190" t="n">
        <v>2</v>
      </c>
      <c r="F60" s="168" t="n">
        <v>0.1</v>
      </c>
      <c r="G60" s="159" t="n">
        <f aca="false">D60*E60*IF(K60="",'Rate Card'!$G$29,K60)*(1+F60)</f>
        <v>131633.333333333</v>
      </c>
      <c r="H60" s="178" t="n">
        <f aca="false">DATE(2026,11,1)</f>
        <v>46327</v>
      </c>
      <c r="I60" s="191" t="n">
        <f aca="false">'Rate Card'!$C$45</f>
        <v>0</v>
      </c>
      <c r="K60" s="158"/>
    </row>
    <row r="61" customFormat="false" ht="42" hidden="false" customHeight="true" outlineLevel="0" collapsed="false">
      <c r="B61" s="188" t="s">
        <v>215</v>
      </c>
      <c r="C61" s="189" t="s">
        <v>428</v>
      </c>
      <c r="D61" s="190" t="n">
        <v>8</v>
      </c>
      <c r="E61" s="190" t="n">
        <v>5</v>
      </c>
      <c r="F61" s="168" t="n">
        <v>0.1</v>
      </c>
      <c r="G61" s="159" t="n">
        <f aca="false">D61*E61*IF(K61="",'Rate Card'!$G$29,K61)*(1+F61)</f>
        <v>658166.666666667</v>
      </c>
      <c r="H61" s="178" t="n">
        <f aca="false">DATE(2027,1,1)</f>
        <v>46388</v>
      </c>
      <c r="I61" s="191" t="n">
        <f aca="false">'Rate Card'!$C$46</f>
        <v>0.8</v>
      </c>
      <c r="K61" s="158"/>
    </row>
    <row r="62" customFormat="false" ht="42" hidden="false" customHeight="true" outlineLevel="0" collapsed="false">
      <c r="B62" s="188" t="s">
        <v>216</v>
      </c>
      <c r="C62" s="189" t="s">
        <v>429</v>
      </c>
      <c r="D62" s="190" t="n">
        <v>5</v>
      </c>
      <c r="E62" s="190" t="n">
        <v>6</v>
      </c>
      <c r="F62" s="168" t="n">
        <v>0.1</v>
      </c>
      <c r="G62" s="159" t="n">
        <f aca="false">D62*E62*IF(K62="",'Rate Card'!$G$29,K62)*(1+F62)</f>
        <v>493625</v>
      </c>
      <c r="H62" s="178" t="n">
        <f aca="false">DATE(2027,6,1)</f>
        <v>46539</v>
      </c>
      <c r="I62" s="191" t="n">
        <f aca="false">'Rate Card'!$C$47</f>
        <v>0</v>
      </c>
      <c r="K62" s="158"/>
    </row>
    <row r="63" customFormat="false" ht="42" hidden="false" customHeight="true" outlineLevel="0" collapsed="false">
      <c r="B63" s="188" t="s">
        <v>217</v>
      </c>
      <c r="C63" s="189" t="s">
        <v>430</v>
      </c>
      <c r="D63" s="190" t="n">
        <v>0</v>
      </c>
      <c r="E63" s="190" t="n">
        <v>0</v>
      </c>
      <c r="F63" s="168" t="n">
        <v>0.1</v>
      </c>
      <c r="G63" s="159" t="n">
        <f aca="false">D63*E63*IF(K63="",'Rate Card'!$G$29,K63)*(1+F63)</f>
        <v>0</v>
      </c>
      <c r="H63" s="178" t="n">
        <f aca="false">DATE(2027,12,1)</f>
        <v>46722</v>
      </c>
      <c r="I63" s="191" t="n">
        <f aca="false">'Rate Card'!$C$48</f>
        <v>0</v>
      </c>
      <c r="K63" s="158"/>
    </row>
    <row r="65" customFormat="false" ht="15" hidden="false" customHeight="false" outlineLevel="0" collapsed="false">
      <c r="B65" s="167" t="s">
        <v>325</v>
      </c>
    </row>
    <row r="66" customFormat="false" ht="15" hidden="false" customHeight="false" outlineLevel="0" collapsed="false">
      <c r="B66" s="192" t="s">
        <v>326</v>
      </c>
      <c r="T66" s="159" t="n">
        <f aca="false">IF(AND(T$6&gt;=EOMONTH($H$60,0),T$6&lt;=EOMONTH(EDATE($H$60,$E$60-1),0)),$G$60/MAX($E$60,1),0)</f>
        <v>0</v>
      </c>
      <c r="U66" s="159" t="n">
        <f aca="false">IF(AND(U$6&gt;=EOMONTH($H$60,0),U$6&lt;=EOMONTH(EDATE($H$60,$E$60-1),0)),$G$60/MAX($E$60,1),0)</f>
        <v>0</v>
      </c>
      <c r="V66" s="159" t="n">
        <f aca="false">IF(AND(V$6&gt;=EOMONTH($H$60,0),V$6&lt;=EOMONTH(EDATE($H$60,$E$60-1),0)),$G$60/MAX($E$60,1),0)</f>
        <v>0</v>
      </c>
      <c r="W66" s="159" t="n">
        <f aca="false">IF(AND(W$6&gt;=EOMONTH($H$60,0),W$6&lt;=EOMONTH(EDATE($H$60,$E$60-1),0)),$G$60/MAX($E$60,1),0)</f>
        <v>0</v>
      </c>
      <c r="X66" s="159" t="n">
        <f aca="false">IF(AND(X$6&gt;=EOMONTH($H$60,0),X$6&lt;=EOMONTH(EDATE($H$60,$E$60-1),0)),$G$60/MAX($E$60,1),0)</f>
        <v>0</v>
      </c>
      <c r="Y66" s="159" t="n">
        <f aca="false">IF(AND(Y$6&gt;=EOMONTH($H$60,0),Y$6&lt;=EOMONTH(EDATE($H$60,$E$60-1),0)),$G$60/MAX($E$60,1),0)</f>
        <v>0</v>
      </c>
      <c r="Z66" s="159" t="n">
        <f aca="false">IF(AND(Z$6&gt;=EOMONTH($H$60,0),Z$6&lt;=EOMONTH(EDATE($H$60,$E$60-1),0)),$G$60/MAX($E$60,1),0)</f>
        <v>0</v>
      </c>
      <c r="AA66" s="159" t="n">
        <f aca="false">IF(AND(AA$6&gt;=EOMONTH($H$60,0),AA$6&lt;=EOMONTH(EDATE($H$60,$E$60-1),0)),$G$60/MAX($E$60,1),0)</f>
        <v>0</v>
      </c>
      <c r="AB66" s="159" t="n">
        <f aca="false">IF(AND(AB$6&gt;=EOMONTH($H$60,0),AB$6&lt;=EOMONTH(EDATE($H$60,$E$60-1),0)),$G$60/MAX($E$60,1),0)</f>
        <v>0</v>
      </c>
      <c r="AC66" s="159" t="n">
        <f aca="false">IF(AND(AC$6&gt;=EOMONTH($H$60,0),AC$6&lt;=EOMONTH(EDATE($H$60,$E$60-1),0)),$G$60/MAX($E$60,1),0)</f>
        <v>0</v>
      </c>
      <c r="AD66" s="159" t="n">
        <f aca="false">IF(AND(AD$6&gt;=EOMONTH($H$60,0),AD$6&lt;=EOMONTH(EDATE($H$60,$E$60-1),0)),$G$60/MAX($E$60,1),0)</f>
        <v>65816.6666666667</v>
      </c>
      <c r="AE66" s="159" t="n">
        <f aca="false">IF(AND(AE$6&gt;=EOMONTH($H$60,0),AE$6&lt;=EOMONTH(EDATE($H$60,$E$60-1),0)),$G$60/MAX($E$60,1),0)</f>
        <v>65816.6666666667</v>
      </c>
      <c r="AF66" s="159" t="n">
        <f aca="false">IF(AND(AF$6&gt;=EOMONTH($H$60,0),AF$6&lt;=EOMONTH(EDATE($H$60,$E$60-1),0)),$G$60/MAX($E$60,1),0)</f>
        <v>0</v>
      </c>
      <c r="AG66" s="159" t="n">
        <f aca="false">IF(AND(AG$6&gt;=EOMONTH($H$60,0),AG$6&lt;=EOMONTH(EDATE($H$60,$E$60-1),0)),$G$60/MAX($E$60,1),0)</f>
        <v>0</v>
      </c>
      <c r="AH66" s="159" t="n">
        <f aca="false">IF(AND(AH$6&gt;=EOMONTH($H$60,0),AH$6&lt;=EOMONTH(EDATE($H$60,$E$60-1),0)),$G$60/MAX($E$60,1),0)</f>
        <v>0</v>
      </c>
      <c r="AI66" s="159" t="n">
        <f aca="false">IF(AND(AI$6&gt;=EOMONTH($H$60,0),AI$6&lt;=EOMONTH(EDATE($H$60,$E$60-1),0)),$G$60/MAX($E$60,1),0)</f>
        <v>0</v>
      </c>
      <c r="AJ66" s="159" t="n">
        <f aca="false">IF(AND(AJ$6&gt;=EOMONTH($H$60,0),AJ$6&lt;=EOMONTH(EDATE($H$60,$E$60-1),0)),$G$60/MAX($E$60,1),0)</f>
        <v>0</v>
      </c>
      <c r="AK66" s="159" t="n">
        <f aca="false">IF(AND(AK$6&gt;=EOMONTH($H$60,0),AK$6&lt;=EOMONTH(EDATE($H$60,$E$60-1),0)),$G$60/MAX($E$60,1),0)</f>
        <v>0</v>
      </c>
      <c r="AL66" s="159" t="n">
        <f aca="false">IF(AND(AL$6&gt;=EOMONTH($H$60,0),AL$6&lt;=EOMONTH(EDATE($H$60,$E$60-1),0)),$G$60/MAX($E$60,1),0)</f>
        <v>0</v>
      </c>
      <c r="AM66" s="159" t="n">
        <f aca="false">IF(AND(AM$6&gt;=EOMONTH($H$60,0),AM$6&lt;=EOMONTH(EDATE($H$60,$E$60-1),0)),$G$60/MAX($E$60,1),0)</f>
        <v>0</v>
      </c>
      <c r="AN66" s="159" t="n">
        <f aca="false">IF(AND(AN$6&gt;=EOMONTH($H$60,0),AN$6&lt;=EOMONTH(EDATE($H$60,$E$60-1),0)),$G$60/MAX($E$60,1),0)</f>
        <v>0</v>
      </c>
      <c r="AO66" s="159" t="n">
        <f aca="false">IF(AND(AO$6&gt;=EOMONTH($H$60,0),AO$6&lt;=EOMONTH(EDATE($H$60,$E$60-1),0)),$G$60/MAX($E$60,1),0)</f>
        <v>0</v>
      </c>
      <c r="AP66" s="159" t="n">
        <f aca="false">IF(AND(AP$6&gt;=EOMONTH($H$60,0),AP$6&lt;=EOMONTH(EDATE($H$60,$E$60-1),0)),$G$60/MAX($E$60,1),0)</f>
        <v>0</v>
      </c>
      <c r="AQ66" s="159" t="n">
        <f aca="false">IF(AND(AQ$6&gt;=EOMONTH($H$60,0),AQ$6&lt;=EOMONTH(EDATE($H$60,$E$60-1),0)),$G$60/MAX($E$60,1),0)</f>
        <v>0</v>
      </c>
      <c r="AR66" s="159" t="n">
        <f aca="false">IF(AND(AR$6&gt;=EOMONTH($H$60,0),AR$6&lt;=EOMONTH(EDATE($H$60,$E$60-1),0)),$G$60/MAX($E$60,1),0)</f>
        <v>0</v>
      </c>
      <c r="AS66" s="159" t="n">
        <f aca="false">IF(AND(AS$6&gt;=EOMONTH($H$60,0),AS$6&lt;=EOMONTH(EDATE($H$60,$E$60-1),0)),$G$60/MAX($E$60,1),0)</f>
        <v>0</v>
      </c>
      <c r="AT66" s="159" t="n">
        <f aca="false">IF(AND(AT$6&gt;=EOMONTH($H$60,0),AT$6&lt;=EOMONTH(EDATE($H$60,$E$60-1),0)),$G$60/MAX($E$60,1),0)</f>
        <v>0</v>
      </c>
      <c r="AU66" s="159" t="n">
        <f aca="false">IF(AND(AU$6&gt;=EOMONTH($H$60,0),AU$6&lt;=EOMONTH(EDATE($H$60,$E$60-1),0)),$G$60/MAX($E$60,1),0)</f>
        <v>0</v>
      </c>
      <c r="AV66" s="159" t="n">
        <f aca="false">IF(AND(AV$6&gt;=EOMONTH($H$60,0),AV$6&lt;=EOMONTH(EDATE($H$60,$E$60-1),0)),$G$60/MAX($E$60,1),0)</f>
        <v>0</v>
      </c>
      <c r="AW66" s="159" t="n">
        <f aca="false">IF(AND(AW$6&gt;=EOMONTH($H$60,0),AW$6&lt;=EOMONTH(EDATE($H$60,$E$60-1),0)),$G$60/MAX($E$60,1),0)</f>
        <v>0</v>
      </c>
      <c r="AX66" s="159" t="n">
        <f aca="false">IF(AND(AX$6&gt;=EOMONTH($H$60,0),AX$6&lt;=EOMONTH(EDATE($H$60,$E$60-1),0)),$G$60/MAX($E$60,1),0)</f>
        <v>0</v>
      </c>
      <c r="AY66" s="159" t="n">
        <f aca="false">IF(AND(AY$6&gt;=EOMONTH($H$60,0),AY$6&lt;=EOMONTH(EDATE($H$60,$E$60-1),0)),$G$60/MAX($E$60,1),0)</f>
        <v>0</v>
      </c>
      <c r="AZ66" s="159" t="n">
        <f aca="false">IF(AND(AZ$6&gt;=EOMONTH($H$60,0),AZ$6&lt;=EOMONTH(EDATE($H$60,$E$60-1),0)),$G$60/MAX($E$60,1),0)</f>
        <v>0</v>
      </c>
      <c r="BA66" s="159" t="n">
        <f aca="false">IF(AND(BA$6&gt;=EOMONTH($H$60,0),BA$6&lt;=EOMONTH(EDATE($H$60,$E$60-1),0)),$G$60/MAX($E$60,1),0)</f>
        <v>0</v>
      </c>
      <c r="BB66" s="159" t="n">
        <f aca="false">IF(AND(BB$6&gt;=EOMONTH($H$60,0),BB$6&lt;=EOMONTH(EDATE($H$60,$E$60-1),0)),$G$60/MAX($E$60,1),0)</f>
        <v>0</v>
      </c>
      <c r="BC66" s="159" t="n">
        <f aca="false">IF(AND(BC$6&gt;=EOMONTH($H$60,0),BC$6&lt;=EOMONTH(EDATE($H$60,$E$60-1),0)),$G$60/MAX($E$60,1),0)</f>
        <v>0</v>
      </c>
      <c r="BD66" s="159" t="n">
        <f aca="false">IF(AND(BD$6&gt;=EOMONTH($H$60,0),BD$6&lt;=EOMONTH(EDATE($H$60,$E$60-1),0)),$G$60/MAX($E$60,1),0)</f>
        <v>0</v>
      </c>
      <c r="BE66" s="159" t="n">
        <f aca="false">IF(AND(BE$6&gt;=EOMONTH($H$60,0),BE$6&lt;=EOMONTH(EDATE($H$60,$E$60-1),0)),$G$60/MAX($E$60,1),0)</f>
        <v>0</v>
      </c>
      <c r="BF66" s="159" t="n">
        <f aca="false">IF(AND(BF$6&gt;=EOMONTH($H$60,0),BF$6&lt;=EOMONTH(EDATE($H$60,$E$60-1),0)),$G$60/MAX($E$60,1),0)</f>
        <v>0</v>
      </c>
      <c r="BG66" s="159" t="n">
        <f aca="false">IF(AND(BG$6&gt;=EOMONTH($H$60,0),BG$6&lt;=EOMONTH(EDATE($H$60,$E$60-1),0)),$G$60/MAX($E$60,1),0)</f>
        <v>0</v>
      </c>
      <c r="BH66" s="159" t="n">
        <f aca="false">IF(AND(BH$6&gt;=EOMONTH($H$60,0),BH$6&lt;=EOMONTH(EDATE($H$60,$E$60-1),0)),$G$60/MAX($E$60,1),0)</f>
        <v>0</v>
      </c>
      <c r="BI66" s="159" t="n">
        <f aca="false">IF(AND(BI$6&gt;=EOMONTH($H$60,0),BI$6&lt;=EOMONTH(EDATE($H$60,$E$60-1),0)),$G$60/MAX($E$60,1),0)</f>
        <v>0</v>
      </c>
      <c r="BJ66" s="159" t="n">
        <f aca="false">IF(AND(BJ$6&gt;=EOMONTH($H$60,0),BJ$6&lt;=EOMONTH(EDATE($H$60,$E$60-1),0)),$G$60/MAX($E$60,1),0)</f>
        <v>0</v>
      </c>
      <c r="BK66" s="159" t="n">
        <f aca="false">IF(AND(BK$6&gt;=EOMONTH($H$60,0),BK$6&lt;=EOMONTH(EDATE($H$60,$E$60-1),0)),$G$60/MAX($E$60,1),0)</f>
        <v>0</v>
      </c>
      <c r="BL66" s="159" t="n">
        <f aca="false">IF(AND(BL$6&gt;=EOMONTH($H$60,0),BL$6&lt;=EOMONTH(EDATE($H$60,$E$60-1),0)),$G$60/MAX($E$60,1),0)</f>
        <v>0</v>
      </c>
      <c r="BM66" s="159" t="n">
        <f aca="false">IF(AND(BM$6&gt;=EOMONTH($H$60,0),BM$6&lt;=EOMONTH(EDATE($H$60,$E$60-1),0)),$G$60/MAX($E$60,1),0)</f>
        <v>0</v>
      </c>
      <c r="BN66" s="159" t="n">
        <f aca="false">IF(AND(BN$6&gt;=EOMONTH($H$60,0),BN$6&lt;=EOMONTH(EDATE($H$60,$E$60-1),0)),$G$60/MAX($E$60,1),0)</f>
        <v>0</v>
      </c>
      <c r="BO66" s="159" t="n">
        <f aca="false">IF(AND(BO$6&gt;=EOMONTH($H$60,0),BO$6&lt;=EOMONTH(EDATE($H$60,$E$60-1),0)),$G$60/MAX($E$60,1),0)</f>
        <v>0</v>
      </c>
      <c r="BP66" s="159" t="n">
        <f aca="false">IF(AND(BP$6&gt;=EOMONTH($H$60,0),BP$6&lt;=EOMONTH(EDATE($H$60,$E$60-1),0)),$G$60/MAX($E$60,1),0)</f>
        <v>0</v>
      </c>
      <c r="BQ66" s="159" t="n">
        <f aca="false">IF(AND(BQ$6&gt;=EOMONTH($H$60,0),BQ$6&lt;=EOMONTH(EDATE($H$60,$E$60-1),0)),$G$60/MAX($E$60,1),0)</f>
        <v>0</v>
      </c>
      <c r="BR66" s="159" t="n">
        <f aca="false">IF(AND(BR$6&gt;=EOMONTH($H$60,0),BR$6&lt;=EOMONTH(EDATE($H$60,$E$60-1),0)),$G$60/MAX($E$60,1),0)</f>
        <v>0</v>
      </c>
      <c r="BS66" s="159" t="n">
        <f aca="false">IF(AND(BS$6&gt;=EOMONTH($H$60,0),BS$6&lt;=EOMONTH(EDATE($H$60,$E$60-1),0)),$G$60/MAX($E$60,1),0)</f>
        <v>0</v>
      </c>
      <c r="BT66" s="159" t="n">
        <f aca="false">IF(AND(BT$6&gt;=EOMONTH($H$60,0),BT$6&lt;=EOMONTH(EDATE($H$60,$E$60-1),0)),$G$60/MAX($E$60,1),0)</f>
        <v>0</v>
      </c>
      <c r="BU66" s="159" t="n">
        <f aca="false">IF(AND(BU$6&gt;=EOMONTH($H$60,0),BU$6&lt;=EOMONTH(EDATE($H$60,$E$60-1),0)),$G$60/MAX($E$60,1),0)</f>
        <v>0</v>
      </c>
      <c r="BV66" s="159" t="n">
        <f aca="false">IF(AND(BV$6&gt;=EOMONTH($H$60,0),BV$6&lt;=EOMONTH(EDATE($H$60,$E$60-1),0)),$G$60/MAX($E$60,1),0)</f>
        <v>0</v>
      </c>
      <c r="BW66" s="159" t="n">
        <f aca="false">IF(AND(BW$6&gt;=EOMONTH($H$60,0),BW$6&lt;=EOMONTH(EDATE($H$60,$E$60-1),0)),$G$60/MAX($E$60,1),0)</f>
        <v>0</v>
      </c>
      <c r="BX66" s="159" t="n">
        <f aca="false">IF(AND(BX$6&gt;=EOMONTH($H$60,0),BX$6&lt;=EOMONTH(EDATE($H$60,$E$60-1),0)),$G$60/MAX($E$60,1),0)</f>
        <v>0</v>
      </c>
      <c r="BY66" s="159" t="n">
        <f aca="false">IF(AND(BY$6&gt;=EOMONTH($H$60,0),BY$6&lt;=EOMONTH(EDATE($H$60,$E$60-1),0)),$G$60/MAX($E$60,1),0)</f>
        <v>0</v>
      </c>
      <c r="BZ66" s="159" t="n">
        <f aca="false">IF(AND(BZ$6&gt;=EOMONTH($H$60,0),BZ$6&lt;=EOMONTH(EDATE($H$60,$E$60-1),0)),$G$60/MAX($E$60,1),0)</f>
        <v>0</v>
      </c>
      <c r="CA66" s="159" t="n">
        <f aca="false">IF(AND(CA$6&gt;=EOMONTH($H$60,0),CA$6&lt;=EOMONTH(EDATE($H$60,$E$60-1),0)),$G$60/MAX($E$60,1),0)</f>
        <v>0</v>
      </c>
    </row>
    <row r="67" customFormat="false" ht="15" hidden="false" customHeight="false" outlineLevel="0" collapsed="false">
      <c r="B67" s="192" t="s">
        <v>327</v>
      </c>
      <c r="T67" s="159" t="n">
        <f aca="false">IF(AND(T$6&gt;=EOMONTH($H$61,0),T$6&lt;=EOMONTH(EDATE($H$61,$E$61-1),0)),$G$61/MAX($E$61,1),0)</f>
        <v>0</v>
      </c>
      <c r="U67" s="159" t="n">
        <f aca="false">IF(AND(U$6&gt;=EOMONTH($H$61,0),U$6&lt;=EOMONTH(EDATE($H$61,$E$61-1),0)),$G$61/MAX($E$61,1),0)</f>
        <v>0</v>
      </c>
      <c r="V67" s="159" t="n">
        <f aca="false">IF(AND(V$6&gt;=EOMONTH($H$61,0),V$6&lt;=EOMONTH(EDATE($H$61,$E$61-1),0)),$G$61/MAX($E$61,1),0)</f>
        <v>0</v>
      </c>
      <c r="W67" s="159" t="n">
        <f aca="false">IF(AND(W$6&gt;=EOMONTH($H$61,0),W$6&lt;=EOMONTH(EDATE($H$61,$E$61-1),0)),$G$61/MAX($E$61,1),0)</f>
        <v>0</v>
      </c>
      <c r="X67" s="159" t="n">
        <f aca="false">IF(AND(X$6&gt;=EOMONTH($H$61,0),X$6&lt;=EOMONTH(EDATE($H$61,$E$61-1),0)),$G$61/MAX($E$61,1),0)</f>
        <v>0</v>
      </c>
      <c r="Y67" s="159" t="n">
        <f aca="false">IF(AND(Y$6&gt;=EOMONTH($H$61,0),Y$6&lt;=EOMONTH(EDATE($H$61,$E$61-1),0)),$G$61/MAX($E$61,1),0)</f>
        <v>0</v>
      </c>
      <c r="Z67" s="159" t="n">
        <f aca="false">IF(AND(Z$6&gt;=EOMONTH($H$61,0),Z$6&lt;=EOMONTH(EDATE($H$61,$E$61-1),0)),$G$61/MAX($E$61,1),0)</f>
        <v>0</v>
      </c>
      <c r="AA67" s="159" t="n">
        <f aca="false">IF(AND(AA$6&gt;=EOMONTH($H$61,0),AA$6&lt;=EOMONTH(EDATE($H$61,$E$61-1),0)),$G$61/MAX($E$61,1),0)</f>
        <v>0</v>
      </c>
      <c r="AB67" s="159" t="n">
        <f aca="false">IF(AND(AB$6&gt;=EOMONTH($H$61,0),AB$6&lt;=EOMONTH(EDATE($H$61,$E$61-1),0)),$G$61/MAX($E$61,1),0)</f>
        <v>0</v>
      </c>
      <c r="AC67" s="159" t="n">
        <f aca="false">IF(AND(AC$6&gt;=EOMONTH($H$61,0),AC$6&lt;=EOMONTH(EDATE($H$61,$E$61-1),0)),$G$61/MAX($E$61,1),0)</f>
        <v>0</v>
      </c>
      <c r="AD67" s="159" t="n">
        <f aca="false">IF(AND(AD$6&gt;=EOMONTH($H$61,0),AD$6&lt;=EOMONTH(EDATE($H$61,$E$61-1),0)),$G$61/MAX($E$61,1),0)</f>
        <v>0</v>
      </c>
      <c r="AE67" s="159" t="n">
        <f aca="false">IF(AND(AE$6&gt;=EOMONTH($H$61,0),AE$6&lt;=EOMONTH(EDATE($H$61,$E$61-1),0)),$G$61/MAX($E$61,1),0)</f>
        <v>0</v>
      </c>
      <c r="AF67" s="159" t="n">
        <f aca="false">IF(AND(AF$6&gt;=EOMONTH($H$61,0),AF$6&lt;=EOMONTH(EDATE($H$61,$E$61-1),0)),$G$61/MAX($E$61,1),0)</f>
        <v>131633.333333333</v>
      </c>
      <c r="AG67" s="159" t="n">
        <f aca="false">IF(AND(AG$6&gt;=EOMONTH($H$61,0),AG$6&lt;=EOMONTH(EDATE($H$61,$E$61-1),0)),$G$61/MAX($E$61,1),0)</f>
        <v>131633.333333333</v>
      </c>
      <c r="AH67" s="159" t="n">
        <f aca="false">IF(AND(AH$6&gt;=EOMONTH($H$61,0),AH$6&lt;=EOMONTH(EDATE($H$61,$E$61-1),0)),$G$61/MAX($E$61,1),0)</f>
        <v>131633.333333333</v>
      </c>
      <c r="AI67" s="159" t="n">
        <f aca="false">IF(AND(AI$6&gt;=EOMONTH($H$61,0),AI$6&lt;=EOMONTH(EDATE($H$61,$E$61-1),0)),$G$61/MAX($E$61,1),0)</f>
        <v>131633.333333333</v>
      </c>
      <c r="AJ67" s="159" t="n">
        <f aca="false">IF(AND(AJ$6&gt;=EOMONTH($H$61,0),AJ$6&lt;=EOMONTH(EDATE($H$61,$E$61-1),0)),$G$61/MAX($E$61,1),0)</f>
        <v>131633.333333333</v>
      </c>
      <c r="AK67" s="159" t="n">
        <f aca="false">IF(AND(AK$6&gt;=EOMONTH($H$61,0),AK$6&lt;=EOMONTH(EDATE($H$61,$E$61-1),0)),$G$61/MAX($E$61,1),0)</f>
        <v>0</v>
      </c>
      <c r="AL67" s="159" t="n">
        <f aca="false">IF(AND(AL$6&gt;=EOMONTH($H$61,0),AL$6&lt;=EOMONTH(EDATE($H$61,$E$61-1),0)),$G$61/MAX($E$61,1),0)</f>
        <v>0</v>
      </c>
      <c r="AM67" s="159" t="n">
        <f aca="false">IF(AND(AM$6&gt;=EOMONTH($H$61,0),AM$6&lt;=EOMONTH(EDATE($H$61,$E$61-1),0)),$G$61/MAX($E$61,1),0)</f>
        <v>0</v>
      </c>
      <c r="AN67" s="159" t="n">
        <f aca="false">IF(AND(AN$6&gt;=EOMONTH($H$61,0),AN$6&lt;=EOMONTH(EDATE($H$61,$E$61-1),0)),$G$61/MAX($E$61,1),0)</f>
        <v>0</v>
      </c>
      <c r="AO67" s="159" t="n">
        <f aca="false">IF(AND(AO$6&gt;=EOMONTH($H$61,0),AO$6&lt;=EOMONTH(EDATE($H$61,$E$61-1),0)),$G$61/MAX($E$61,1),0)</f>
        <v>0</v>
      </c>
      <c r="AP67" s="159" t="n">
        <f aca="false">IF(AND(AP$6&gt;=EOMONTH($H$61,0),AP$6&lt;=EOMONTH(EDATE($H$61,$E$61-1),0)),$G$61/MAX($E$61,1),0)</f>
        <v>0</v>
      </c>
      <c r="AQ67" s="159" t="n">
        <f aca="false">IF(AND(AQ$6&gt;=EOMONTH($H$61,0),AQ$6&lt;=EOMONTH(EDATE($H$61,$E$61-1),0)),$G$61/MAX($E$61,1),0)</f>
        <v>0</v>
      </c>
      <c r="AR67" s="159" t="n">
        <f aca="false">IF(AND(AR$6&gt;=EOMONTH($H$61,0),AR$6&lt;=EOMONTH(EDATE($H$61,$E$61-1),0)),$G$61/MAX($E$61,1),0)</f>
        <v>0</v>
      </c>
      <c r="AS67" s="159" t="n">
        <f aca="false">IF(AND(AS$6&gt;=EOMONTH($H$61,0),AS$6&lt;=EOMONTH(EDATE($H$61,$E$61-1),0)),$G$61/MAX($E$61,1),0)</f>
        <v>0</v>
      </c>
      <c r="AT67" s="159" t="n">
        <f aca="false">IF(AND(AT$6&gt;=EOMONTH($H$61,0),AT$6&lt;=EOMONTH(EDATE($H$61,$E$61-1),0)),$G$61/MAX($E$61,1),0)</f>
        <v>0</v>
      </c>
      <c r="AU67" s="159" t="n">
        <f aca="false">IF(AND(AU$6&gt;=EOMONTH($H$61,0),AU$6&lt;=EOMONTH(EDATE($H$61,$E$61-1),0)),$G$61/MAX($E$61,1),0)</f>
        <v>0</v>
      </c>
      <c r="AV67" s="159" t="n">
        <f aca="false">IF(AND(AV$6&gt;=EOMONTH($H$61,0),AV$6&lt;=EOMONTH(EDATE($H$61,$E$61-1),0)),$G$61/MAX($E$61,1),0)</f>
        <v>0</v>
      </c>
      <c r="AW67" s="159" t="n">
        <f aca="false">IF(AND(AW$6&gt;=EOMONTH($H$61,0),AW$6&lt;=EOMONTH(EDATE($H$61,$E$61-1),0)),$G$61/MAX($E$61,1),0)</f>
        <v>0</v>
      </c>
      <c r="AX67" s="159" t="n">
        <f aca="false">IF(AND(AX$6&gt;=EOMONTH($H$61,0),AX$6&lt;=EOMONTH(EDATE($H$61,$E$61-1),0)),$G$61/MAX($E$61,1),0)</f>
        <v>0</v>
      </c>
      <c r="AY67" s="159" t="n">
        <f aca="false">IF(AND(AY$6&gt;=EOMONTH($H$61,0),AY$6&lt;=EOMONTH(EDATE($H$61,$E$61-1),0)),$G$61/MAX($E$61,1),0)</f>
        <v>0</v>
      </c>
      <c r="AZ67" s="159" t="n">
        <f aca="false">IF(AND(AZ$6&gt;=EOMONTH($H$61,0),AZ$6&lt;=EOMONTH(EDATE($H$61,$E$61-1),0)),$G$61/MAX($E$61,1),0)</f>
        <v>0</v>
      </c>
      <c r="BA67" s="159" t="n">
        <f aca="false">IF(AND(BA$6&gt;=EOMONTH($H$61,0),BA$6&lt;=EOMONTH(EDATE($H$61,$E$61-1),0)),$G$61/MAX($E$61,1),0)</f>
        <v>0</v>
      </c>
      <c r="BB67" s="159" t="n">
        <f aca="false">IF(AND(BB$6&gt;=EOMONTH($H$61,0),BB$6&lt;=EOMONTH(EDATE($H$61,$E$61-1),0)),$G$61/MAX($E$61,1),0)</f>
        <v>0</v>
      </c>
      <c r="BC67" s="159" t="n">
        <f aca="false">IF(AND(BC$6&gt;=EOMONTH($H$61,0),BC$6&lt;=EOMONTH(EDATE($H$61,$E$61-1),0)),$G$61/MAX($E$61,1),0)</f>
        <v>0</v>
      </c>
      <c r="BD67" s="159" t="n">
        <f aca="false">IF(AND(BD$6&gt;=EOMONTH($H$61,0),BD$6&lt;=EOMONTH(EDATE($H$61,$E$61-1),0)),$G$61/MAX($E$61,1),0)</f>
        <v>0</v>
      </c>
      <c r="BE67" s="159" t="n">
        <f aca="false">IF(AND(BE$6&gt;=EOMONTH($H$61,0),BE$6&lt;=EOMONTH(EDATE($H$61,$E$61-1),0)),$G$61/MAX($E$61,1),0)</f>
        <v>0</v>
      </c>
      <c r="BF67" s="159" t="n">
        <f aca="false">IF(AND(BF$6&gt;=EOMONTH($H$61,0),BF$6&lt;=EOMONTH(EDATE($H$61,$E$61-1),0)),$G$61/MAX($E$61,1),0)</f>
        <v>0</v>
      </c>
      <c r="BG67" s="159" t="n">
        <f aca="false">IF(AND(BG$6&gt;=EOMONTH($H$61,0),BG$6&lt;=EOMONTH(EDATE($H$61,$E$61-1),0)),$G$61/MAX($E$61,1),0)</f>
        <v>0</v>
      </c>
      <c r="BH67" s="159" t="n">
        <f aca="false">IF(AND(BH$6&gt;=EOMONTH($H$61,0),BH$6&lt;=EOMONTH(EDATE($H$61,$E$61-1),0)),$G$61/MAX($E$61,1),0)</f>
        <v>0</v>
      </c>
      <c r="BI67" s="159" t="n">
        <f aca="false">IF(AND(BI$6&gt;=EOMONTH($H$61,0),BI$6&lt;=EOMONTH(EDATE($H$61,$E$61-1),0)),$G$61/MAX($E$61,1),0)</f>
        <v>0</v>
      </c>
      <c r="BJ67" s="159" t="n">
        <f aca="false">IF(AND(BJ$6&gt;=EOMONTH($H$61,0),BJ$6&lt;=EOMONTH(EDATE($H$61,$E$61-1),0)),$G$61/MAX($E$61,1),0)</f>
        <v>0</v>
      </c>
      <c r="BK67" s="159" t="n">
        <f aca="false">IF(AND(BK$6&gt;=EOMONTH($H$61,0),BK$6&lt;=EOMONTH(EDATE($H$61,$E$61-1),0)),$G$61/MAX($E$61,1),0)</f>
        <v>0</v>
      </c>
      <c r="BL67" s="159" t="n">
        <f aca="false">IF(AND(BL$6&gt;=EOMONTH($H$61,0),BL$6&lt;=EOMONTH(EDATE($H$61,$E$61-1),0)),$G$61/MAX($E$61,1),0)</f>
        <v>0</v>
      </c>
      <c r="BM67" s="159" t="n">
        <f aca="false">IF(AND(BM$6&gt;=EOMONTH($H$61,0),BM$6&lt;=EOMONTH(EDATE($H$61,$E$61-1),0)),$G$61/MAX($E$61,1),0)</f>
        <v>0</v>
      </c>
      <c r="BN67" s="159" t="n">
        <f aca="false">IF(AND(BN$6&gt;=EOMONTH($H$61,0),BN$6&lt;=EOMONTH(EDATE($H$61,$E$61-1),0)),$G$61/MAX($E$61,1),0)</f>
        <v>0</v>
      </c>
      <c r="BO67" s="159" t="n">
        <f aca="false">IF(AND(BO$6&gt;=EOMONTH($H$61,0),BO$6&lt;=EOMONTH(EDATE($H$61,$E$61-1),0)),$G$61/MAX($E$61,1),0)</f>
        <v>0</v>
      </c>
      <c r="BP67" s="159" t="n">
        <f aca="false">IF(AND(BP$6&gt;=EOMONTH($H$61,0),BP$6&lt;=EOMONTH(EDATE($H$61,$E$61-1),0)),$G$61/MAX($E$61,1),0)</f>
        <v>0</v>
      </c>
      <c r="BQ67" s="159" t="n">
        <f aca="false">IF(AND(BQ$6&gt;=EOMONTH($H$61,0),BQ$6&lt;=EOMONTH(EDATE($H$61,$E$61-1),0)),$G$61/MAX($E$61,1),0)</f>
        <v>0</v>
      </c>
      <c r="BR67" s="159" t="n">
        <f aca="false">IF(AND(BR$6&gt;=EOMONTH($H$61,0),BR$6&lt;=EOMONTH(EDATE($H$61,$E$61-1),0)),$G$61/MAX($E$61,1),0)</f>
        <v>0</v>
      </c>
      <c r="BS67" s="159" t="n">
        <f aca="false">IF(AND(BS$6&gt;=EOMONTH($H$61,0),BS$6&lt;=EOMONTH(EDATE($H$61,$E$61-1),0)),$G$61/MAX($E$61,1),0)</f>
        <v>0</v>
      </c>
      <c r="BT67" s="159" t="n">
        <f aca="false">IF(AND(BT$6&gt;=EOMONTH($H$61,0),BT$6&lt;=EOMONTH(EDATE($H$61,$E$61-1),0)),$G$61/MAX($E$61,1),0)</f>
        <v>0</v>
      </c>
      <c r="BU67" s="159" t="n">
        <f aca="false">IF(AND(BU$6&gt;=EOMONTH($H$61,0),BU$6&lt;=EOMONTH(EDATE($H$61,$E$61-1),0)),$G$61/MAX($E$61,1),0)</f>
        <v>0</v>
      </c>
      <c r="BV67" s="159" t="n">
        <f aca="false">IF(AND(BV$6&gt;=EOMONTH($H$61,0),BV$6&lt;=EOMONTH(EDATE($H$61,$E$61-1),0)),$G$61/MAX($E$61,1),0)</f>
        <v>0</v>
      </c>
      <c r="BW67" s="159" t="n">
        <f aca="false">IF(AND(BW$6&gt;=EOMONTH($H$61,0),BW$6&lt;=EOMONTH(EDATE($H$61,$E$61-1),0)),$G$61/MAX($E$61,1),0)</f>
        <v>0</v>
      </c>
      <c r="BX67" s="159" t="n">
        <f aca="false">IF(AND(BX$6&gt;=EOMONTH($H$61,0),BX$6&lt;=EOMONTH(EDATE($H$61,$E$61-1),0)),$G$61/MAX($E$61,1),0)</f>
        <v>0</v>
      </c>
      <c r="BY67" s="159" t="n">
        <f aca="false">IF(AND(BY$6&gt;=EOMONTH($H$61,0),BY$6&lt;=EOMONTH(EDATE($H$61,$E$61-1),0)),$G$61/MAX($E$61,1),0)</f>
        <v>0</v>
      </c>
      <c r="BZ67" s="159" t="n">
        <f aca="false">IF(AND(BZ$6&gt;=EOMONTH($H$61,0),BZ$6&lt;=EOMONTH(EDATE($H$61,$E$61-1),0)),$G$61/MAX($E$61,1),0)</f>
        <v>0</v>
      </c>
      <c r="CA67" s="159" t="n">
        <f aca="false">IF(AND(CA$6&gt;=EOMONTH($H$61,0),CA$6&lt;=EOMONTH(EDATE($H$61,$E$61-1),0)),$G$61/MAX($E$61,1),0)</f>
        <v>0</v>
      </c>
    </row>
    <row r="68" customFormat="false" ht="15" hidden="false" customHeight="false" outlineLevel="0" collapsed="false">
      <c r="B68" s="192" t="s">
        <v>328</v>
      </c>
      <c r="T68" s="159" t="n">
        <f aca="false">IF(AND(T$6&gt;=EOMONTH($H$62,0),T$6&lt;=EOMONTH(EDATE($H$62,$E$62-1),0)),$G$62/MAX($E$62,1),0)</f>
        <v>0</v>
      </c>
      <c r="U68" s="159" t="n">
        <f aca="false">IF(AND(U$6&gt;=EOMONTH($H$62,0),U$6&lt;=EOMONTH(EDATE($H$62,$E$62-1),0)),$G$62/MAX($E$62,1),0)</f>
        <v>0</v>
      </c>
      <c r="V68" s="159" t="n">
        <f aca="false">IF(AND(V$6&gt;=EOMONTH($H$62,0),V$6&lt;=EOMONTH(EDATE($H$62,$E$62-1),0)),$G$62/MAX($E$62,1),0)</f>
        <v>0</v>
      </c>
      <c r="W68" s="159" t="n">
        <f aca="false">IF(AND(W$6&gt;=EOMONTH($H$62,0),W$6&lt;=EOMONTH(EDATE($H$62,$E$62-1),0)),$G$62/MAX($E$62,1),0)</f>
        <v>0</v>
      </c>
      <c r="X68" s="159" t="n">
        <f aca="false">IF(AND(X$6&gt;=EOMONTH($H$62,0),X$6&lt;=EOMONTH(EDATE($H$62,$E$62-1),0)),$G$62/MAX($E$62,1),0)</f>
        <v>0</v>
      </c>
      <c r="Y68" s="159" t="n">
        <f aca="false">IF(AND(Y$6&gt;=EOMONTH($H$62,0),Y$6&lt;=EOMONTH(EDATE($H$62,$E$62-1),0)),$G$62/MAX($E$62,1),0)</f>
        <v>0</v>
      </c>
      <c r="Z68" s="159" t="n">
        <f aca="false">IF(AND(Z$6&gt;=EOMONTH($H$62,0),Z$6&lt;=EOMONTH(EDATE($H$62,$E$62-1),0)),$G$62/MAX($E$62,1),0)</f>
        <v>0</v>
      </c>
      <c r="AA68" s="159" t="n">
        <f aca="false">IF(AND(AA$6&gt;=EOMONTH($H$62,0),AA$6&lt;=EOMONTH(EDATE($H$62,$E$62-1),0)),$G$62/MAX($E$62,1),0)</f>
        <v>0</v>
      </c>
      <c r="AB68" s="159" t="n">
        <f aca="false">IF(AND(AB$6&gt;=EOMONTH($H$62,0),AB$6&lt;=EOMONTH(EDATE($H$62,$E$62-1),0)),$G$62/MAX($E$62,1),0)</f>
        <v>0</v>
      </c>
      <c r="AC68" s="159" t="n">
        <f aca="false">IF(AND(AC$6&gt;=EOMONTH($H$62,0),AC$6&lt;=EOMONTH(EDATE($H$62,$E$62-1),0)),$G$62/MAX($E$62,1),0)</f>
        <v>0</v>
      </c>
      <c r="AD68" s="159" t="n">
        <f aca="false">IF(AND(AD$6&gt;=EOMONTH($H$62,0),AD$6&lt;=EOMONTH(EDATE($H$62,$E$62-1),0)),$G$62/MAX($E$62,1),0)</f>
        <v>0</v>
      </c>
      <c r="AE68" s="159" t="n">
        <f aca="false">IF(AND(AE$6&gt;=EOMONTH($H$62,0),AE$6&lt;=EOMONTH(EDATE($H$62,$E$62-1),0)),$G$62/MAX($E$62,1),0)</f>
        <v>0</v>
      </c>
      <c r="AF68" s="159" t="n">
        <f aca="false">IF(AND(AF$6&gt;=EOMONTH($H$62,0),AF$6&lt;=EOMONTH(EDATE($H$62,$E$62-1),0)),$G$62/MAX($E$62,1),0)</f>
        <v>0</v>
      </c>
      <c r="AG68" s="159" t="n">
        <f aca="false">IF(AND(AG$6&gt;=EOMONTH($H$62,0),AG$6&lt;=EOMONTH(EDATE($H$62,$E$62-1),0)),$G$62/MAX($E$62,1),0)</f>
        <v>0</v>
      </c>
      <c r="AH68" s="159" t="n">
        <f aca="false">IF(AND(AH$6&gt;=EOMONTH($H$62,0),AH$6&lt;=EOMONTH(EDATE($H$62,$E$62-1),0)),$G$62/MAX($E$62,1),0)</f>
        <v>0</v>
      </c>
      <c r="AI68" s="159" t="n">
        <f aca="false">IF(AND(AI$6&gt;=EOMONTH($H$62,0),AI$6&lt;=EOMONTH(EDATE($H$62,$E$62-1),0)),$G$62/MAX($E$62,1),0)</f>
        <v>0</v>
      </c>
      <c r="AJ68" s="159" t="n">
        <f aca="false">IF(AND(AJ$6&gt;=EOMONTH($H$62,0),AJ$6&lt;=EOMONTH(EDATE($H$62,$E$62-1),0)),$G$62/MAX($E$62,1),0)</f>
        <v>0</v>
      </c>
      <c r="AK68" s="159" t="n">
        <f aca="false">IF(AND(AK$6&gt;=EOMONTH($H$62,0),AK$6&lt;=EOMONTH(EDATE($H$62,$E$62-1),0)),$G$62/MAX($E$62,1),0)</f>
        <v>82270.8333333333</v>
      </c>
      <c r="AL68" s="159" t="n">
        <f aca="false">IF(AND(AL$6&gt;=EOMONTH($H$62,0),AL$6&lt;=EOMONTH(EDATE($H$62,$E$62-1),0)),$G$62/MAX($E$62,1),0)</f>
        <v>82270.8333333333</v>
      </c>
      <c r="AM68" s="159" t="n">
        <f aca="false">IF(AND(AM$6&gt;=EOMONTH($H$62,0),AM$6&lt;=EOMONTH(EDATE($H$62,$E$62-1),0)),$G$62/MAX($E$62,1),0)</f>
        <v>82270.8333333333</v>
      </c>
      <c r="AN68" s="159" t="n">
        <f aca="false">IF(AND(AN$6&gt;=EOMONTH($H$62,0),AN$6&lt;=EOMONTH(EDATE($H$62,$E$62-1),0)),$G$62/MAX($E$62,1),0)</f>
        <v>82270.8333333333</v>
      </c>
      <c r="AO68" s="159" t="n">
        <f aca="false">IF(AND(AO$6&gt;=EOMONTH($H$62,0),AO$6&lt;=EOMONTH(EDATE($H$62,$E$62-1),0)),$G$62/MAX($E$62,1),0)</f>
        <v>82270.8333333333</v>
      </c>
      <c r="AP68" s="159" t="n">
        <f aca="false">IF(AND(AP$6&gt;=EOMONTH($H$62,0),AP$6&lt;=EOMONTH(EDATE($H$62,$E$62-1),0)),$G$62/MAX($E$62,1),0)</f>
        <v>82270.8333333333</v>
      </c>
      <c r="AQ68" s="159" t="n">
        <f aca="false">IF(AND(AQ$6&gt;=EOMONTH($H$62,0),AQ$6&lt;=EOMONTH(EDATE($H$62,$E$62-1),0)),$G$62/MAX($E$62,1),0)</f>
        <v>0</v>
      </c>
      <c r="AR68" s="159" t="n">
        <f aca="false">IF(AND(AR$6&gt;=EOMONTH($H$62,0),AR$6&lt;=EOMONTH(EDATE($H$62,$E$62-1),0)),$G$62/MAX($E$62,1),0)</f>
        <v>0</v>
      </c>
      <c r="AS68" s="159" t="n">
        <f aca="false">IF(AND(AS$6&gt;=EOMONTH($H$62,0),AS$6&lt;=EOMONTH(EDATE($H$62,$E$62-1),0)),$G$62/MAX($E$62,1),0)</f>
        <v>0</v>
      </c>
      <c r="AT68" s="159" t="n">
        <f aca="false">IF(AND(AT$6&gt;=EOMONTH($H$62,0),AT$6&lt;=EOMONTH(EDATE($H$62,$E$62-1),0)),$G$62/MAX($E$62,1),0)</f>
        <v>0</v>
      </c>
      <c r="AU68" s="159" t="n">
        <f aca="false">IF(AND(AU$6&gt;=EOMONTH($H$62,0),AU$6&lt;=EOMONTH(EDATE($H$62,$E$62-1),0)),$G$62/MAX($E$62,1),0)</f>
        <v>0</v>
      </c>
      <c r="AV68" s="159" t="n">
        <f aca="false">IF(AND(AV$6&gt;=EOMONTH($H$62,0),AV$6&lt;=EOMONTH(EDATE($H$62,$E$62-1),0)),$G$62/MAX($E$62,1),0)</f>
        <v>0</v>
      </c>
      <c r="AW68" s="159" t="n">
        <f aca="false">IF(AND(AW$6&gt;=EOMONTH($H$62,0),AW$6&lt;=EOMONTH(EDATE($H$62,$E$62-1),0)),$G$62/MAX($E$62,1),0)</f>
        <v>0</v>
      </c>
      <c r="AX68" s="159" t="n">
        <f aca="false">IF(AND(AX$6&gt;=EOMONTH($H$62,0),AX$6&lt;=EOMONTH(EDATE($H$62,$E$62-1),0)),$G$62/MAX($E$62,1),0)</f>
        <v>0</v>
      </c>
      <c r="AY68" s="159" t="n">
        <f aca="false">IF(AND(AY$6&gt;=EOMONTH($H$62,0),AY$6&lt;=EOMONTH(EDATE($H$62,$E$62-1),0)),$G$62/MAX($E$62,1),0)</f>
        <v>0</v>
      </c>
      <c r="AZ68" s="159" t="n">
        <f aca="false">IF(AND(AZ$6&gt;=EOMONTH($H$62,0),AZ$6&lt;=EOMONTH(EDATE($H$62,$E$62-1),0)),$G$62/MAX($E$62,1),0)</f>
        <v>0</v>
      </c>
      <c r="BA68" s="159" t="n">
        <f aca="false">IF(AND(BA$6&gt;=EOMONTH($H$62,0),BA$6&lt;=EOMONTH(EDATE($H$62,$E$62-1),0)),$G$62/MAX($E$62,1),0)</f>
        <v>0</v>
      </c>
      <c r="BB68" s="159" t="n">
        <f aca="false">IF(AND(BB$6&gt;=EOMONTH($H$62,0),BB$6&lt;=EOMONTH(EDATE($H$62,$E$62-1),0)),$G$62/MAX($E$62,1),0)</f>
        <v>0</v>
      </c>
      <c r="BC68" s="159" t="n">
        <f aca="false">IF(AND(BC$6&gt;=EOMONTH($H$62,0),BC$6&lt;=EOMONTH(EDATE($H$62,$E$62-1),0)),$G$62/MAX($E$62,1),0)</f>
        <v>0</v>
      </c>
      <c r="BD68" s="159" t="n">
        <f aca="false">IF(AND(BD$6&gt;=EOMONTH($H$62,0),BD$6&lt;=EOMONTH(EDATE($H$62,$E$62-1),0)),$G$62/MAX($E$62,1),0)</f>
        <v>0</v>
      </c>
      <c r="BE68" s="159" t="n">
        <f aca="false">IF(AND(BE$6&gt;=EOMONTH($H$62,0),BE$6&lt;=EOMONTH(EDATE($H$62,$E$62-1),0)),$G$62/MAX($E$62,1),0)</f>
        <v>0</v>
      </c>
      <c r="BF68" s="159" t="n">
        <f aca="false">IF(AND(BF$6&gt;=EOMONTH($H$62,0),BF$6&lt;=EOMONTH(EDATE($H$62,$E$62-1),0)),$G$62/MAX($E$62,1),0)</f>
        <v>0</v>
      </c>
      <c r="BG68" s="159" t="n">
        <f aca="false">IF(AND(BG$6&gt;=EOMONTH($H$62,0),BG$6&lt;=EOMONTH(EDATE($H$62,$E$62-1),0)),$G$62/MAX($E$62,1),0)</f>
        <v>0</v>
      </c>
      <c r="BH68" s="159" t="n">
        <f aca="false">IF(AND(BH$6&gt;=EOMONTH($H$62,0),BH$6&lt;=EOMONTH(EDATE($H$62,$E$62-1),0)),$G$62/MAX($E$62,1),0)</f>
        <v>0</v>
      </c>
      <c r="BI68" s="159" t="n">
        <f aca="false">IF(AND(BI$6&gt;=EOMONTH($H$62,0),BI$6&lt;=EOMONTH(EDATE($H$62,$E$62-1),0)),$G$62/MAX($E$62,1),0)</f>
        <v>0</v>
      </c>
      <c r="BJ68" s="159" t="n">
        <f aca="false">IF(AND(BJ$6&gt;=EOMONTH($H$62,0),BJ$6&lt;=EOMONTH(EDATE($H$62,$E$62-1),0)),$G$62/MAX($E$62,1),0)</f>
        <v>0</v>
      </c>
      <c r="BK68" s="159" t="n">
        <f aca="false">IF(AND(BK$6&gt;=EOMONTH($H$62,0),BK$6&lt;=EOMONTH(EDATE($H$62,$E$62-1),0)),$G$62/MAX($E$62,1),0)</f>
        <v>0</v>
      </c>
      <c r="BL68" s="159" t="n">
        <f aca="false">IF(AND(BL$6&gt;=EOMONTH($H$62,0),BL$6&lt;=EOMONTH(EDATE($H$62,$E$62-1),0)),$G$62/MAX($E$62,1),0)</f>
        <v>0</v>
      </c>
      <c r="BM68" s="159" t="n">
        <f aca="false">IF(AND(BM$6&gt;=EOMONTH($H$62,0),BM$6&lt;=EOMONTH(EDATE($H$62,$E$62-1),0)),$G$62/MAX($E$62,1),0)</f>
        <v>0</v>
      </c>
      <c r="BN68" s="159" t="n">
        <f aca="false">IF(AND(BN$6&gt;=EOMONTH($H$62,0),BN$6&lt;=EOMONTH(EDATE($H$62,$E$62-1),0)),$G$62/MAX($E$62,1),0)</f>
        <v>0</v>
      </c>
      <c r="BO68" s="159" t="n">
        <f aca="false">IF(AND(BO$6&gt;=EOMONTH($H$62,0),BO$6&lt;=EOMONTH(EDATE($H$62,$E$62-1),0)),$G$62/MAX($E$62,1),0)</f>
        <v>0</v>
      </c>
      <c r="BP68" s="159" t="n">
        <f aca="false">IF(AND(BP$6&gt;=EOMONTH($H$62,0),BP$6&lt;=EOMONTH(EDATE($H$62,$E$62-1),0)),$G$62/MAX($E$62,1),0)</f>
        <v>0</v>
      </c>
      <c r="BQ68" s="159" t="n">
        <f aca="false">IF(AND(BQ$6&gt;=EOMONTH($H$62,0),BQ$6&lt;=EOMONTH(EDATE($H$62,$E$62-1),0)),$G$62/MAX($E$62,1),0)</f>
        <v>0</v>
      </c>
      <c r="BR68" s="159" t="n">
        <f aca="false">IF(AND(BR$6&gt;=EOMONTH($H$62,0),BR$6&lt;=EOMONTH(EDATE($H$62,$E$62-1),0)),$G$62/MAX($E$62,1),0)</f>
        <v>0</v>
      </c>
      <c r="BS68" s="159" t="n">
        <f aca="false">IF(AND(BS$6&gt;=EOMONTH($H$62,0),BS$6&lt;=EOMONTH(EDATE($H$62,$E$62-1),0)),$G$62/MAX($E$62,1),0)</f>
        <v>0</v>
      </c>
      <c r="BT68" s="159" t="n">
        <f aca="false">IF(AND(BT$6&gt;=EOMONTH($H$62,0),BT$6&lt;=EOMONTH(EDATE($H$62,$E$62-1),0)),$G$62/MAX($E$62,1),0)</f>
        <v>0</v>
      </c>
      <c r="BU68" s="159" t="n">
        <f aca="false">IF(AND(BU$6&gt;=EOMONTH($H$62,0),BU$6&lt;=EOMONTH(EDATE($H$62,$E$62-1),0)),$G$62/MAX($E$62,1),0)</f>
        <v>0</v>
      </c>
      <c r="BV68" s="159" t="n">
        <f aca="false">IF(AND(BV$6&gt;=EOMONTH($H$62,0),BV$6&lt;=EOMONTH(EDATE($H$62,$E$62-1),0)),$G$62/MAX($E$62,1),0)</f>
        <v>0</v>
      </c>
      <c r="BW68" s="159" t="n">
        <f aca="false">IF(AND(BW$6&gt;=EOMONTH($H$62,0),BW$6&lt;=EOMONTH(EDATE($H$62,$E$62-1),0)),$G$62/MAX($E$62,1),0)</f>
        <v>0</v>
      </c>
      <c r="BX68" s="159" t="n">
        <f aca="false">IF(AND(BX$6&gt;=EOMONTH($H$62,0),BX$6&lt;=EOMONTH(EDATE($H$62,$E$62-1),0)),$G$62/MAX($E$62,1),0)</f>
        <v>0</v>
      </c>
      <c r="BY68" s="159" t="n">
        <f aca="false">IF(AND(BY$6&gt;=EOMONTH($H$62,0),BY$6&lt;=EOMONTH(EDATE($H$62,$E$62-1),0)),$G$62/MAX($E$62,1),0)</f>
        <v>0</v>
      </c>
      <c r="BZ68" s="159" t="n">
        <f aca="false">IF(AND(BZ$6&gt;=EOMONTH($H$62,0),BZ$6&lt;=EOMONTH(EDATE($H$62,$E$62-1),0)),$G$62/MAX($E$62,1),0)</f>
        <v>0</v>
      </c>
      <c r="CA68" s="159" t="n">
        <f aca="false">IF(AND(CA$6&gt;=EOMONTH($H$62,0),CA$6&lt;=EOMONTH(EDATE($H$62,$E$62-1),0)),$G$62/MAX($E$62,1),0)</f>
        <v>0</v>
      </c>
    </row>
    <row r="69" customFormat="false" ht="15" hidden="false" customHeight="false" outlineLevel="0" collapsed="false">
      <c r="B69" s="192" t="s">
        <v>329</v>
      </c>
      <c r="T69" s="159" t="n">
        <f aca="false">IF(AND(T$6&gt;=EOMONTH($H$63,0),T$6&lt;=EOMONTH(EDATE($H$63,$E$63-1),0)),$G$63/MAX($E$63,1),0)</f>
        <v>0</v>
      </c>
      <c r="U69" s="159" t="n">
        <f aca="false">IF(AND(U$6&gt;=EOMONTH($H$63,0),U$6&lt;=EOMONTH(EDATE($H$63,$E$63-1),0)),$G$63/MAX($E$63,1),0)</f>
        <v>0</v>
      </c>
      <c r="V69" s="159" t="n">
        <f aca="false">IF(AND(V$6&gt;=EOMONTH($H$63,0),V$6&lt;=EOMONTH(EDATE($H$63,$E$63-1),0)),$G$63/MAX($E$63,1),0)</f>
        <v>0</v>
      </c>
      <c r="W69" s="159" t="n">
        <f aca="false">IF(AND(W$6&gt;=EOMONTH($H$63,0),W$6&lt;=EOMONTH(EDATE($H$63,$E$63-1),0)),$G$63/MAX($E$63,1),0)</f>
        <v>0</v>
      </c>
      <c r="X69" s="159" t="n">
        <f aca="false">IF(AND(X$6&gt;=EOMONTH($H$63,0),X$6&lt;=EOMONTH(EDATE($H$63,$E$63-1),0)),$G$63/MAX($E$63,1),0)</f>
        <v>0</v>
      </c>
      <c r="Y69" s="159" t="n">
        <f aca="false">IF(AND(Y$6&gt;=EOMONTH($H$63,0),Y$6&lt;=EOMONTH(EDATE($H$63,$E$63-1),0)),$G$63/MAX($E$63,1),0)</f>
        <v>0</v>
      </c>
      <c r="Z69" s="159" t="n">
        <f aca="false">IF(AND(Z$6&gt;=EOMONTH($H$63,0),Z$6&lt;=EOMONTH(EDATE($H$63,$E$63-1),0)),$G$63/MAX($E$63,1),0)</f>
        <v>0</v>
      </c>
      <c r="AA69" s="159" t="n">
        <f aca="false">IF(AND(AA$6&gt;=EOMONTH($H$63,0),AA$6&lt;=EOMONTH(EDATE($H$63,$E$63-1),0)),$G$63/MAX($E$63,1),0)</f>
        <v>0</v>
      </c>
      <c r="AB69" s="159" t="n">
        <f aca="false">IF(AND(AB$6&gt;=EOMONTH($H$63,0),AB$6&lt;=EOMONTH(EDATE($H$63,$E$63-1),0)),$G$63/MAX($E$63,1),0)</f>
        <v>0</v>
      </c>
      <c r="AC69" s="159" t="n">
        <f aca="false">IF(AND(AC$6&gt;=EOMONTH($H$63,0),AC$6&lt;=EOMONTH(EDATE($H$63,$E$63-1),0)),$G$63/MAX($E$63,1),0)</f>
        <v>0</v>
      </c>
      <c r="AD69" s="159" t="n">
        <f aca="false">IF(AND(AD$6&gt;=EOMONTH($H$63,0),AD$6&lt;=EOMONTH(EDATE($H$63,$E$63-1),0)),$G$63/MAX($E$63,1),0)</f>
        <v>0</v>
      </c>
      <c r="AE69" s="159" t="n">
        <f aca="false">IF(AND(AE$6&gt;=EOMONTH($H$63,0),AE$6&lt;=EOMONTH(EDATE($H$63,$E$63-1),0)),$G$63/MAX($E$63,1),0)</f>
        <v>0</v>
      </c>
      <c r="AF69" s="159" t="n">
        <f aca="false">IF(AND(AF$6&gt;=EOMONTH($H$63,0),AF$6&lt;=EOMONTH(EDATE($H$63,$E$63-1),0)),$G$63/MAX($E$63,1),0)</f>
        <v>0</v>
      </c>
      <c r="AG69" s="159" t="n">
        <f aca="false">IF(AND(AG$6&gt;=EOMONTH($H$63,0),AG$6&lt;=EOMONTH(EDATE($H$63,$E$63-1),0)),$G$63/MAX($E$63,1),0)</f>
        <v>0</v>
      </c>
      <c r="AH69" s="159" t="n">
        <f aca="false">IF(AND(AH$6&gt;=EOMONTH($H$63,0),AH$6&lt;=EOMONTH(EDATE($H$63,$E$63-1),0)),$G$63/MAX($E$63,1),0)</f>
        <v>0</v>
      </c>
      <c r="AI69" s="159" t="n">
        <f aca="false">IF(AND(AI$6&gt;=EOMONTH($H$63,0),AI$6&lt;=EOMONTH(EDATE($H$63,$E$63-1),0)),$G$63/MAX($E$63,1),0)</f>
        <v>0</v>
      </c>
      <c r="AJ69" s="159" t="n">
        <f aca="false">IF(AND(AJ$6&gt;=EOMONTH($H$63,0),AJ$6&lt;=EOMONTH(EDATE($H$63,$E$63-1),0)),$G$63/MAX($E$63,1),0)</f>
        <v>0</v>
      </c>
      <c r="AK69" s="159" t="n">
        <f aca="false">IF(AND(AK$6&gt;=EOMONTH($H$63,0),AK$6&lt;=EOMONTH(EDATE($H$63,$E$63-1),0)),$G$63/MAX($E$63,1),0)</f>
        <v>0</v>
      </c>
      <c r="AL69" s="159" t="n">
        <f aca="false">IF(AND(AL$6&gt;=EOMONTH($H$63,0),AL$6&lt;=EOMONTH(EDATE($H$63,$E$63-1),0)),$G$63/MAX($E$63,1),0)</f>
        <v>0</v>
      </c>
      <c r="AM69" s="159" t="n">
        <f aca="false">IF(AND(AM$6&gt;=EOMONTH($H$63,0),AM$6&lt;=EOMONTH(EDATE($H$63,$E$63-1),0)),$G$63/MAX($E$63,1),0)</f>
        <v>0</v>
      </c>
      <c r="AN69" s="159" t="n">
        <f aca="false">IF(AND(AN$6&gt;=EOMONTH($H$63,0),AN$6&lt;=EOMONTH(EDATE($H$63,$E$63-1),0)),$G$63/MAX($E$63,1),0)</f>
        <v>0</v>
      </c>
      <c r="AO69" s="159" t="n">
        <f aca="false">IF(AND(AO$6&gt;=EOMONTH($H$63,0),AO$6&lt;=EOMONTH(EDATE($H$63,$E$63-1),0)),$G$63/MAX($E$63,1),0)</f>
        <v>0</v>
      </c>
      <c r="AP69" s="159" t="n">
        <f aca="false">IF(AND(AP$6&gt;=EOMONTH($H$63,0),AP$6&lt;=EOMONTH(EDATE($H$63,$E$63-1),0)),$G$63/MAX($E$63,1),0)</f>
        <v>0</v>
      </c>
      <c r="AQ69" s="159" t="n">
        <f aca="false">IF(AND(AQ$6&gt;=EOMONTH($H$63,0),AQ$6&lt;=EOMONTH(EDATE($H$63,$E$63-1),0)),$G$63/MAX($E$63,1),0)</f>
        <v>0</v>
      </c>
      <c r="AR69" s="159" t="n">
        <f aca="false">IF(AND(AR$6&gt;=EOMONTH($H$63,0),AR$6&lt;=EOMONTH(EDATE($H$63,$E$63-1),0)),$G$63/MAX($E$63,1),0)</f>
        <v>0</v>
      </c>
      <c r="AS69" s="159" t="n">
        <f aca="false">IF(AND(AS$6&gt;=EOMONTH($H$63,0),AS$6&lt;=EOMONTH(EDATE($H$63,$E$63-1),0)),$G$63/MAX($E$63,1),0)</f>
        <v>0</v>
      </c>
      <c r="AT69" s="159" t="n">
        <f aca="false">IF(AND(AT$6&gt;=EOMONTH($H$63,0),AT$6&lt;=EOMONTH(EDATE($H$63,$E$63-1),0)),$G$63/MAX($E$63,1),0)</f>
        <v>0</v>
      </c>
      <c r="AU69" s="159" t="n">
        <f aca="false">IF(AND(AU$6&gt;=EOMONTH($H$63,0),AU$6&lt;=EOMONTH(EDATE($H$63,$E$63-1),0)),$G$63/MAX($E$63,1),0)</f>
        <v>0</v>
      </c>
      <c r="AV69" s="159" t="n">
        <f aca="false">IF(AND(AV$6&gt;=EOMONTH($H$63,0),AV$6&lt;=EOMONTH(EDATE($H$63,$E$63-1),0)),$G$63/MAX($E$63,1),0)</f>
        <v>0</v>
      </c>
      <c r="AW69" s="159" t="n">
        <f aca="false">IF(AND(AW$6&gt;=EOMONTH($H$63,0),AW$6&lt;=EOMONTH(EDATE($H$63,$E$63-1),0)),$G$63/MAX($E$63,1),0)</f>
        <v>0</v>
      </c>
      <c r="AX69" s="159" t="n">
        <f aca="false">IF(AND(AX$6&gt;=EOMONTH($H$63,0),AX$6&lt;=EOMONTH(EDATE($H$63,$E$63-1),0)),$G$63/MAX($E$63,1),0)</f>
        <v>0</v>
      </c>
      <c r="AY69" s="159" t="n">
        <f aca="false">IF(AND(AY$6&gt;=EOMONTH($H$63,0),AY$6&lt;=EOMONTH(EDATE($H$63,$E$63-1),0)),$G$63/MAX($E$63,1),0)</f>
        <v>0</v>
      </c>
      <c r="AZ69" s="159" t="n">
        <f aca="false">IF(AND(AZ$6&gt;=EOMONTH($H$63,0),AZ$6&lt;=EOMONTH(EDATE($H$63,$E$63-1),0)),$G$63/MAX($E$63,1),0)</f>
        <v>0</v>
      </c>
      <c r="BA69" s="159" t="n">
        <f aca="false">IF(AND(BA$6&gt;=EOMONTH($H$63,0),BA$6&lt;=EOMONTH(EDATE($H$63,$E$63-1),0)),$G$63/MAX($E$63,1),0)</f>
        <v>0</v>
      </c>
      <c r="BB69" s="159" t="n">
        <f aca="false">IF(AND(BB$6&gt;=EOMONTH($H$63,0),BB$6&lt;=EOMONTH(EDATE($H$63,$E$63-1),0)),$G$63/MAX($E$63,1),0)</f>
        <v>0</v>
      </c>
      <c r="BC69" s="159" t="n">
        <f aca="false">IF(AND(BC$6&gt;=EOMONTH($H$63,0),BC$6&lt;=EOMONTH(EDATE($H$63,$E$63-1),0)),$G$63/MAX($E$63,1),0)</f>
        <v>0</v>
      </c>
      <c r="BD69" s="159" t="n">
        <f aca="false">IF(AND(BD$6&gt;=EOMONTH($H$63,0),BD$6&lt;=EOMONTH(EDATE($H$63,$E$63-1),0)),$G$63/MAX($E$63,1),0)</f>
        <v>0</v>
      </c>
      <c r="BE69" s="159" t="n">
        <f aca="false">IF(AND(BE$6&gt;=EOMONTH($H$63,0),BE$6&lt;=EOMONTH(EDATE($H$63,$E$63-1),0)),$G$63/MAX($E$63,1),0)</f>
        <v>0</v>
      </c>
      <c r="BF69" s="159" t="n">
        <f aca="false">IF(AND(BF$6&gt;=EOMONTH($H$63,0),BF$6&lt;=EOMONTH(EDATE($H$63,$E$63-1),0)),$G$63/MAX($E$63,1),0)</f>
        <v>0</v>
      </c>
      <c r="BG69" s="159" t="n">
        <f aca="false">IF(AND(BG$6&gt;=EOMONTH($H$63,0),BG$6&lt;=EOMONTH(EDATE($H$63,$E$63-1),0)),$G$63/MAX($E$63,1),0)</f>
        <v>0</v>
      </c>
      <c r="BH69" s="159" t="n">
        <f aca="false">IF(AND(BH$6&gt;=EOMONTH($H$63,0),BH$6&lt;=EOMONTH(EDATE($H$63,$E$63-1),0)),$G$63/MAX($E$63,1),0)</f>
        <v>0</v>
      </c>
      <c r="BI69" s="159" t="n">
        <f aca="false">IF(AND(BI$6&gt;=EOMONTH($H$63,0),BI$6&lt;=EOMONTH(EDATE($H$63,$E$63-1),0)),$G$63/MAX($E$63,1),0)</f>
        <v>0</v>
      </c>
      <c r="BJ69" s="159" t="n">
        <f aca="false">IF(AND(BJ$6&gt;=EOMONTH($H$63,0),BJ$6&lt;=EOMONTH(EDATE($H$63,$E$63-1),0)),$G$63/MAX($E$63,1),0)</f>
        <v>0</v>
      </c>
      <c r="BK69" s="159" t="n">
        <f aca="false">IF(AND(BK$6&gt;=EOMONTH($H$63,0),BK$6&lt;=EOMONTH(EDATE($H$63,$E$63-1),0)),$G$63/MAX($E$63,1),0)</f>
        <v>0</v>
      </c>
      <c r="BL69" s="159" t="n">
        <f aca="false">IF(AND(BL$6&gt;=EOMONTH($H$63,0),BL$6&lt;=EOMONTH(EDATE($H$63,$E$63-1),0)),$G$63/MAX($E$63,1),0)</f>
        <v>0</v>
      </c>
      <c r="BM69" s="159" t="n">
        <f aca="false">IF(AND(BM$6&gt;=EOMONTH($H$63,0),BM$6&lt;=EOMONTH(EDATE($H$63,$E$63-1),0)),$G$63/MAX($E$63,1),0)</f>
        <v>0</v>
      </c>
      <c r="BN69" s="159" t="n">
        <f aca="false">IF(AND(BN$6&gt;=EOMONTH($H$63,0),BN$6&lt;=EOMONTH(EDATE($H$63,$E$63-1),0)),$G$63/MAX($E$63,1),0)</f>
        <v>0</v>
      </c>
      <c r="BO69" s="159" t="n">
        <f aca="false">IF(AND(BO$6&gt;=EOMONTH($H$63,0),BO$6&lt;=EOMONTH(EDATE($H$63,$E$63-1),0)),$G$63/MAX($E$63,1),0)</f>
        <v>0</v>
      </c>
      <c r="BP69" s="159" t="n">
        <f aca="false">IF(AND(BP$6&gt;=EOMONTH($H$63,0),BP$6&lt;=EOMONTH(EDATE($H$63,$E$63-1),0)),$G$63/MAX($E$63,1),0)</f>
        <v>0</v>
      </c>
      <c r="BQ69" s="159" t="n">
        <f aca="false">IF(AND(BQ$6&gt;=EOMONTH($H$63,0),BQ$6&lt;=EOMONTH(EDATE($H$63,$E$63-1),0)),$G$63/MAX($E$63,1),0)</f>
        <v>0</v>
      </c>
      <c r="BR69" s="159" t="n">
        <f aca="false">IF(AND(BR$6&gt;=EOMONTH($H$63,0),BR$6&lt;=EOMONTH(EDATE($H$63,$E$63-1),0)),$G$63/MAX($E$63,1),0)</f>
        <v>0</v>
      </c>
      <c r="BS69" s="159" t="n">
        <f aca="false">IF(AND(BS$6&gt;=EOMONTH($H$63,0),BS$6&lt;=EOMONTH(EDATE($H$63,$E$63-1),0)),$G$63/MAX($E$63,1),0)</f>
        <v>0</v>
      </c>
      <c r="BT69" s="159" t="n">
        <f aca="false">IF(AND(BT$6&gt;=EOMONTH($H$63,0),BT$6&lt;=EOMONTH(EDATE($H$63,$E$63-1),0)),$G$63/MAX($E$63,1),0)</f>
        <v>0</v>
      </c>
      <c r="BU69" s="159" t="n">
        <f aca="false">IF(AND(BU$6&gt;=EOMONTH($H$63,0),BU$6&lt;=EOMONTH(EDATE($H$63,$E$63-1),0)),$G$63/MAX($E$63,1),0)</f>
        <v>0</v>
      </c>
      <c r="BV69" s="159" t="n">
        <f aca="false">IF(AND(BV$6&gt;=EOMONTH($H$63,0),BV$6&lt;=EOMONTH(EDATE($H$63,$E$63-1),0)),$G$63/MAX($E$63,1),0)</f>
        <v>0</v>
      </c>
      <c r="BW69" s="159" t="n">
        <f aca="false">IF(AND(BW$6&gt;=EOMONTH($H$63,0),BW$6&lt;=EOMONTH(EDATE($H$63,$E$63-1),0)),$G$63/MAX($E$63,1),0)</f>
        <v>0</v>
      </c>
      <c r="BX69" s="159" t="n">
        <f aca="false">IF(AND(BX$6&gt;=EOMONTH($H$63,0),BX$6&lt;=EOMONTH(EDATE($H$63,$E$63-1),0)),$G$63/MAX($E$63,1),0)</f>
        <v>0</v>
      </c>
      <c r="BY69" s="159" t="n">
        <f aca="false">IF(AND(BY$6&gt;=EOMONTH($H$63,0),BY$6&lt;=EOMONTH(EDATE($H$63,$E$63-1),0)),$G$63/MAX($E$63,1),0)</f>
        <v>0</v>
      </c>
      <c r="BZ69" s="159" t="n">
        <f aca="false">IF(AND(BZ$6&gt;=EOMONTH($H$63,0),BZ$6&lt;=EOMONTH(EDATE($H$63,$E$63-1),0)),$G$63/MAX($E$63,1),0)</f>
        <v>0</v>
      </c>
      <c r="CA69" s="159" t="n">
        <f aca="false">IF(AND(CA$6&gt;=EOMONTH($H$63,0),CA$6&lt;=EOMONTH(EDATE($H$63,$E$63-1),0)),$G$63/MAX($E$63,1),0)</f>
        <v>0</v>
      </c>
    </row>
    <row r="70" customFormat="false" ht="15" hidden="false" customHeight="false" outlineLevel="0" collapsed="false">
      <c r="B70" s="3" t="s">
        <v>330</v>
      </c>
      <c r="G70" s="159" t="n">
        <f aca="false">SUM(G60:G63)</f>
        <v>1283425</v>
      </c>
    </row>
    <row r="72" customFormat="false" ht="15" hidden="false" customHeight="false" outlineLevel="0" collapsed="false">
      <c r="B72" s="193" t="s">
        <v>331</v>
      </c>
    </row>
    <row r="73" customFormat="false" ht="15" hidden="false" customHeight="false" outlineLevel="0" collapsed="false">
      <c r="B73" s="169" t="s">
        <v>332</v>
      </c>
      <c r="C73" s="169" t="s">
        <v>333</v>
      </c>
      <c r="D73" s="169" t="s">
        <v>334</v>
      </c>
      <c r="E73" s="169" t="s">
        <v>335</v>
      </c>
      <c r="H73" s="169" t="s">
        <v>313</v>
      </c>
      <c r="I73" s="169" t="s">
        <v>212</v>
      </c>
    </row>
    <row r="74" customFormat="false" ht="28.35" hidden="false" customHeight="false" outlineLevel="0" collapsed="false">
      <c r="B74" s="9" t="s">
        <v>336</v>
      </c>
      <c r="C74" s="189" t="s">
        <v>431</v>
      </c>
      <c r="D74" s="158" t="n">
        <v>0</v>
      </c>
      <c r="E74" s="156" t="n">
        <v>3</v>
      </c>
      <c r="H74" s="178" t="n">
        <f aca="false">DATE(2027,1,1)</f>
        <v>46388</v>
      </c>
      <c r="I74" s="168" t="n">
        <v>0</v>
      </c>
    </row>
    <row r="75" customFormat="false" ht="28.35" hidden="false" customHeight="false" outlineLevel="0" collapsed="false">
      <c r="B75" s="9" t="s">
        <v>338</v>
      </c>
      <c r="C75" s="189" t="s">
        <v>432</v>
      </c>
      <c r="D75" s="159" t="n">
        <f aca="false">$D$33*($G$70+$D$74)</f>
        <v>102674</v>
      </c>
      <c r="E75" s="156" t="n">
        <v>9</v>
      </c>
      <c r="H75" s="178" t="n">
        <f aca="false">DATE(2026,11,1)</f>
        <v>46327</v>
      </c>
      <c r="I75" s="168" t="n">
        <v>0</v>
      </c>
    </row>
    <row r="76" customFormat="false" ht="15" hidden="false" customHeight="false" outlineLevel="0" collapsed="false">
      <c r="B76" s="9" t="s">
        <v>340</v>
      </c>
      <c r="C76" s="189" t="s">
        <v>433</v>
      </c>
      <c r="D76" s="159" t="n">
        <f aca="false">$D$34*($G$70+$D$74+$D$75)</f>
        <v>138609.9</v>
      </c>
      <c r="E76" s="156" t="n">
        <v>9</v>
      </c>
      <c r="H76" s="178" t="n">
        <f aca="false">DATE(2026,11,1)</f>
        <v>46327</v>
      </c>
      <c r="I76" s="168" t="n">
        <v>0</v>
      </c>
    </row>
    <row r="77" customFormat="false" ht="15" hidden="false" customHeight="false" outlineLevel="0" collapsed="false">
      <c r="B77" s="9" t="s">
        <v>342</v>
      </c>
      <c r="C77" s="189"/>
      <c r="D77" s="158" t="n">
        <v>0</v>
      </c>
      <c r="E77" s="156" t="n">
        <v>1</v>
      </c>
      <c r="H77" s="178" t="n">
        <f aca="false">DATE(2027,6,1)</f>
        <v>46539</v>
      </c>
      <c r="I77" s="168" t="n">
        <v>0</v>
      </c>
    </row>
    <row r="79" customFormat="false" ht="15" hidden="false" customHeight="false" outlineLevel="0" collapsed="false">
      <c r="B79" s="167" t="s">
        <v>343</v>
      </c>
    </row>
    <row r="80" customFormat="false" ht="15" hidden="false" customHeight="false" outlineLevel="0" collapsed="false">
      <c r="B80" s="192" t="s">
        <v>344</v>
      </c>
      <c r="T80" s="159" t="n">
        <f aca="false">IF(AND(T$6&gt;=EOMONTH($H$74,0),T$6&lt;=EOMONTH(EDATE($H$74,$E$74-1),0)),$D$74/MAX($E$74,1),0)</f>
        <v>0</v>
      </c>
      <c r="U80" s="159" t="n">
        <f aca="false">IF(AND(U$6&gt;=EOMONTH($H$74,0),U$6&lt;=EOMONTH(EDATE($H$74,$E$74-1),0)),$D$74/MAX($E$74,1),0)</f>
        <v>0</v>
      </c>
      <c r="V80" s="159" t="n">
        <f aca="false">IF(AND(V$6&gt;=EOMONTH($H$74,0),V$6&lt;=EOMONTH(EDATE($H$74,$E$74-1),0)),$D$74/MAX($E$74,1),0)</f>
        <v>0</v>
      </c>
      <c r="W80" s="159" t="n">
        <f aca="false">IF(AND(W$6&gt;=EOMONTH($H$74,0),W$6&lt;=EOMONTH(EDATE($H$74,$E$74-1),0)),$D$74/MAX($E$74,1),0)</f>
        <v>0</v>
      </c>
      <c r="X80" s="159" t="n">
        <f aca="false">IF(AND(X$6&gt;=EOMONTH($H$74,0),X$6&lt;=EOMONTH(EDATE($H$74,$E$74-1),0)),$D$74/MAX($E$74,1),0)</f>
        <v>0</v>
      </c>
      <c r="Y80" s="159" t="n">
        <f aca="false">IF(AND(Y$6&gt;=EOMONTH($H$74,0),Y$6&lt;=EOMONTH(EDATE($H$74,$E$74-1),0)),$D$74/MAX($E$74,1),0)</f>
        <v>0</v>
      </c>
      <c r="Z80" s="159" t="n">
        <f aca="false">IF(AND(Z$6&gt;=EOMONTH($H$74,0),Z$6&lt;=EOMONTH(EDATE($H$74,$E$74-1),0)),$D$74/MAX($E$74,1),0)</f>
        <v>0</v>
      </c>
      <c r="AA80" s="159" t="n">
        <f aca="false">IF(AND(AA$6&gt;=EOMONTH($H$74,0),AA$6&lt;=EOMONTH(EDATE($H$74,$E$74-1),0)),$D$74/MAX($E$74,1),0)</f>
        <v>0</v>
      </c>
      <c r="AB80" s="159" t="n">
        <f aca="false">IF(AND(AB$6&gt;=EOMONTH($H$74,0),AB$6&lt;=EOMONTH(EDATE($H$74,$E$74-1),0)),$D$74/MAX($E$74,1),0)</f>
        <v>0</v>
      </c>
      <c r="AC80" s="159" t="n">
        <f aca="false">IF(AND(AC$6&gt;=EOMONTH($H$74,0),AC$6&lt;=EOMONTH(EDATE($H$74,$E$74-1),0)),$D$74/MAX($E$74,1),0)</f>
        <v>0</v>
      </c>
      <c r="AD80" s="159" t="n">
        <f aca="false">IF(AND(AD$6&gt;=EOMONTH($H$74,0),AD$6&lt;=EOMONTH(EDATE($H$74,$E$74-1),0)),$D$74/MAX($E$74,1),0)</f>
        <v>0</v>
      </c>
      <c r="AE80" s="159" t="n">
        <f aca="false">IF(AND(AE$6&gt;=EOMONTH($H$74,0),AE$6&lt;=EOMONTH(EDATE($H$74,$E$74-1),0)),$D$74/MAX($E$74,1),0)</f>
        <v>0</v>
      </c>
      <c r="AF80" s="159" t="n">
        <f aca="false">IF(AND(AF$6&gt;=EOMONTH($H$74,0),AF$6&lt;=EOMONTH(EDATE($H$74,$E$74-1),0)),$D$74/MAX($E$74,1),0)</f>
        <v>0</v>
      </c>
      <c r="AG80" s="159" t="n">
        <f aca="false">IF(AND(AG$6&gt;=EOMONTH($H$74,0),AG$6&lt;=EOMONTH(EDATE($H$74,$E$74-1),0)),$D$74/MAX($E$74,1),0)</f>
        <v>0</v>
      </c>
      <c r="AH80" s="159" t="n">
        <f aca="false">IF(AND(AH$6&gt;=EOMONTH($H$74,0),AH$6&lt;=EOMONTH(EDATE($H$74,$E$74-1),0)),$D$74/MAX($E$74,1),0)</f>
        <v>0</v>
      </c>
      <c r="AI80" s="159" t="n">
        <f aca="false">IF(AND(AI$6&gt;=EOMONTH($H$74,0),AI$6&lt;=EOMONTH(EDATE($H$74,$E$74-1),0)),$D$74/MAX($E$74,1),0)</f>
        <v>0</v>
      </c>
      <c r="AJ80" s="159" t="n">
        <f aca="false">IF(AND(AJ$6&gt;=EOMONTH($H$74,0),AJ$6&lt;=EOMONTH(EDATE($H$74,$E$74-1),0)),$D$74/MAX($E$74,1),0)</f>
        <v>0</v>
      </c>
      <c r="AK80" s="159" t="n">
        <f aca="false">IF(AND(AK$6&gt;=EOMONTH($H$74,0),AK$6&lt;=EOMONTH(EDATE($H$74,$E$74-1),0)),$D$74/MAX($E$74,1),0)</f>
        <v>0</v>
      </c>
      <c r="AL80" s="159" t="n">
        <f aca="false">IF(AND(AL$6&gt;=EOMONTH($H$74,0),AL$6&lt;=EOMONTH(EDATE($H$74,$E$74-1),0)),$D$74/MAX($E$74,1),0)</f>
        <v>0</v>
      </c>
      <c r="AM80" s="159" t="n">
        <f aca="false">IF(AND(AM$6&gt;=EOMONTH($H$74,0),AM$6&lt;=EOMONTH(EDATE($H$74,$E$74-1),0)),$D$74/MAX($E$74,1),0)</f>
        <v>0</v>
      </c>
      <c r="AN80" s="159" t="n">
        <f aca="false">IF(AND(AN$6&gt;=EOMONTH($H$74,0),AN$6&lt;=EOMONTH(EDATE($H$74,$E$74-1),0)),$D$74/MAX($E$74,1),0)</f>
        <v>0</v>
      </c>
      <c r="AO80" s="159" t="n">
        <f aca="false">IF(AND(AO$6&gt;=EOMONTH($H$74,0),AO$6&lt;=EOMONTH(EDATE($H$74,$E$74-1),0)),$D$74/MAX($E$74,1),0)</f>
        <v>0</v>
      </c>
      <c r="AP80" s="159" t="n">
        <f aca="false">IF(AND(AP$6&gt;=EOMONTH($H$74,0),AP$6&lt;=EOMONTH(EDATE($H$74,$E$74-1),0)),$D$74/MAX($E$74,1),0)</f>
        <v>0</v>
      </c>
      <c r="AQ80" s="159" t="n">
        <f aca="false">IF(AND(AQ$6&gt;=EOMONTH($H$74,0),AQ$6&lt;=EOMONTH(EDATE($H$74,$E$74-1),0)),$D$74/MAX($E$74,1),0)</f>
        <v>0</v>
      </c>
      <c r="AR80" s="159" t="n">
        <f aca="false">IF(AND(AR$6&gt;=EOMONTH($H$74,0),AR$6&lt;=EOMONTH(EDATE($H$74,$E$74-1),0)),$D$74/MAX($E$74,1),0)</f>
        <v>0</v>
      </c>
      <c r="AS80" s="159" t="n">
        <f aca="false">IF(AND(AS$6&gt;=EOMONTH($H$74,0),AS$6&lt;=EOMONTH(EDATE($H$74,$E$74-1),0)),$D$74/MAX($E$74,1),0)</f>
        <v>0</v>
      </c>
      <c r="AT80" s="159" t="n">
        <f aca="false">IF(AND(AT$6&gt;=EOMONTH($H$74,0),AT$6&lt;=EOMONTH(EDATE($H$74,$E$74-1),0)),$D$74/MAX($E$74,1),0)</f>
        <v>0</v>
      </c>
      <c r="AU80" s="159" t="n">
        <f aca="false">IF(AND(AU$6&gt;=EOMONTH($H$74,0),AU$6&lt;=EOMONTH(EDATE($H$74,$E$74-1),0)),$D$74/MAX($E$74,1),0)</f>
        <v>0</v>
      </c>
      <c r="AV80" s="159" t="n">
        <f aca="false">IF(AND(AV$6&gt;=EOMONTH($H$74,0),AV$6&lt;=EOMONTH(EDATE($H$74,$E$74-1),0)),$D$74/MAX($E$74,1),0)</f>
        <v>0</v>
      </c>
      <c r="AW80" s="159" t="n">
        <f aca="false">IF(AND(AW$6&gt;=EOMONTH($H$74,0),AW$6&lt;=EOMONTH(EDATE($H$74,$E$74-1),0)),$D$74/MAX($E$74,1),0)</f>
        <v>0</v>
      </c>
      <c r="AX80" s="159" t="n">
        <f aca="false">IF(AND(AX$6&gt;=EOMONTH($H$74,0),AX$6&lt;=EOMONTH(EDATE($H$74,$E$74-1),0)),$D$74/MAX($E$74,1),0)</f>
        <v>0</v>
      </c>
      <c r="AY80" s="159" t="n">
        <f aca="false">IF(AND(AY$6&gt;=EOMONTH($H$74,0),AY$6&lt;=EOMONTH(EDATE($H$74,$E$74-1),0)),$D$74/MAX($E$74,1),0)</f>
        <v>0</v>
      </c>
      <c r="AZ80" s="159" t="n">
        <f aca="false">IF(AND(AZ$6&gt;=EOMONTH($H$74,0),AZ$6&lt;=EOMONTH(EDATE($H$74,$E$74-1),0)),$D$74/MAX($E$74,1),0)</f>
        <v>0</v>
      </c>
      <c r="BA80" s="159" t="n">
        <f aca="false">IF(AND(BA$6&gt;=EOMONTH($H$74,0),BA$6&lt;=EOMONTH(EDATE($H$74,$E$74-1),0)),$D$74/MAX($E$74,1),0)</f>
        <v>0</v>
      </c>
      <c r="BB80" s="159" t="n">
        <f aca="false">IF(AND(BB$6&gt;=EOMONTH($H$74,0),BB$6&lt;=EOMONTH(EDATE($H$74,$E$74-1),0)),$D$74/MAX($E$74,1),0)</f>
        <v>0</v>
      </c>
      <c r="BC80" s="159" t="n">
        <f aca="false">IF(AND(BC$6&gt;=EOMONTH($H$74,0),BC$6&lt;=EOMONTH(EDATE($H$74,$E$74-1),0)),$D$74/MAX($E$74,1),0)</f>
        <v>0</v>
      </c>
      <c r="BD80" s="159" t="n">
        <f aca="false">IF(AND(BD$6&gt;=EOMONTH($H$74,0),BD$6&lt;=EOMONTH(EDATE($H$74,$E$74-1),0)),$D$74/MAX($E$74,1),0)</f>
        <v>0</v>
      </c>
      <c r="BE80" s="159" t="n">
        <f aca="false">IF(AND(BE$6&gt;=EOMONTH($H$74,0),BE$6&lt;=EOMONTH(EDATE($H$74,$E$74-1),0)),$D$74/MAX($E$74,1),0)</f>
        <v>0</v>
      </c>
      <c r="BF80" s="159" t="n">
        <f aca="false">IF(AND(BF$6&gt;=EOMONTH($H$74,0),BF$6&lt;=EOMONTH(EDATE($H$74,$E$74-1),0)),$D$74/MAX($E$74,1),0)</f>
        <v>0</v>
      </c>
      <c r="BG80" s="159" t="n">
        <f aca="false">IF(AND(BG$6&gt;=EOMONTH($H$74,0),BG$6&lt;=EOMONTH(EDATE($H$74,$E$74-1),0)),$D$74/MAX($E$74,1),0)</f>
        <v>0</v>
      </c>
      <c r="BH80" s="159" t="n">
        <f aca="false">IF(AND(BH$6&gt;=EOMONTH($H$74,0),BH$6&lt;=EOMONTH(EDATE($H$74,$E$74-1),0)),$D$74/MAX($E$74,1),0)</f>
        <v>0</v>
      </c>
      <c r="BI80" s="159" t="n">
        <f aca="false">IF(AND(BI$6&gt;=EOMONTH($H$74,0),BI$6&lt;=EOMONTH(EDATE($H$74,$E$74-1),0)),$D$74/MAX($E$74,1),0)</f>
        <v>0</v>
      </c>
      <c r="BJ80" s="159" t="n">
        <f aca="false">IF(AND(BJ$6&gt;=EOMONTH($H$74,0),BJ$6&lt;=EOMONTH(EDATE($H$74,$E$74-1),0)),$D$74/MAX($E$74,1),0)</f>
        <v>0</v>
      </c>
      <c r="BK80" s="159" t="n">
        <f aca="false">IF(AND(BK$6&gt;=EOMONTH($H$74,0),BK$6&lt;=EOMONTH(EDATE($H$74,$E$74-1),0)),$D$74/MAX($E$74,1),0)</f>
        <v>0</v>
      </c>
      <c r="BL80" s="159" t="n">
        <f aca="false">IF(AND(BL$6&gt;=EOMONTH($H$74,0),BL$6&lt;=EOMONTH(EDATE($H$74,$E$74-1),0)),$D$74/MAX($E$74,1),0)</f>
        <v>0</v>
      </c>
      <c r="BM80" s="159" t="n">
        <f aca="false">IF(AND(BM$6&gt;=EOMONTH($H$74,0),BM$6&lt;=EOMONTH(EDATE($H$74,$E$74-1),0)),$D$74/MAX($E$74,1),0)</f>
        <v>0</v>
      </c>
      <c r="BN80" s="159" t="n">
        <f aca="false">IF(AND(BN$6&gt;=EOMONTH($H$74,0),BN$6&lt;=EOMONTH(EDATE($H$74,$E$74-1),0)),$D$74/MAX($E$74,1),0)</f>
        <v>0</v>
      </c>
      <c r="BO80" s="159" t="n">
        <f aca="false">IF(AND(BO$6&gt;=EOMONTH($H$74,0),BO$6&lt;=EOMONTH(EDATE($H$74,$E$74-1),0)),$D$74/MAX($E$74,1),0)</f>
        <v>0</v>
      </c>
      <c r="BP80" s="159" t="n">
        <f aca="false">IF(AND(BP$6&gt;=EOMONTH($H$74,0),BP$6&lt;=EOMONTH(EDATE($H$74,$E$74-1),0)),$D$74/MAX($E$74,1),0)</f>
        <v>0</v>
      </c>
      <c r="BQ80" s="159" t="n">
        <f aca="false">IF(AND(BQ$6&gt;=EOMONTH($H$74,0),BQ$6&lt;=EOMONTH(EDATE($H$74,$E$74-1),0)),$D$74/MAX($E$74,1),0)</f>
        <v>0</v>
      </c>
      <c r="BR80" s="159" t="n">
        <f aca="false">IF(AND(BR$6&gt;=EOMONTH($H$74,0),BR$6&lt;=EOMONTH(EDATE($H$74,$E$74-1),0)),$D$74/MAX($E$74,1),0)</f>
        <v>0</v>
      </c>
      <c r="BS80" s="159" t="n">
        <f aca="false">IF(AND(BS$6&gt;=EOMONTH($H$74,0),BS$6&lt;=EOMONTH(EDATE($H$74,$E$74-1),0)),$D$74/MAX($E$74,1),0)</f>
        <v>0</v>
      </c>
      <c r="BT80" s="159" t="n">
        <f aca="false">IF(AND(BT$6&gt;=EOMONTH($H$74,0),BT$6&lt;=EOMONTH(EDATE($H$74,$E$74-1),0)),$D$74/MAX($E$74,1),0)</f>
        <v>0</v>
      </c>
      <c r="BU80" s="159" t="n">
        <f aca="false">IF(AND(BU$6&gt;=EOMONTH($H$74,0),BU$6&lt;=EOMONTH(EDATE($H$74,$E$74-1),0)),$D$74/MAX($E$74,1),0)</f>
        <v>0</v>
      </c>
      <c r="BV80" s="159" t="n">
        <f aca="false">IF(AND(BV$6&gt;=EOMONTH($H$74,0),BV$6&lt;=EOMONTH(EDATE($H$74,$E$74-1),0)),$D$74/MAX($E$74,1),0)</f>
        <v>0</v>
      </c>
      <c r="BW80" s="159" t="n">
        <f aca="false">IF(AND(BW$6&gt;=EOMONTH($H$74,0),BW$6&lt;=EOMONTH(EDATE($H$74,$E$74-1),0)),$D$74/MAX($E$74,1),0)</f>
        <v>0</v>
      </c>
      <c r="BX80" s="159" t="n">
        <f aca="false">IF(AND(BX$6&gt;=EOMONTH($H$74,0),BX$6&lt;=EOMONTH(EDATE($H$74,$E$74-1),0)),$D$74/MAX($E$74,1),0)</f>
        <v>0</v>
      </c>
      <c r="BY80" s="159" t="n">
        <f aca="false">IF(AND(BY$6&gt;=EOMONTH($H$74,0),BY$6&lt;=EOMONTH(EDATE($H$74,$E$74-1),0)),$D$74/MAX($E$74,1),0)</f>
        <v>0</v>
      </c>
      <c r="BZ80" s="159" t="n">
        <f aca="false">IF(AND(BZ$6&gt;=EOMONTH($H$74,0),BZ$6&lt;=EOMONTH(EDATE($H$74,$E$74-1),0)),$D$74/MAX($E$74,1),0)</f>
        <v>0</v>
      </c>
      <c r="CA80" s="159" t="n">
        <f aca="false">IF(AND(CA$6&gt;=EOMONTH($H$74,0),CA$6&lt;=EOMONTH(EDATE($H$74,$E$74-1),0)),$D$74/MAX($E$74,1),0)</f>
        <v>0</v>
      </c>
    </row>
    <row r="81" customFormat="false" ht="15" hidden="false" customHeight="false" outlineLevel="0" collapsed="false">
      <c r="B81" s="192" t="s">
        <v>345</v>
      </c>
      <c r="T81" s="159" t="n">
        <f aca="false">IF(AND(T$6&gt;=EOMONTH($H$75,0),T$6&lt;=EOMONTH(EDATE($H$75,$E$75-1),0)),$D$75/MAX($E$75,1),0)</f>
        <v>0</v>
      </c>
      <c r="U81" s="159" t="n">
        <f aca="false">IF(AND(U$6&gt;=EOMONTH($H$75,0),U$6&lt;=EOMONTH(EDATE($H$75,$E$75-1),0)),$D$75/MAX($E$75,1),0)</f>
        <v>0</v>
      </c>
      <c r="V81" s="159" t="n">
        <f aca="false">IF(AND(V$6&gt;=EOMONTH($H$75,0),V$6&lt;=EOMONTH(EDATE($H$75,$E$75-1),0)),$D$75/MAX($E$75,1),0)</f>
        <v>0</v>
      </c>
      <c r="W81" s="159" t="n">
        <f aca="false">IF(AND(W$6&gt;=EOMONTH($H$75,0),W$6&lt;=EOMONTH(EDATE($H$75,$E$75-1),0)),$D$75/MAX($E$75,1),0)</f>
        <v>0</v>
      </c>
      <c r="X81" s="159" t="n">
        <f aca="false">IF(AND(X$6&gt;=EOMONTH($H$75,0),X$6&lt;=EOMONTH(EDATE($H$75,$E$75-1),0)),$D$75/MAX($E$75,1),0)</f>
        <v>0</v>
      </c>
      <c r="Y81" s="159" t="n">
        <f aca="false">IF(AND(Y$6&gt;=EOMONTH($H$75,0),Y$6&lt;=EOMONTH(EDATE($H$75,$E$75-1),0)),$D$75/MAX($E$75,1),0)</f>
        <v>0</v>
      </c>
      <c r="Z81" s="159" t="n">
        <f aca="false">IF(AND(Z$6&gt;=EOMONTH($H$75,0),Z$6&lt;=EOMONTH(EDATE($H$75,$E$75-1),0)),$D$75/MAX($E$75,1),0)</f>
        <v>0</v>
      </c>
      <c r="AA81" s="159" t="n">
        <f aca="false">IF(AND(AA$6&gt;=EOMONTH($H$75,0),AA$6&lt;=EOMONTH(EDATE($H$75,$E$75-1),0)),$D$75/MAX($E$75,1),0)</f>
        <v>0</v>
      </c>
      <c r="AB81" s="159" t="n">
        <f aca="false">IF(AND(AB$6&gt;=EOMONTH($H$75,0),AB$6&lt;=EOMONTH(EDATE($H$75,$E$75-1),0)),$D$75/MAX($E$75,1),0)</f>
        <v>0</v>
      </c>
      <c r="AC81" s="159" t="n">
        <f aca="false">IF(AND(AC$6&gt;=EOMONTH($H$75,0),AC$6&lt;=EOMONTH(EDATE($H$75,$E$75-1),0)),$D$75/MAX($E$75,1),0)</f>
        <v>0</v>
      </c>
      <c r="AD81" s="159" t="n">
        <f aca="false">IF(AND(AD$6&gt;=EOMONTH($H$75,0),AD$6&lt;=EOMONTH(EDATE($H$75,$E$75-1),0)),$D$75/MAX($E$75,1),0)</f>
        <v>11408.2222222222</v>
      </c>
      <c r="AE81" s="159" t="n">
        <f aca="false">IF(AND(AE$6&gt;=EOMONTH($H$75,0),AE$6&lt;=EOMONTH(EDATE($H$75,$E$75-1),0)),$D$75/MAX($E$75,1),0)</f>
        <v>11408.2222222222</v>
      </c>
      <c r="AF81" s="159" t="n">
        <f aca="false">IF(AND(AF$6&gt;=EOMONTH($H$75,0),AF$6&lt;=EOMONTH(EDATE($H$75,$E$75-1),0)),$D$75/MAX($E$75,1),0)</f>
        <v>11408.2222222222</v>
      </c>
      <c r="AG81" s="159" t="n">
        <f aca="false">IF(AND(AG$6&gt;=EOMONTH($H$75,0),AG$6&lt;=EOMONTH(EDATE($H$75,$E$75-1),0)),$D$75/MAX($E$75,1),0)</f>
        <v>11408.2222222222</v>
      </c>
      <c r="AH81" s="159" t="n">
        <f aca="false">IF(AND(AH$6&gt;=EOMONTH($H$75,0),AH$6&lt;=EOMONTH(EDATE($H$75,$E$75-1),0)),$D$75/MAX($E$75,1),0)</f>
        <v>11408.2222222222</v>
      </c>
      <c r="AI81" s="159" t="n">
        <f aca="false">IF(AND(AI$6&gt;=EOMONTH($H$75,0),AI$6&lt;=EOMONTH(EDATE($H$75,$E$75-1),0)),$D$75/MAX($E$75,1),0)</f>
        <v>11408.2222222222</v>
      </c>
      <c r="AJ81" s="159" t="n">
        <f aca="false">IF(AND(AJ$6&gt;=EOMONTH($H$75,0),AJ$6&lt;=EOMONTH(EDATE($H$75,$E$75-1),0)),$D$75/MAX($E$75,1),0)</f>
        <v>11408.2222222222</v>
      </c>
      <c r="AK81" s="159" t="n">
        <f aca="false">IF(AND(AK$6&gt;=EOMONTH($H$75,0),AK$6&lt;=EOMONTH(EDATE($H$75,$E$75-1),0)),$D$75/MAX($E$75,1),0)</f>
        <v>11408.2222222222</v>
      </c>
      <c r="AL81" s="159" t="n">
        <f aca="false">IF(AND(AL$6&gt;=EOMONTH($H$75,0),AL$6&lt;=EOMONTH(EDATE($H$75,$E$75-1),0)),$D$75/MAX($E$75,1),0)</f>
        <v>11408.2222222222</v>
      </c>
      <c r="AM81" s="159" t="n">
        <f aca="false">IF(AND(AM$6&gt;=EOMONTH($H$75,0),AM$6&lt;=EOMONTH(EDATE($H$75,$E$75-1),0)),$D$75/MAX($E$75,1),0)</f>
        <v>0</v>
      </c>
      <c r="AN81" s="159" t="n">
        <f aca="false">IF(AND(AN$6&gt;=EOMONTH($H$75,0),AN$6&lt;=EOMONTH(EDATE($H$75,$E$75-1),0)),$D$75/MAX($E$75,1),0)</f>
        <v>0</v>
      </c>
      <c r="AO81" s="159" t="n">
        <f aca="false">IF(AND(AO$6&gt;=EOMONTH($H$75,0),AO$6&lt;=EOMONTH(EDATE($H$75,$E$75-1),0)),$D$75/MAX($E$75,1),0)</f>
        <v>0</v>
      </c>
      <c r="AP81" s="159" t="n">
        <f aca="false">IF(AND(AP$6&gt;=EOMONTH($H$75,0),AP$6&lt;=EOMONTH(EDATE($H$75,$E$75-1),0)),$D$75/MAX($E$75,1),0)</f>
        <v>0</v>
      </c>
      <c r="AQ81" s="159" t="n">
        <f aca="false">IF(AND(AQ$6&gt;=EOMONTH($H$75,0),AQ$6&lt;=EOMONTH(EDATE($H$75,$E$75-1),0)),$D$75/MAX($E$75,1),0)</f>
        <v>0</v>
      </c>
      <c r="AR81" s="159" t="n">
        <f aca="false">IF(AND(AR$6&gt;=EOMONTH($H$75,0),AR$6&lt;=EOMONTH(EDATE($H$75,$E$75-1),0)),$D$75/MAX($E$75,1),0)</f>
        <v>0</v>
      </c>
      <c r="AS81" s="159" t="n">
        <f aca="false">IF(AND(AS$6&gt;=EOMONTH($H$75,0),AS$6&lt;=EOMONTH(EDATE($H$75,$E$75-1),0)),$D$75/MAX($E$75,1),0)</f>
        <v>0</v>
      </c>
      <c r="AT81" s="159" t="n">
        <f aca="false">IF(AND(AT$6&gt;=EOMONTH($H$75,0),AT$6&lt;=EOMONTH(EDATE($H$75,$E$75-1),0)),$D$75/MAX($E$75,1),0)</f>
        <v>0</v>
      </c>
      <c r="AU81" s="159" t="n">
        <f aca="false">IF(AND(AU$6&gt;=EOMONTH($H$75,0),AU$6&lt;=EOMONTH(EDATE($H$75,$E$75-1),0)),$D$75/MAX($E$75,1),0)</f>
        <v>0</v>
      </c>
      <c r="AV81" s="159" t="n">
        <f aca="false">IF(AND(AV$6&gt;=EOMONTH($H$75,0),AV$6&lt;=EOMONTH(EDATE($H$75,$E$75-1),0)),$D$75/MAX($E$75,1),0)</f>
        <v>0</v>
      </c>
      <c r="AW81" s="159" t="n">
        <f aca="false">IF(AND(AW$6&gt;=EOMONTH($H$75,0),AW$6&lt;=EOMONTH(EDATE($H$75,$E$75-1),0)),$D$75/MAX($E$75,1),0)</f>
        <v>0</v>
      </c>
      <c r="AX81" s="159" t="n">
        <f aca="false">IF(AND(AX$6&gt;=EOMONTH($H$75,0),AX$6&lt;=EOMONTH(EDATE($H$75,$E$75-1),0)),$D$75/MAX($E$75,1),0)</f>
        <v>0</v>
      </c>
      <c r="AY81" s="159" t="n">
        <f aca="false">IF(AND(AY$6&gt;=EOMONTH($H$75,0),AY$6&lt;=EOMONTH(EDATE($H$75,$E$75-1),0)),$D$75/MAX($E$75,1),0)</f>
        <v>0</v>
      </c>
      <c r="AZ81" s="159" t="n">
        <f aca="false">IF(AND(AZ$6&gt;=EOMONTH($H$75,0),AZ$6&lt;=EOMONTH(EDATE($H$75,$E$75-1),0)),$D$75/MAX($E$75,1),0)</f>
        <v>0</v>
      </c>
      <c r="BA81" s="159" t="n">
        <f aca="false">IF(AND(BA$6&gt;=EOMONTH($H$75,0),BA$6&lt;=EOMONTH(EDATE($H$75,$E$75-1),0)),$D$75/MAX($E$75,1),0)</f>
        <v>0</v>
      </c>
      <c r="BB81" s="159" t="n">
        <f aca="false">IF(AND(BB$6&gt;=EOMONTH($H$75,0),BB$6&lt;=EOMONTH(EDATE($H$75,$E$75-1),0)),$D$75/MAX($E$75,1),0)</f>
        <v>0</v>
      </c>
      <c r="BC81" s="159" t="n">
        <f aca="false">IF(AND(BC$6&gt;=EOMONTH($H$75,0),BC$6&lt;=EOMONTH(EDATE($H$75,$E$75-1),0)),$D$75/MAX($E$75,1),0)</f>
        <v>0</v>
      </c>
      <c r="BD81" s="159" t="n">
        <f aca="false">IF(AND(BD$6&gt;=EOMONTH($H$75,0),BD$6&lt;=EOMONTH(EDATE($H$75,$E$75-1),0)),$D$75/MAX($E$75,1),0)</f>
        <v>0</v>
      </c>
      <c r="BE81" s="159" t="n">
        <f aca="false">IF(AND(BE$6&gt;=EOMONTH($H$75,0),BE$6&lt;=EOMONTH(EDATE($H$75,$E$75-1),0)),$D$75/MAX($E$75,1),0)</f>
        <v>0</v>
      </c>
      <c r="BF81" s="159" t="n">
        <f aca="false">IF(AND(BF$6&gt;=EOMONTH($H$75,0),BF$6&lt;=EOMONTH(EDATE($H$75,$E$75-1),0)),$D$75/MAX($E$75,1),0)</f>
        <v>0</v>
      </c>
      <c r="BG81" s="159" t="n">
        <f aca="false">IF(AND(BG$6&gt;=EOMONTH($H$75,0),BG$6&lt;=EOMONTH(EDATE($H$75,$E$75-1),0)),$D$75/MAX($E$75,1),0)</f>
        <v>0</v>
      </c>
      <c r="BH81" s="159" t="n">
        <f aca="false">IF(AND(BH$6&gt;=EOMONTH($H$75,0),BH$6&lt;=EOMONTH(EDATE($H$75,$E$75-1),0)),$D$75/MAX($E$75,1),0)</f>
        <v>0</v>
      </c>
      <c r="BI81" s="159" t="n">
        <f aca="false">IF(AND(BI$6&gt;=EOMONTH($H$75,0),BI$6&lt;=EOMONTH(EDATE($H$75,$E$75-1),0)),$D$75/MAX($E$75,1),0)</f>
        <v>0</v>
      </c>
      <c r="BJ81" s="159" t="n">
        <f aca="false">IF(AND(BJ$6&gt;=EOMONTH($H$75,0),BJ$6&lt;=EOMONTH(EDATE($H$75,$E$75-1),0)),$D$75/MAX($E$75,1),0)</f>
        <v>0</v>
      </c>
      <c r="BK81" s="159" t="n">
        <f aca="false">IF(AND(BK$6&gt;=EOMONTH($H$75,0),BK$6&lt;=EOMONTH(EDATE($H$75,$E$75-1),0)),$D$75/MAX($E$75,1),0)</f>
        <v>0</v>
      </c>
      <c r="BL81" s="159" t="n">
        <f aca="false">IF(AND(BL$6&gt;=EOMONTH($H$75,0),BL$6&lt;=EOMONTH(EDATE($H$75,$E$75-1),0)),$D$75/MAX($E$75,1),0)</f>
        <v>0</v>
      </c>
      <c r="BM81" s="159" t="n">
        <f aca="false">IF(AND(BM$6&gt;=EOMONTH($H$75,0),BM$6&lt;=EOMONTH(EDATE($H$75,$E$75-1),0)),$D$75/MAX($E$75,1),0)</f>
        <v>0</v>
      </c>
      <c r="BN81" s="159" t="n">
        <f aca="false">IF(AND(BN$6&gt;=EOMONTH($H$75,0),BN$6&lt;=EOMONTH(EDATE($H$75,$E$75-1),0)),$D$75/MAX($E$75,1),0)</f>
        <v>0</v>
      </c>
      <c r="BO81" s="159" t="n">
        <f aca="false">IF(AND(BO$6&gt;=EOMONTH($H$75,0),BO$6&lt;=EOMONTH(EDATE($H$75,$E$75-1),0)),$D$75/MAX($E$75,1),0)</f>
        <v>0</v>
      </c>
      <c r="BP81" s="159" t="n">
        <f aca="false">IF(AND(BP$6&gt;=EOMONTH($H$75,0),BP$6&lt;=EOMONTH(EDATE($H$75,$E$75-1),0)),$D$75/MAX($E$75,1),0)</f>
        <v>0</v>
      </c>
      <c r="BQ81" s="159" t="n">
        <f aca="false">IF(AND(BQ$6&gt;=EOMONTH($H$75,0),BQ$6&lt;=EOMONTH(EDATE($H$75,$E$75-1),0)),$D$75/MAX($E$75,1),0)</f>
        <v>0</v>
      </c>
      <c r="BR81" s="159" t="n">
        <f aca="false">IF(AND(BR$6&gt;=EOMONTH($H$75,0),BR$6&lt;=EOMONTH(EDATE($H$75,$E$75-1),0)),$D$75/MAX($E$75,1),0)</f>
        <v>0</v>
      </c>
      <c r="BS81" s="159" t="n">
        <f aca="false">IF(AND(BS$6&gt;=EOMONTH($H$75,0),BS$6&lt;=EOMONTH(EDATE($H$75,$E$75-1),0)),$D$75/MAX($E$75,1),0)</f>
        <v>0</v>
      </c>
      <c r="BT81" s="159" t="n">
        <f aca="false">IF(AND(BT$6&gt;=EOMONTH($H$75,0),BT$6&lt;=EOMONTH(EDATE($H$75,$E$75-1),0)),$D$75/MAX($E$75,1),0)</f>
        <v>0</v>
      </c>
      <c r="BU81" s="159" t="n">
        <f aca="false">IF(AND(BU$6&gt;=EOMONTH($H$75,0),BU$6&lt;=EOMONTH(EDATE($H$75,$E$75-1),0)),$D$75/MAX($E$75,1),0)</f>
        <v>0</v>
      </c>
      <c r="BV81" s="159" t="n">
        <f aca="false">IF(AND(BV$6&gt;=EOMONTH($H$75,0),BV$6&lt;=EOMONTH(EDATE($H$75,$E$75-1),0)),$D$75/MAX($E$75,1),0)</f>
        <v>0</v>
      </c>
      <c r="BW81" s="159" t="n">
        <f aca="false">IF(AND(BW$6&gt;=EOMONTH($H$75,0),BW$6&lt;=EOMONTH(EDATE($H$75,$E$75-1),0)),$D$75/MAX($E$75,1),0)</f>
        <v>0</v>
      </c>
      <c r="BX81" s="159" t="n">
        <f aca="false">IF(AND(BX$6&gt;=EOMONTH($H$75,0),BX$6&lt;=EOMONTH(EDATE($H$75,$E$75-1),0)),$D$75/MAX($E$75,1),0)</f>
        <v>0</v>
      </c>
      <c r="BY81" s="159" t="n">
        <f aca="false">IF(AND(BY$6&gt;=EOMONTH($H$75,0),BY$6&lt;=EOMONTH(EDATE($H$75,$E$75-1),0)),$D$75/MAX($E$75,1),0)</f>
        <v>0</v>
      </c>
      <c r="BZ81" s="159" t="n">
        <f aca="false">IF(AND(BZ$6&gt;=EOMONTH($H$75,0),BZ$6&lt;=EOMONTH(EDATE($H$75,$E$75-1),0)),$D$75/MAX($E$75,1),0)</f>
        <v>0</v>
      </c>
      <c r="CA81" s="159" t="n">
        <f aca="false">IF(AND(CA$6&gt;=EOMONTH($H$75,0),CA$6&lt;=EOMONTH(EDATE($H$75,$E$75-1),0)),$D$75/MAX($E$75,1),0)</f>
        <v>0</v>
      </c>
    </row>
    <row r="82" customFormat="false" ht="15" hidden="false" customHeight="false" outlineLevel="0" collapsed="false">
      <c r="B82" s="192" t="s">
        <v>346</v>
      </c>
      <c r="T82" s="159" t="n">
        <f aca="false">IF(AND(T$6&gt;=EOMONTH($H$76,0),T$6&lt;=EOMONTH(EDATE($H$76,$E$76-1),0)),$D$76/MAX($E$76,1),0)</f>
        <v>0</v>
      </c>
      <c r="U82" s="159" t="n">
        <f aca="false">IF(AND(U$6&gt;=EOMONTH($H$76,0),U$6&lt;=EOMONTH(EDATE($H$76,$E$76-1),0)),$D$76/MAX($E$76,1),0)</f>
        <v>0</v>
      </c>
      <c r="V82" s="159" t="n">
        <f aca="false">IF(AND(V$6&gt;=EOMONTH($H$76,0),V$6&lt;=EOMONTH(EDATE($H$76,$E$76-1),0)),$D$76/MAX($E$76,1),0)</f>
        <v>0</v>
      </c>
      <c r="W82" s="159" t="n">
        <f aca="false">IF(AND(W$6&gt;=EOMONTH($H$76,0),W$6&lt;=EOMONTH(EDATE($H$76,$E$76-1),0)),$D$76/MAX($E$76,1),0)</f>
        <v>0</v>
      </c>
      <c r="X82" s="159" t="n">
        <f aca="false">IF(AND(X$6&gt;=EOMONTH($H$76,0),X$6&lt;=EOMONTH(EDATE($H$76,$E$76-1),0)),$D$76/MAX($E$76,1),0)</f>
        <v>0</v>
      </c>
      <c r="Y82" s="159" t="n">
        <f aca="false">IF(AND(Y$6&gt;=EOMONTH($H$76,0),Y$6&lt;=EOMONTH(EDATE($H$76,$E$76-1),0)),$D$76/MAX($E$76,1),0)</f>
        <v>0</v>
      </c>
      <c r="Z82" s="159" t="n">
        <f aca="false">IF(AND(Z$6&gt;=EOMONTH($H$76,0),Z$6&lt;=EOMONTH(EDATE($H$76,$E$76-1),0)),$D$76/MAX($E$76,1),0)</f>
        <v>0</v>
      </c>
      <c r="AA82" s="159" t="n">
        <f aca="false">IF(AND(AA$6&gt;=EOMONTH($H$76,0),AA$6&lt;=EOMONTH(EDATE($H$76,$E$76-1),0)),$D$76/MAX($E$76,1),0)</f>
        <v>0</v>
      </c>
      <c r="AB82" s="159" t="n">
        <f aca="false">IF(AND(AB$6&gt;=EOMONTH($H$76,0),AB$6&lt;=EOMONTH(EDATE($H$76,$E$76-1),0)),$D$76/MAX($E$76,1),0)</f>
        <v>0</v>
      </c>
      <c r="AC82" s="159" t="n">
        <f aca="false">IF(AND(AC$6&gt;=EOMONTH($H$76,0),AC$6&lt;=EOMONTH(EDATE($H$76,$E$76-1),0)),$D$76/MAX($E$76,1),0)</f>
        <v>0</v>
      </c>
      <c r="AD82" s="159" t="n">
        <f aca="false">IF(AND(AD$6&gt;=EOMONTH($H$76,0),AD$6&lt;=EOMONTH(EDATE($H$76,$E$76-1),0)),$D$76/MAX($E$76,1),0)</f>
        <v>15401.1</v>
      </c>
      <c r="AE82" s="159" t="n">
        <f aca="false">IF(AND(AE$6&gt;=EOMONTH($H$76,0),AE$6&lt;=EOMONTH(EDATE($H$76,$E$76-1),0)),$D$76/MAX($E$76,1),0)</f>
        <v>15401.1</v>
      </c>
      <c r="AF82" s="159" t="n">
        <f aca="false">IF(AND(AF$6&gt;=EOMONTH($H$76,0),AF$6&lt;=EOMONTH(EDATE($H$76,$E$76-1),0)),$D$76/MAX($E$76,1),0)</f>
        <v>15401.1</v>
      </c>
      <c r="AG82" s="159" t="n">
        <f aca="false">IF(AND(AG$6&gt;=EOMONTH($H$76,0),AG$6&lt;=EOMONTH(EDATE($H$76,$E$76-1),0)),$D$76/MAX($E$76,1),0)</f>
        <v>15401.1</v>
      </c>
      <c r="AH82" s="159" t="n">
        <f aca="false">IF(AND(AH$6&gt;=EOMONTH($H$76,0),AH$6&lt;=EOMONTH(EDATE($H$76,$E$76-1),0)),$D$76/MAX($E$76,1),0)</f>
        <v>15401.1</v>
      </c>
      <c r="AI82" s="159" t="n">
        <f aca="false">IF(AND(AI$6&gt;=EOMONTH($H$76,0),AI$6&lt;=EOMONTH(EDATE($H$76,$E$76-1),0)),$D$76/MAX($E$76,1),0)</f>
        <v>15401.1</v>
      </c>
      <c r="AJ82" s="159" t="n">
        <f aca="false">IF(AND(AJ$6&gt;=EOMONTH($H$76,0),AJ$6&lt;=EOMONTH(EDATE($H$76,$E$76-1),0)),$D$76/MAX($E$76,1),0)</f>
        <v>15401.1</v>
      </c>
      <c r="AK82" s="159" t="n">
        <f aca="false">IF(AND(AK$6&gt;=EOMONTH($H$76,0),AK$6&lt;=EOMONTH(EDATE($H$76,$E$76-1),0)),$D$76/MAX($E$76,1),0)</f>
        <v>15401.1</v>
      </c>
      <c r="AL82" s="159" t="n">
        <f aca="false">IF(AND(AL$6&gt;=EOMONTH($H$76,0),AL$6&lt;=EOMONTH(EDATE($H$76,$E$76-1),0)),$D$76/MAX($E$76,1),0)</f>
        <v>15401.1</v>
      </c>
      <c r="AM82" s="159" t="n">
        <f aca="false">IF(AND(AM$6&gt;=EOMONTH($H$76,0),AM$6&lt;=EOMONTH(EDATE($H$76,$E$76-1),0)),$D$76/MAX($E$76,1),0)</f>
        <v>0</v>
      </c>
      <c r="AN82" s="159" t="n">
        <f aca="false">IF(AND(AN$6&gt;=EOMONTH($H$76,0),AN$6&lt;=EOMONTH(EDATE($H$76,$E$76-1),0)),$D$76/MAX($E$76,1),0)</f>
        <v>0</v>
      </c>
      <c r="AO82" s="159" t="n">
        <f aca="false">IF(AND(AO$6&gt;=EOMONTH($H$76,0),AO$6&lt;=EOMONTH(EDATE($H$76,$E$76-1),0)),$D$76/MAX($E$76,1),0)</f>
        <v>0</v>
      </c>
      <c r="AP82" s="159" t="n">
        <f aca="false">IF(AND(AP$6&gt;=EOMONTH($H$76,0),AP$6&lt;=EOMONTH(EDATE($H$76,$E$76-1),0)),$D$76/MAX($E$76,1),0)</f>
        <v>0</v>
      </c>
      <c r="AQ82" s="159" t="n">
        <f aca="false">IF(AND(AQ$6&gt;=EOMONTH($H$76,0),AQ$6&lt;=EOMONTH(EDATE($H$76,$E$76-1),0)),$D$76/MAX($E$76,1),0)</f>
        <v>0</v>
      </c>
      <c r="AR82" s="159" t="n">
        <f aca="false">IF(AND(AR$6&gt;=EOMONTH($H$76,0),AR$6&lt;=EOMONTH(EDATE($H$76,$E$76-1),0)),$D$76/MAX($E$76,1),0)</f>
        <v>0</v>
      </c>
      <c r="AS82" s="159" t="n">
        <f aca="false">IF(AND(AS$6&gt;=EOMONTH($H$76,0),AS$6&lt;=EOMONTH(EDATE($H$76,$E$76-1),0)),$D$76/MAX($E$76,1),0)</f>
        <v>0</v>
      </c>
      <c r="AT82" s="159" t="n">
        <f aca="false">IF(AND(AT$6&gt;=EOMONTH($H$76,0),AT$6&lt;=EOMONTH(EDATE($H$76,$E$76-1),0)),$D$76/MAX($E$76,1),0)</f>
        <v>0</v>
      </c>
      <c r="AU82" s="159" t="n">
        <f aca="false">IF(AND(AU$6&gt;=EOMONTH($H$76,0),AU$6&lt;=EOMONTH(EDATE($H$76,$E$76-1),0)),$D$76/MAX($E$76,1),0)</f>
        <v>0</v>
      </c>
      <c r="AV82" s="159" t="n">
        <f aca="false">IF(AND(AV$6&gt;=EOMONTH($H$76,0),AV$6&lt;=EOMONTH(EDATE($H$76,$E$76-1),0)),$D$76/MAX($E$76,1),0)</f>
        <v>0</v>
      </c>
      <c r="AW82" s="159" t="n">
        <f aca="false">IF(AND(AW$6&gt;=EOMONTH($H$76,0),AW$6&lt;=EOMONTH(EDATE($H$76,$E$76-1),0)),$D$76/MAX($E$76,1),0)</f>
        <v>0</v>
      </c>
      <c r="AX82" s="159" t="n">
        <f aca="false">IF(AND(AX$6&gt;=EOMONTH($H$76,0),AX$6&lt;=EOMONTH(EDATE($H$76,$E$76-1),0)),$D$76/MAX($E$76,1),0)</f>
        <v>0</v>
      </c>
      <c r="AY82" s="159" t="n">
        <f aca="false">IF(AND(AY$6&gt;=EOMONTH($H$76,0),AY$6&lt;=EOMONTH(EDATE($H$76,$E$76-1),0)),$D$76/MAX($E$76,1),0)</f>
        <v>0</v>
      </c>
      <c r="AZ82" s="159" t="n">
        <f aca="false">IF(AND(AZ$6&gt;=EOMONTH($H$76,0),AZ$6&lt;=EOMONTH(EDATE($H$76,$E$76-1),0)),$D$76/MAX($E$76,1),0)</f>
        <v>0</v>
      </c>
      <c r="BA82" s="159" t="n">
        <f aca="false">IF(AND(BA$6&gt;=EOMONTH($H$76,0),BA$6&lt;=EOMONTH(EDATE($H$76,$E$76-1),0)),$D$76/MAX($E$76,1),0)</f>
        <v>0</v>
      </c>
      <c r="BB82" s="159" t="n">
        <f aca="false">IF(AND(BB$6&gt;=EOMONTH($H$76,0),BB$6&lt;=EOMONTH(EDATE($H$76,$E$76-1),0)),$D$76/MAX($E$76,1),0)</f>
        <v>0</v>
      </c>
      <c r="BC82" s="159" t="n">
        <f aca="false">IF(AND(BC$6&gt;=EOMONTH($H$76,0),BC$6&lt;=EOMONTH(EDATE($H$76,$E$76-1),0)),$D$76/MAX($E$76,1),0)</f>
        <v>0</v>
      </c>
      <c r="BD82" s="159" t="n">
        <f aca="false">IF(AND(BD$6&gt;=EOMONTH($H$76,0),BD$6&lt;=EOMONTH(EDATE($H$76,$E$76-1),0)),$D$76/MAX($E$76,1),0)</f>
        <v>0</v>
      </c>
      <c r="BE82" s="159" t="n">
        <f aca="false">IF(AND(BE$6&gt;=EOMONTH($H$76,0),BE$6&lt;=EOMONTH(EDATE($H$76,$E$76-1),0)),$D$76/MAX($E$76,1),0)</f>
        <v>0</v>
      </c>
      <c r="BF82" s="159" t="n">
        <f aca="false">IF(AND(BF$6&gt;=EOMONTH($H$76,0),BF$6&lt;=EOMONTH(EDATE($H$76,$E$76-1),0)),$D$76/MAX($E$76,1),0)</f>
        <v>0</v>
      </c>
      <c r="BG82" s="159" t="n">
        <f aca="false">IF(AND(BG$6&gt;=EOMONTH($H$76,0),BG$6&lt;=EOMONTH(EDATE($H$76,$E$76-1),0)),$D$76/MAX($E$76,1),0)</f>
        <v>0</v>
      </c>
      <c r="BH82" s="159" t="n">
        <f aca="false">IF(AND(BH$6&gt;=EOMONTH($H$76,0),BH$6&lt;=EOMONTH(EDATE($H$76,$E$76-1),0)),$D$76/MAX($E$76,1),0)</f>
        <v>0</v>
      </c>
      <c r="BI82" s="159" t="n">
        <f aca="false">IF(AND(BI$6&gt;=EOMONTH($H$76,0),BI$6&lt;=EOMONTH(EDATE($H$76,$E$76-1),0)),$D$76/MAX($E$76,1),0)</f>
        <v>0</v>
      </c>
      <c r="BJ82" s="159" t="n">
        <f aca="false">IF(AND(BJ$6&gt;=EOMONTH($H$76,0),BJ$6&lt;=EOMONTH(EDATE($H$76,$E$76-1),0)),$D$76/MAX($E$76,1),0)</f>
        <v>0</v>
      </c>
      <c r="BK82" s="159" t="n">
        <f aca="false">IF(AND(BK$6&gt;=EOMONTH($H$76,0),BK$6&lt;=EOMONTH(EDATE($H$76,$E$76-1),0)),$D$76/MAX($E$76,1),0)</f>
        <v>0</v>
      </c>
      <c r="BL82" s="159" t="n">
        <f aca="false">IF(AND(BL$6&gt;=EOMONTH($H$76,0),BL$6&lt;=EOMONTH(EDATE($H$76,$E$76-1),0)),$D$76/MAX($E$76,1),0)</f>
        <v>0</v>
      </c>
      <c r="BM82" s="159" t="n">
        <f aca="false">IF(AND(BM$6&gt;=EOMONTH($H$76,0),BM$6&lt;=EOMONTH(EDATE($H$76,$E$76-1),0)),$D$76/MAX($E$76,1),0)</f>
        <v>0</v>
      </c>
      <c r="BN82" s="159" t="n">
        <f aca="false">IF(AND(BN$6&gt;=EOMONTH($H$76,0),BN$6&lt;=EOMONTH(EDATE($H$76,$E$76-1),0)),$D$76/MAX($E$76,1),0)</f>
        <v>0</v>
      </c>
      <c r="BO82" s="159" t="n">
        <f aca="false">IF(AND(BO$6&gt;=EOMONTH($H$76,0),BO$6&lt;=EOMONTH(EDATE($H$76,$E$76-1),0)),$D$76/MAX($E$76,1),0)</f>
        <v>0</v>
      </c>
      <c r="BP82" s="159" t="n">
        <f aca="false">IF(AND(BP$6&gt;=EOMONTH($H$76,0),BP$6&lt;=EOMONTH(EDATE($H$76,$E$76-1),0)),$D$76/MAX($E$76,1),0)</f>
        <v>0</v>
      </c>
      <c r="BQ82" s="159" t="n">
        <f aca="false">IF(AND(BQ$6&gt;=EOMONTH($H$76,0),BQ$6&lt;=EOMONTH(EDATE($H$76,$E$76-1),0)),$D$76/MAX($E$76,1),0)</f>
        <v>0</v>
      </c>
      <c r="BR82" s="159" t="n">
        <f aca="false">IF(AND(BR$6&gt;=EOMONTH($H$76,0),BR$6&lt;=EOMONTH(EDATE($H$76,$E$76-1),0)),$D$76/MAX($E$76,1),0)</f>
        <v>0</v>
      </c>
      <c r="BS82" s="159" t="n">
        <f aca="false">IF(AND(BS$6&gt;=EOMONTH($H$76,0),BS$6&lt;=EOMONTH(EDATE($H$76,$E$76-1),0)),$D$76/MAX($E$76,1),0)</f>
        <v>0</v>
      </c>
      <c r="BT82" s="159" t="n">
        <f aca="false">IF(AND(BT$6&gt;=EOMONTH($H$76,0),BT$6&lt;=EOMONTH(EDATE($H$76,$E$76-1),0)),$D$76/MAX($E$76,1),0)</f>
        <v>0</v>
      </c>
      <c r="BU82" s="159" t="n">
        <f aca="false">IF(AND(BU$6&gt;=EOMONTH($H$76,0),BU$6&lt;=EOMONTH(EDATE($H$76,$E$76-1),0)),$D$76/MAX($E$76,1),0)</f>
        <v>0</v>
      </c>
      <c r="BV82" s="159" t="n">
        <f aca="false">IF(AND(BV$6&gt;=EOMONTH($H$76,0),BV$6&lt;=EOMONTH(EDATE($H$76,$E$76-1),0)),$D$76/MAX($E$76,1),0)</f>
        <v>0</v>
      </c>
      <c r="BW82" s="159" t="n">
        <f aca="false">IF(AND(BW$6&gt;=EOMONTH($H$76,0),BW$6&lt;=EOMONTH(EDATE($H$76,$E$76-1),0)),$D$76/MAX($E$76,1),0)</f>
        <v>0</v>
      </c>
      <c r="BX82" s="159" t="n">
        <f aca="false">IF(AND(BX$6&gt;=EOMONTH($H$76,0),BX$6&lt;=EOMONTH(EDATE($H$76,$E$76-1),0)),$D$76/MAX($E$76,1),0)</f>
        <v>0</v>
      </c>
      <c r="BY82" s="159" t="n">
        <f aca="false">IF(AND(BY$6&gt;=EOMONTH($H$76,0),BY$6&lt;=EOMONTH(EDATE($H$76,$E$76-1),0)),$D$76/MAX($E$76,1),0)</f>
        <v>0</v>
      </c>
      <c r="BZ82" s="159" t="n">
        <f aca="false">IF(AND(BZ$6&gt;=EOMONTH($H$76,0),BZ$6&lt;=EOMONTH(EDATE($H$76,$E$76-1),0)),$D$76/MAX($E$76,1),0)</f>
        <v>0</v>
      </c>
      <c r="CA82" s="159" t="n">
        <f aca="false">IF(AND(CA$6&gt;=EOMONTH($H$76,0),CA$6&lt;=EOMONTH(EDATE($H$76,$E$76-1),0)),$D$76/MAX($E$76,1),0)</f>
        <v>0</v>
      </c>
    </row>
    <row r="83" customFormat="false" ht="15" hidden="false" customHeight="false" outlineLevel="0" collapsed="false">
      <c r="B83" s="192" t="s">
        <v>347</v>
      </c>
      <c r="T83" s="159" t="n">
        <f aca="false">IF(AND(T$6&gt;=EOMONTH($H$77,0),T$6&lt;=EOMONTH(EDATE($H$77,$E$77-1),0)),$D$77/MAX($E$77,1),0)</f>
        <v>0</v>
      </c>
      <c r="U83" s="159" t="n">
        <f aca="false">IF(AND(U$6&gt;=EOMONTH($H$77,0),U$6&lt;=EOMONTH(EDATE($H$77,$E$77-1),0)),$D$77/MAX($E$77,1),0)</f>
        <v>0</v>
      </c>
      <c r="V83" s="159" t="n">
        <f aca="false">IF(AND(V$6&gt;=EOMONTH($H$77,0),V$6&lt;=EOMONTH(EDATE($H$77,$E$77-1),0)),$D$77/MAX($E$77,1),0)</f>
        <v>0</v>
      </c>
      <c r="W83" s="159" t="n">
        <f aca="false">IF(AND(W$6&gt;=EOMONTH($H$77,0),W$6&lt;=EOMONTH(EDATE($H$77,$E$77-1),0)),$D$77/MAX($E$77,1),0)</f>
        <v>0</v>
      </c>
      <c r="X83" s="159" t="n">
        <f aca="false">IF(AND(X$6&gt;=EOMONTH($H$77,0),X$6&lt;=EOMONTH(EDATE($H$77,$E$77-1),0)),$D$77/MAX($E$77,1),0)</f>
        <v>0</v>
      </c>
      <c r="Y83" s="159" t="n">
        <f aca="false">IF(AND(Y$6&gt;=EOMONTH($H$77,0),Y$6&lt;=EOMONTH(EDATE($H$77,$E$77-1),0)),$D$77/MAX($E$77,1),0)</f>
        <v>0</v>
      </c>
      <c r="Z83" s="159" t="n">
        <f aca="false">IF(AND(Z$6&gt;=EOMONTH($H$77,0),Z$6&lt;=EOMONTH(EDATE($H$77,$E$77-1),0)),$D$77/MAX($E$77,1),0)</f>
        <v>0</v>
      </c>
      <c r="AA83" s="159" t="n">
        <f aca="false">IF(AND(AA$6&gt;=EOMONTH($H$77,0),AA$6&lt;=EOMONTH(EDATE($H$77,$E$77-1),0)),$D$77/MAX($E$77,1),0)</f>
        <v>0</v>
      </c>
      <c r="AB83" s="159" t="n">
        <f aca="false">IF(AND(AB$6&gt;=EOMONTH($H$77,0),AB$6&lt;=EOMONTH(EDATE($H$77,$E$77-1),0)),$D$77/MAX($E$77,1),0)</f>
        <v>0</v>
      </c>
      <c r="AC83" s="159" t="n">
        <f aca="false">IF(AND(AC$6&gt;=EOMONTH($H$77,0),AC$6&lt;=EOMONTH(EDATE($H$77,$E$77-1),0)),$D$77/MAX($E$77,1),0)</f>
        <v>0</v>
      </c>
      <c r="AD83" s="159" t="n">
        <f aca="false">IF(AND(AD$6&gt;=EOMONTH($H$77,0),AD$6&lt;=EOMONTH(EDATE($H$77,$E$77-1),0)),$D$77/MAX($E$77,1),0)</f>
        <v>0</v>
      </c>
      <c r="AE83" s="159" t="n">
        <f aca="false">IF(AND(AE$6&gt;=EOMONTH($H$77,0),AE$6&lt;=EOMONTH(EDATE($H$77,$E$77-1),0)),$D$77/MAX($E$77,1),0)</f>
        <v>0</v>
      </c>
      <c r="AF83" s="159" t="n">
        <f aca="false">IF(AND(AF$6&gt;=EOMONTH($H$77,0),AF$6&lt;=EOMONTH(EDATE($H$77,$E$77-1),0)),$D$77/MAX($E$77,1),0)</f>
        <v>0</v>
      </c>
      <c r="AG83" s="159" t="n">
        <f aca="false">IF(AND(AG$6&gt;=EOMONTH($H$77,0),AG$6&lt;=EOMONTH(EDATE($H$77,$E$77-1),0)),$D$77/MAX($E$77,1),0)</f>
        <v>0</v>
      </c>
      <c r="AH83" s="159" t="n">
        <f aca="false">IF(AND(AH$6&gt;=EOMONTH($H$77,0),AH$6&lt;=EOMONTH(EDATE($H$77,$E$77-1),0)),$D$77/MAX($E$77,1),0)</f>
        <v>0</v>
      </c>
      <c r="AI83" s="159" t="n">
        <f aca="false">IF(AND(AI$6&gt;=EOMONTH($H$77,0),AI$6&lt;=EOMONTH(EDATE($H$77,$E$77-1),0)),$D$77/MAX($E$77,1),0)</f>
        <v>0</v>
      </c>
      <c r="AJ83" s="159" t="n">
        <f aca="false">IF(AND(AJ$6&gt;=EOMONTH($H$77,0),AJ$6&lt;=EOMONTH(EDATE($H$77,$E$77-1),0)),$D$77/MAX($E$77,1),0)</f>
        <v>0</v>
      </c>
      <c r="AK83" s="159" t="n">
        <f aca="false">IF(AND(AK$6&gt;=EOMONTH($H$77,0),AK$6&lt;=EOMONTH(EDATE($H$77,$E$77-1),0)),$D$77/MAX($E$77,1),0)</f>
        <v>0</v>
      </c>
      <c r="AL83" s="159" t="n">
        <f aca="false">IF(AND(AL$6&gt;=EOMONTH($H$77,0),AL$6&lt;=EOMONTH(EDATE($H$77,$E$77-1),0)),$D$77/MAX($E$77,1),0)</f>
        <v>0</v>
      </c>
      <c r="AM83" s="159" t="n">
        <f aca="false">IF(AND(AM$6&gt;=EOMONTH($H$77,0),AM$6&lt;=EOMONTH(EDATE($H$77,$E$77-1),0)),$D$77/MAX($E$77,1),0)</f>
        <v>0</v>
      </c>
      <c r="AN83" s="159" t="n">
        <f aca="false">IF(AND(AN$6&gt;=EOMONTH($H$77,0),AN$6&lt;=EOMONTH(EDATE($H$77,$E$77-1),0)),$D$77/MAX($E$77,1),0)</f>
        <v>0</v>
      </c>
      <c r="AO83" s="159" t="n">
        <f aca="false">IF(AND(AO$6&gt;=EOMONTH($H$77,0),AO$6&lt;=EOMONTH(EDATE($H$77,$E$77-1),0)),$D$77/MAX($E$77,1),0)</f>
        <v>0</v>
      </c>
      <c r="AP83" s="159" t="n">
        <f aca="false">IF(AND(AP$6&gt;=EOMONTH($H$77,0),AP$6&lt;=EOMONTH(EDATE($H$77,$E$77-1),0)),$D$77/MAX($E$77,1),0)</f>
        <v>0</v>
      </c>
      <c r="AQ83" s="159" t="n">
        <f aca="false">IF(AND(AQ$6&gt;=EOMONTH($H$77,0),AQ$6&lt;=EOMONTH(EDATE($H$77,$E$77-1),0)),$D$77/MAX($E$77,1),0)</f>
        <v>0</v>
      </c>
      <c r="AR83" s="159" t="n">
        <f aca="false">IF(AND(AR$6&gt;=EOMONTH($H$77,0),AR$6&lt;=EOMONTH(EDATE($H$77,$E$77-1),0)),$D$77/MAX($E$77,1),0)</f>
        <v>0</v>
      </c>
      <c r="AS83" s="159" t="n">
        <f aca="false">IF(AND(AS$6&gt;=EOMONTH($H$77,0),AS$6&lt;=EOMONTH(EDATE($H$77,$E$77-1),0)),$D$77/MAX($E$77,1),0)</f>
        <v>0</v>
      </c>
      <c r="AT83" s="159" t="n">
        <f aca="false">IF(AND(AT$6&gt;=EOMONTH($H$77,0),AT$6&lt;=EOMONTH(EDATE($H$77,$E$77-1),0)),$D$77/MAX($E$77,1),0)</f>
        <v>0</v>
      </c>
      <c r="AU83" s="159" t="n">
        <f aca="false">IF(AND(AU$6&gt;=EOMONTH($H$77,0),AU$6&lt;=EOMONTH(EDATE($H$77,$E$77-1),0)),$D$77/MAX($E$77,1),0)</f>
        <v>0</v>
      </c>
      <c r="AV83" s="159" t="n">
        <f aca="false">IF(AND(AV$6&gt;=EOMONTH($H$77,0),AV$6&lt;=EOMONTH(EDATE($H$77,$E$77-1),0)),$D$77/MAX($E$77,1),0)</f>
        <v>0</v>
      </c>
      <c r="AW83" s="159" t="n">
        <f aca="false">IF(AND(AW$6&gt;=EOMONTH($H$77,0),AW$6&lt;=EOMONTH(EDATE($H$77,$E$77-1),0)),$D$77/MAX($E$77,1),0)</f>
        <v>0</v>
      </c>
      <c r="AX83" s="159" t="n">
        <f aca="false">IF(AND(AX$6&gt;=EOMONTH($H$77,0),AX$6&lt;=EOMONTH(EDATE($H$77,$E$77-1),0)),$D$77/MAX($E$77,1),0)</f>
        <v>0</v>
      </c>
      <c r="AY83" s="159" t="n">
        <f aca="false">IF(AND(AY$6&gt;=EOMONTH($H$77,0),AY$6&lt;=EOMONTH(EDATE($H$77,$E$77-1),0)),$D$77/MAX($E$77,1),0)</f>
        <v>0</v>
      </c>
      <c r="AZ83" s="159" t="n">
        <f aca="false">IF(AND(AZ$6&gt;=EOMONTH($H$77,0),AZ$6&lt;=EOMONTH(EDATE($H$77,$E$77-1),0)),$D$77/MAX($E$77,1),0)</f>
        <v>0</v>
      </c>
      <c r="BA83" s="159" t="n">
        <f aca="false">IF(AND(BA$6&gt;=EOMONTH($H$77,0),BA$6&lt;=EOMONTH(EDATE($H$77,$E$77-1),0)),$D$77/MAX($E$77,1),0)</f>
        <v>0</v>
      </c>
      <c r="BB83" s="159" t="n">
        <f aca="false">IF(AND(BB$6&gt;=EOMONTH($H$77,0),BB$6&lt;=EOMONTH(EDATE($H$77,$E$77-1),0)),$D$77/MAX($E$77,1),0)</f>
        <v>0</v>
      </c>
      <c r="BC83" s="159" t="n">
        <f aca="false">IF(AND(BC$6&gt;=EOMONTH($H$77,0),BC$6&lt;=EOMONTH(EDATE($H$77,$E$77-1),0)),$D$77/MAX($E$77,1),0)</f>
        <v>0</v>
      </c>
      <c r="BD83" s="159" t="n">
        <f aca="false">IF(AND(BD$6&gt;=EOMONTH($H$77,0),BD$6&lt;=EOMONTH(EDATE($H$77,$E$77-1),0)),$D$77/MAX($E$77,1),0)</f>
        <v>0</v>
      </c>
      <c r="BE83" s="159" t="n">
        <f aca="false">IF(AND(BE$6&gt;=EOMONTH($H$77,0),BE$6&lt;=EOMONTH(EDATE($H$77,$E$77-1),0)),$D$77/MAX($E$77,1),0)</f>
        <v>0</v>
      </c>
      <c r="BF83" s="159" t="n">
        <f aca="false">IF(AND(BF$6&gt;=EOMONTH($H$77,0),BF$6&lt;=EOMONTH(EDATE($H$77,$E$77-1),0)),$D$77/MAX($E$77,1),0)</f>
        <v>0</v>
      </c>
      <c r="BG83" s="159" t="n">
        <f aca="false">IF(AND(BG$6&gt;=EOMONTH($H$77,0),BG$6&lt;=EOMONTH(EDATE($H$77,$E$77-1),0)),$D$77/MAX($E$77,1),0)</f>
        <v>0</v>
      </c>
      <c r="BH83" s="159" t="n">
        <f aca="false">IF(AND(BH$6&gt;=EOMONTH($H$77,0),BH$6&lt;=EOMONTH(EDATE($H$77,$E$77-1),0)),$D$77/MAX($E$77,1),0)</f>
        <v>0</v>
      </c>
      <c r="BI83" s="159" t="n">
        <f aca="false">IF(AND(BI$6&gt;=EOMONTH($H$77,0),BI$6&lt;=EOMONTH(EDATE($H$77,$E$77-1),0)),$D$77/MAX($E$77,1),0)</f>
        <v>0</v>
      </c>
      <c r="BJ83" s="159" t="n">
        <f aca="false">IF(AND(BJ$6&gt;=EOMONTH($H$77,0),BJ$6&lt;=EOMONTH(EDATE($H$77,$E$77-1),0)),$D$77/MAX($E$77,1),0)</f>
        <v>0</v>
      </c>
      <c r="BK83" s="159" t="n">
        <f aca="false">IF(AND(BK$6&gt;=EOMONTH($H$77,0),BK$6&lt;=EOMONTH(EDATE($H$77,$E$77-1),0)),$D$77/MAX($E$77,1),0)</f>
        <v>0</v>
      </c>
      <c r="BL83" s="159" t="n">
        <f aca="false">IF(AND(BL$6&gt;=EOMONTH($H$77,0),BL$6&lt;=EOMONTH(EDATE($H$77,$E$77-1),0)),$D$77/MAX($E$77,1),0)</f>
        <v>0</v>
      </c>
      <c r="BM83" s="159" t="n">
        <f aca="false">IF(AND(BM$6&gt;=EOMONTH($H$77,0),BM$6&lt;=EOMONTH(EDATE($H$77,$E$77-1),0)),$D$77/MAX($E$77,1),0)</f>
        <v>0</v>
      </c>
      <c r="BN83" s="159" t="n">
        <f aca="false">IF(AND(BN$6&gt;=EOMONTH($H$77,0),BN$6&lt;=EOMONTH(EDATE($H$77,$E$77-1),0)),$D$77/MAX($E$77,1),0)</f>
        <v>0</v>
      </c>
      <c r="BO83" s="159" t="n">
        <f aca="false">IF(AND(BO$6&gt;=EOMONTH($H$77,0),BO$6&lt;=EOMONTH(EDATE($H$77,$E$77-1),0)),$D$77/MAX($E$77,1),0)</f>
        <v>0</v>
      </c>
      <c r="BP83" s="159" t="n">
        <f aca="false">IF(AND(BP$6&gt;=EOMONTH($H$77,0),BP$6&lt;=EOMONTH(EDATE($H$77,$E$77-1),0)),$D$77/MAX($E$77,1),0)</f>
        <v>0</v>
      </c>
      <c r="BQ83" s="159" t="n">
        <f aca="false">IF(AND(BQ$6&gt;=EOMONTH($H$77,0),BQ$6&lt;=EOMONTH(EDATE($H$77,$E$77-1),0)),$D$77/MAX($E$77,1),0)</f>
        <v>0</v>
      </c>
      <c r="BR83" s="159" t="n">
        <f aca="false">IF(AND(BR$6&gt;=EOMONTH($H$77,0),BR$6&lt;=EOMONTH(EDATE($H$77,$E$77-1),0)),$D$77/MAX($E$77,1),0)</f>
        <v>0</v>
      </c>
      <c r="BS83" s="159" t="n">
        <f aca="false">IF(AND(BS$6&gt;=EOMONTH($H$77,0),BS$6&lt;=EOMONTH(EDATE($H$77,$E$77-1),0)),$D$77/MAX($E$77,1),0)</f>
        <v>0</v>
      </c>
      <c r="BT83" s="159" t="n">
        <f aca="false">IF(AND(BT$6&gt;=EOMONTH($H$77,0),BT$6&lt;=EOMONTH(EDATE($H$77,$E$77-1),0)),$D$77/MAX($E$77,1),0)</f>
        <v>0</v>
      </c>
      <c r="BU83" s="159" t="n">
        <f aca="false">IF(AND(BU$6&gt;=EOMONTH($H$77,0),BU$6&lt;=EOMONTH(EDATE($H$77,$E$77-1),0)),$D$77/MAX($E$77,1),0)</f>
        <v>0</v>
      </c>
      <c r="BV83" s="159" t="n">
        <f aca="false">IF(AND(BV$6&gt;=EOMONTH($H$77,0),BV$6&lt;=EOMONTH(EDATE($H$77,$E$77-1),0)),$D$77/MAX($E$77,1),0)</f>
        <v>0</v>
      </c>
      <c r="BW83" s="159" t="n">
        <f aca="false">IF(AND(BW$6&gt;=EOMONTH($H$77,0),BW$6&lt;=EOMONTH(EDATE($H$77,$E$77-1),0)),$D$77/MAX($E$77,1),0)</f>
        <v>0</v>
      </c>
      <c r="BX83" s="159" t="n">
        <f aca="false">IF(AND(BX$6&gt;=EOMONTH($H$77,0),BX$6&lt;=EOMONTH(EDATE($H$77,$E$77-1),0)),$D$77/MAX($E$77,1),0)</f>
        <v>0</v>
      </c>
      <c r="BY83" s="159" t="n">
        <f aca="false">IF(AND(BY$6&gt;=EOMONTH($H$77,0),BY$6&lt;=EOMONTH(EDATE($H$77,$E$77-1),0)),$D$77/MAX($E$77,1),0)</f>
        <v>0</v>
      </c>
      <c r="BZ83" s="159" t="n">
        <f aca="false">IF(AND(BZ$6&gt;=EOMONTH($H$77,0),BZ$6&lt;=EOMONTH(EDATE($H$77,$E$77-1),0)),$D$77/MAX($E$77,1),0)</f>
        <v>0</v>
      </c>
      <c r="CA83" s="159" t="n">
        <f aca="false">IF(AND(CA$6&gt;=EOMONTH($H$77,0),CA$6&lt;=EOMONTH(EDATE($H$77,$E$77-1),0)),$D$77/MAX($E$77,1),0)</f>
        <v>0</v>
      </c>
    </row>
    <row r="85" customFormat="false" ht="15" hidden="false" customHeight="false" outlineLevel="0" collapsed="false">
      <c r="B85" s="193" t="s">
        <v>348</v>
      </c>
    </row>
    <row r="86" customFormat="false" ht="15" hidden="false" customHeight="false" outlineLevel="0" collapsed="false">
      <c r="B86" s="10" t="s">
        <v>349</v>
      </c>
      <c r="L86" s="186" t="n">
        <f aca="false">SUMIFS($T86:$CA86,$T$5:$CA$5,2026)</f>
        <v>0</v>
      </c>
      <c r="M86" s="186" t="n">
        <f aca="false">SUMIFS($T86:$CA86,$T$5:$CA$5,2027)</f>
        <v>0.526533333333333</v>
      </c>
      <c r="N86" s="186" t="n">
        <f aca="false">SUMIFS($T86:$CA86,$T$5:$CA$5,2028)</f>
        <v>0</v>
      </c>
      <c r="O86" s="186" t="n">
        <f aca="false">SUMIFS($T86:$CA86,$T$5:$CA$5,2029)</f>
        <v>0</v>
      </c>
      <c r="P86" s="186" t="n">
        <f aca="false">SUMIFS($T86:$CA86,$T$5:$CA$5,2030)</f>
        <v>0</v>
      </c>
      <c r="T86" s="186" t="n">
        <f aca="false">(SUMPRODUCT(T66:T69,$I$60:$I$63))/1000000</f>
        <v>0</v>
      </c>
      <c r="U86" s="186" t="n">
        <f aca="false">(SUMPRODUCT(U66:U69,$I$60:$I$63))/1000000</f>
        <v>0</v>
      </c>
      <c r="V86" s="186" t="n">
        <f aca="false">(SUMPRODUCT(V66:V69,$I$60:$I$63))/1000000</f>
        <v>0</v>
      </c>
      <c r="W86" s="186" t="n">
        <f aca="false">(SUMPRODUCT(W66:W69,$I$60:$I$63))/1000000</f>
        <v>0</v>
      </c>
      <c r="X86" s="186" t="n">
        <f aca="false">(SUMPRODUCT(X66:X69,$I$60:$I$63))/1000000</f>
        <v>0</v>
      </c>
      <c r="Y86" s="186" t="n">
        <f aca="false">(SUMPRODUCT(Y66:Y69,$I$60:$I$63))/1000000</f>
        <v>0</v>
      </c>
      <c r="Z86" s="186" t="n">
        <f aca="false">(SUMPRODUCT(Z66:Z69,$I$60:$I$63))/1000000</f>
        <v>0</v>
      </c>
      <c r="AA86" s="186" t="n">
        <f aca="false">(SUMPRODUCT(AA66:AA69,$I$60:$I$63))/1000000</f>
        <v>0</v>
      </c>
      <c r="AB86" s="186" t="n">
        <f aca="false">(SUMPRODUCT(AB66:AB69,$I$60:$I$63))/1000000</f>
        <v>0</v>
      </c>
      <c r="AC86" s="186" t="n">
        <f aca="false">(SUMPRODUCT(AC66:AC69,$I$60:$I$63))/1000000</f>
        <v>0</v>
      </c>
      <c r="AD86" s="186" t="n">
        <f aca="false">(SUMPRODUCT(AD66:AD69,$I$60:$I$63))/1000000</f>
        <v>0</v>
      </c>
      <c r="AE86" s="186" t="n">
        <f aca="false">(SUMPRODUCT(AE66:AE69,$I$60:$I$63))/1000000</f>
        <v>0</v>
      </c>
      <c r="AF86" s="186" t="n">
        <f aca="false">(SUMPRODUCT(AF66:AF69,$I$60:$I$63))/1000000</f>
        <v>0.105306666666667</v>
      </c>
      <c r="AG86" s="186" t="n">
        <f aca="false">(SUMPRODUCT(AG66:AG69,$I$60:$I$63))/1000000</f>
        <v>0.105306666666667</v>
      </c>
      <c r="AH86" s="186" t="n">
        <f aca="false">(SUMPRODUCT(AH66:AH69,$I$60:$I$63))/1000000</f>
        <v>0.105306666666667</v>
      </c>
      <c r="AI86" s="186" t="n">
        <f aca="false">(SUMPRODUCT(AI66:AI69,$I$60:$I$63))/1000000</f>
        <v>0.105306666666667</v>
      </c>
      <c r="AJ86" s="186" t="n">
        <f aca="false">(SUMPRODUCT(AJ66:AJ69,$I$60:$I$63))/1000000</f>
        <v>0.105306666666667</v>
      </c>
      <c r="AK86" s="186" t="n">
        <f aca="false">(SUMPRODUCT(AK66:AK69,$I$60:$I$63))/1000000</f>
        <v>0</v>
      </c>
      <c r="AL86" s="186" t="n">
        <f aca="false">(SUMPRODUCT(AL66:AL69,$I$60:$I$63))/1000000</f>
        <v>0</v>
      </c>
      <c r="AM86" s="186" t="n">
        <f aca="false">(SUMPRODUCT(AM66:AM69,$I$60:$I$63))/1000000</f>
        <v>0</v>
      </c>
      <c r="AN86" s="186" t="n">
        <f aca="false">(SUMPRODUCT(AN66:AN69,$I$60:$I$63))/1000000</f>
        <v>0</v>
      </c>
      <c r="AO86" s="186" t="n">
        <f aca="false">(SUMPRODUCT(AO66:AO69,$I$60:$I$63))/1000000</f>
        <v>0</v>
      </c>
      <c r="AP86" s="186" t="n">
        <f aca="false">(SUMPRODUCT(AP66:AP69,$I$60:$I$63))/1000000</f>
        <v>0</v>
      </c>
      <c r="AQ86" s="186" t="n">
        <f aca="false">(SUMPRODUCT(AQ66:AQ69,$I$60:$I$63))/1000000</f>
        <v>0</v>
      </c>
      <c r="AR86" s="186" t="n">
        <f aca="false">(SUMPRODUCT(AR66:AR69,$I$60:$I$63))/1000000</f>
        <v>0</v>
      </c>
      <c r="AS86" s="186" t="n">
        <f aca="false">(SUMPRODUCT(AS66:AS69,$I$60:$I$63))/1000000</f>
        <v>0</v>
      </c>
      <c r="AT86" s="186" t="n">
        <f aca="false">(SUMPRODUCT(AT66:AT69,$I$60:$I$63))/1000000</f>
        <v>0</v>
      </c>
      <c r="AU86" s="186" t="n">
        <f aca="false">(SUMPRODUCT(AU66:AU69,$I$60:$I$63))/1000000</f>
        <v>0</v>
      </c>
      <c r="AV86" s="186" t="n">
        <f aca="false">(SUMPRODUCT(AV66:AV69,$I$60:$I$63))/1000000</f>
        <v>0</v>
      </c>
      <c r="AW86" s="186" t="n">
        <f aca="false">(SUMPRODUCT(AW66:AW69,$I$60:$I$63))/1000000</f>
        <v>0</v>
      </c>
      <c r="AX86" s="186" t="n">
        <f aca="false">(SUMPRODUCT(AX66:AX69,$I$60:$I$63))/1000000</f>
        <v>0</v>
      </c>
      <c r="AY86" s="186" t="n">
        <f aca="false">(SUMPRODUCT(AY66:AY69,$I$60:$I$63))/1000000</f>
        <v>0</v>
      </c>
      <c r="AZ86" s="186" t="n">
        <f aca="false">(SUMPRODUCT(AZ66:AZ69,$I$60:$I$63))/1000000</f>
        <v>0</v>
      </c>
      <c r="BA86" s="186" t="n">
        <f aca="false">(SUMPRODUCT(BA66:BA69,$I$60:$I$63))/1000000</f>
        <v>0</v>
      </c>
      <c r="BB86" s="186" t="n">
        <f aca="false">(SUMPRODUCT(BB66:BB69,$I$60:$I$63))/1000000</f>
        <v>0</v>
      </c>
      <c r="BC86" s="186" t="n">
        <f aca="false">(SUMPRODUCT(BC66:BC69,$I$60:$I$63))/1000000</f>
        <v>0</v>
      </c>
      <c r="BD86" s="186" t="n">
        <f aca="false">(SUMPRODUCT(BD66:BD69,$I$60:$I$63))/1000000</f>
        <v>0</v>
      </c>
      <c r="BE86" s="186" t="n">
        <f aca="false">(SUMPRODUCT(BE66:BE69,$I$60:$I$63))/1000000</f>
        <v>0</v>
      </c>
      <c r="BF86" s="186" t="n">
        <f aca="false">(SUMPRODUCT(BF66:BF69,$I$60:$I$63))/1000000</f>
        <v>0</v>
      </c>
      <c r="BG86" s="186" t="n">
        <f aca="false">(SUMPRODUCT(BG66:BG69,$I$60:$I$63))/1000000</f>
        <v>0</v>
      </c>
      <c r="BH86" s="186" t="n">
        <f aca="false">(SUMPRODUCT(BH66:BH69,$I$60:$I$63))/1000000</f>
        <v>0</v>
      </c>
      <c r="BI86" s="186" t="n">
        <f aca="false">(SUMPRODUCT(BI66:BI69,$I$60:$I$63))/1000000</f>
        <v>0</v>
      </c>
      <c r="BJ86" s="186" t="n">
        <f aca="false">(SUMPRODUCT(BJ66:BJ69,$I$60:$I$63))/1000000</f>
        <v>0</v>
      </c>
      <c r="BK86" s="186" t="n">
        <f aca="false">(SUMPRODUCT(BK66:BK69,$I$60:$I$63))/1000000</f>
        <v>0</v>
      </c>
      <c r="BL86" s="186" t="n">
        <f aca="false">(SUMPRODUCT(BL66:BL69,$I$60:$I$63))/1000000</f>
        <v>0</v>
      </c>
      <c r="BM86" s="186" t="n">
        <f aca="false">(SUMPRODUCT(BM66:BM69,$I$60:$I$63))/1000000</f>
        <v>0</v>
      </c>
      <c r="BN86" s="186" t="n">
        <f aca="false">(SUMPRODUCT(BN66:BN69,$I$60:$I$63))/1000000</f>
        <v>0</v>
      </c>
      <c r="BO86" s="186" t="n">
        <f aca="false">(SUMPRODUCT(BO66:BO69,$I$60:$I$63))/1000000</f>
        <v>0</v>
      </c>
      <c r="BP86" s="186" t="n">
        <f aca="false">(SUMPRODUCT(BP66:BP69,$I$60:$I$63))/1000000</f>
        <v>0</v>
      </c>
      <c r="BQ86" s="186" t="n">
        <f aca="false">(SUMPRODUCT(BQ66:BQ69,$I$60:$I$63))/1000000</f>
        <v>0</v>
      </c>
      <c r="BR86" s="186" t="n">
        <f aca="false">(SUMPRODUCT(BR66:BR69,$I$60:$I$63))/1000000</f>
        <v>0</v>
      </c>
      <c r="BS86" s="186" t="n">
        <f aca="false">(SUMPRODUCT(BS66:BS69,$I$60:$I$63))/1000000</f>
        <v>0</v>
      </c>
      <c r="BT86" s="186" t="n">
        <f aca="false">(SUMPRODUCT(BT66:BT69,$I$60:$I$63))/1000000</f>
        <v>0</v>
      </c>
      <c r="BU86" s="186" t="n">
        <f aca="false">(SUMPRODUCT(BU66:BU69,$I$60:$I$63))/1000000</f>
        <v>0</v>
      </c>
      <c r="BV86" s="186" t="n">
        <f aca="false">(SUMPRODUCT(BV66:BV69,$I$60:$I$63))/1000000</f>
        <v>0</v>
      </c>
      <c r="BW86" s="186" t="n">
        <f aca="false">(SUMPRODUCT(BW66:BW69,$I$60:$I$63))/1000000</f>
        <v>0</v>
      </c>
      <c r="BX86" s="186" t="n">
        <f aca="false">(SUMPRODUCT(BX66:BX69,$I$60:$I$63))/1000000</f>
        <v>0</v>
      </c>
      <c r="BY86" s="186" t="n">
        <f aca="false">(SUMPRODUCT(BY66:BY69,$I$60:$I$63))/1000000</f>
        <v>0</v>
      </c>
      <c r="BZ86" s="186" t="n">
        <f aca="false">(SUMPRODUCT(BZ66:BZ69,$I$60:$I$63))/1000000</f>
        <v>0</v>
      </c>
      <c r="CA86" s="186" t="n">
        <f aca="false">(SUMPRODUCT(CA66:CA69,$I$60:$I$63))/1000000</f>
        <v>0</v>
      </c>
    </row>
    <row r="87" customFormat="false" ht="15" hidden="false" customHeight="false" outlineLevel="0" collapsed="false">
      <c r="B87" s="10" t="s">
        <v>350</v>
      </c>
      <c r="L87" s="186" t="n">
        <f aca="false">SUMIFS($T87:$CA87,$T$5:$CA$5,2026)</f>
        <v>0</v>
      </c>
      <c r="M87" s="186" t="n">
        <f aca="false">SUMIFS($T87:$CA87,$T$5:$CA$5,2027)</f>
        <v>0</v>
      </c>
      <c r="N87" s="186" t="n">
        <f aca="false">SUMIFS($T87:$CA87,$T$5:$CA$5,2028)</f>
        <v>0</v>
      </c>
      <c r="O87" s="186" t="n">
        <f aca="false">SUMIFS($T87:$CA87,$T$5:$CA$5,2029)</f>
        <v>0</v>
      </c>
      <c r="P87" s="186" t="n">
        <f aca="false">SUMIFS($T87:$CA87,$T$5:$CA$5,2030)</f>
        <v>0</v>
      </c>
      <c r="T87" s="186" t="n">
        <f aca="false">SUMPRODUCT(T80:T83,$I$74:$I$77)/1000000</f>
        <v>0</v>
      </c>
      <c r="U87" s="186" t="n">
        <f aca="false">SUMPRODUCT(U80:U83,$I$74:$I$77)/1000000</f>
        <v>0</v>
      </c>
      <c r="V87" s="186" t="n">
        <f aca="false">SUMPRODUCT(V80:V83,$I$74:$I$77)/1000000</f>
        <v>0</v>
      </c>
      <c r="W87" s="186" t="n">
        <f aca="false">SUMPRODUCT(W80:W83,$I$74:$I$77)/1000000</f>
        <v>0</v>
      </c>
      <c r="X87" s="186" t="n">
        <f aca="false">SUMPRODUCT(X80:X83,$I$74:$I$77)/1000000</f>
        <v>0</v>
      </c>
      <c r="Y87" s="186" t="n">
        <f aca="false">SUMPRODUCT(Y80:Y83,$I$74:$I$77)/1000000</f>
        <v>0</v>
      </c>
      <c r="Z87" s="186" t="n">
        <f aca="false">SUMPRODUCT(Z80:Z83,$I$74:$I$77)/1000000</f>
        <v>0</v>
      </c>
      <c r="AA87" s="186" t="n">
        <f aca="false">SUMPRODUCT(AA80:AA83,$I$74:$I$77)/1000000</f>
        <v>0</v>
      </c>
      <c r="AB87" s="186" t="n">
        <f aca="false">SUMPRODUCT(AB80:AB83,$I$74:$I$77)/1000000</f>
        <v>0</v>
      </c>
      <c r="AC87" s="186" t="n">
        <f aca="false">SUMPRODUCT(AC80:AC83,$I$74:$I$77)/1000000</f>
        <v>0</v>
      </c>
      <c r="AD87" s="186" t="n">
        <f aca="false">SUMPRODUCT(AD80:AD83,$I$74:$I$77)/1000000</f>
        <v>0</v>
      </c>
      <c r="AE87" s="186" t="n">
        <f aca="false">SUMPRODUCT(AE80:AE83,$I$74:$I$77)/1000000</f>
        <v>0</v>
      </c>
      <c r="AF87" s="186" t="n">
        <f aca="false">SUMPRODUCT(AF80:AF83,$I$74:$I$77)/1000000</f>
        <v>0</v>
      </c>
      <c r="AG87" s="186" t="n">
        <f aca="false">SUMPRODUCT(AG80:AG83,$I$74:$I$77)/1000000</f>
        <v>0</v>
      </c>
      <c r="AH87" s="186" t="n">
        <f aca="false">SUMPRODUCT(AH80:AH83,$I$74:$I$77)/1000000</f>
        <v>0</v>
      </c>
      <c r="AI87" s="186" t="n">
        <f aca="false">SUMPRODUCT(AI80:AI83,$I$74:$I$77)/1000000</f>
        <v>0</v>
      </c>
      <c r="AJ87" s="186" t="n">
        <f aca="false">SUMPRODUCT(AJ80:AJ83,$I$74:$I$77)/1000000</f>
        <v>0</v>
      </c>
      <c r="AK87" s="186" t="n">
        <f aca="false">SUMPRODUCT(AK80:AK83,$I$74:$I$77)/1000000</f>
        <v>0</v>
      </c>
      <c r="AL87" s="186" t="n">
        <f aca="false">SUMPRODUCT(AL80:AL83,$I$74:$I$77)/1000000</f>
        <v>0</v>
      </c>
      <c r="AM87" s="186" t="n">
        <f aca="false">SUMPRODUCT(AM80:AM83,$I$74:$I$77)/1000000</f>
        <v>0</v>
      </c>
      <c r="AN87" s="186" t="n">
        <f aca="false">SUMPRODUCT(AN80:AN83,$I$74:$I$77)/1000000</f>
        <v>0</v>
      </c>
      <c r="AO87" s="186" t="n">
        <f aca="false">SUMPRODUCT(AO80:AO83,$I$74:$I$77)/1000000</f>
        <v>0</v>
      </c>
      <c r="AP87" s="186" t="n">
        <f aca="false">SUMPRODUCT(AP80:AP83,$I$74:$I$77)/1000000</f>
        <v>0</v>
      </c>
      <c r="AQ87" s="186" t="n">
        <f aca="false">SUMPRODUCT(AQ80:AQ83,$I$74:$I$77)/1000000</f>
        <v>0</v>
      </c>
      <c r="AR87" s="186" t="n">
        <f aca="false">SUMPRODUCT(AR80:AR83,$I$74:$I$77)/1000000</f>
        <v>0</v>
      </c>
      <c r="AS87" s="186" t="n">
        <f aca="false">SUMPRODUCT(AS80:AS83,$I$74:$I$77)/1000000</f>
        <v>0</v>
      </c>
      <c r="AT87" s="186" t="n">
        <f aca="false">SUMPRODUCT(AT80:AT83,$I$74:$I$77)/1000000</f>
        <v>0</v>
      </c>
      <c r="AU87" s="186" t="n">
        <f aca="false">SUMPRODUCT(AU80:AU83,$I$74:$I$77)/1000000</f>
        <v>0</v>
      </c>
      <c r="AV87" s="186" t="n">
        <f aca="false">SUMPRODUCT(AV80:AV83,$I$74:$I$77)/1000000</f>
        <v>0</v>
      </c>
      <c r="AW87" s="186" t="n">
        <f aca="false">SUMPRODUCT(AW80:AW83,$I$74:$I$77)/1000000</f>
        <v>0</v>
      </c>
      <c r="AX87" s="186" t="n">
        <f aca="false">SUMPRODUCT(AX80:AX83,$I$74:$I$77)/1000000</f>
        <v>0</v>
      </c>
      <c r="AY87" s="186" t="n">
        <f aca="false">SUMPRODUCT(AY80:AY83,$I$74:$I$77)/1000000</f>
        <v>0</v>
      </c>
      <c r="AZ87" s="186" t="n">
        <f aca="false">SUMPRODUCT(AZ80:AZ83,$I$74:$I$77)/1000000</f>
        <v>0</v>
      </c>
      <c r="BA87" s="186" t="n">
        <f aca="false">SUMPRODUCT(BA80:BA83,$I$74:$I$77)/1000000</f>
        <v>0</v>
      </c>
      <c r="BB87" s="186" t="n">
        <f aca="false">SUMPRODUCT(BB80:BB83,$I$74:$I$77)/1000000</f>
        <v>0</v>
      </c>
      <c r="BC87" s="186" t="n">
        <f aca="false">SUMPRODUCT(BC80:BC83,$I$74:$I$77)/1000000</f>
        <v>0</v>
      </c>
      <c r="BD87" s="186" t="n">
        <f aca="false">SUMPRODUCT(BD80:BD83,$I$74:$I$77)/1000000</f>
        <v>0</v>
      </c>
      <c r="BE87" s="186" t="n">
        <f aca="false">SUMPRODUCT(BE80:BE83,$I$74:$I$77)/1000000</f>
        <v>0</v>
      </c>
      <c r="BF87" s="186" t="n">
        <f aca="false">SUMPRODUCT(BF80:BF83,$I$74:$I$77)/1000000</f>
        <v>0</v>
      </c>
      <c r="BG87" s="186" t="n">
        <f aca="false">SUMPRODUCT(BG80:BG83,$I$74:$I$77)/1000000</f>
        <v>0</v>
      </c>
      <c r="BH87" s="186" t="n">
        <f aca="false">SUMPRODUCT(BH80:BH83,$I$74:$I$77)/1000000</f>
        <v>0</v>
      </c>
      <c r="BI87" s="186" t="n">
        <f aca="false">SUMPRODUCT(BI80:BI83,$I$74:$I$77)/1000000</f>
        <v>0</v>
      </c>
      <c r="BJ87" s="186" t="n">
        <f aca="false">SUMPRODUCT(BJ80:BJ83,$I$74:$I$77)/1000000</f>
        <v>0</v>
      </c>
      <c r="BK87" s="186" t="n">
        <f aca="false">SUMPRODUCT(BK80:BK83,$I$74:$I$77)/1000000</f>
        <v>0</v>
      </c>
      <c r="BL87" s="186" t="n">
        <f aca="false">SUMPRODUCT(BL80:BL83,$I$74:$I$77)/1000000</f>
        <v>0</v>
      </c>
      <c r="BM87" s="186" t="n">
        <f aca="false">SUMPRODUCT(BM80:BM83,$I$74:$I$77)/1000000</f>
        <v>0</v>
      </c>
      <c r="BN87" s="186" t="n">
        <f aca="false">SUMPRODUCT(BN80:BN83,$I$74:$I$77)/1000000</f>
        <v>0</v>
      </c>
      <c r="BO87" s="186" t="n">
        <f aca="false">SUMPRODUCT(BO80:BO83,$I$74:$I$77)/1000000</f>
        <v>0</v>
      </c>
      <c r="BP87" s="186" t="n">
        <f aca="false">SUMPRODUCT(BP80:BP83,$I$74:$I$77)/1000000</f>
        <v>0</v>
      </c>
      <c r="BQ87" s="186" t="n">
        <f aca="false">SUMPRODUCT(BQ80:BQ83,$I$74:$I$77)/1000000</f>
        <v>0</v>
      </c>
      <c r="BR87" s="186" t="n">
        <f aca="false">SUMPRODUCT(BR80:BR83,$I$74:$I$77)/1000000</f>
        <v>0</v>
      </c>
      <c r="BS87" s="186" t="n">
        <f aca="false">SUMPRODUCT(BS80:BS83,$I$74:$I$77)/1000000</f>
        <v>0</v>
      </c>
      <c r="BT87" s="186" t="n">
        <f aca="false">SUMPRODUCT(BT80:BT83,$I$74:$I$77)/1000000</f>
        <v>0</v>
      </c>
      <c r="BU87" s="186" t="n">
        <f aca="false">SUMPRODUCT(BU80:BU83,$I$74:$I$77)/1000000</f>
        <v>0</v>
      </c>
      <c r="BV87" s="186" t="n">
        <f aca="false">SUMPRODUCT(BV80:BV83,$I$74:$I$77)/1000000</f>
        <v>0</v>
      </c>
      <c r="BW87" s="186" t="n">
        <f aca="false">SUMPRODUCT(BW80:BW83,$I$74:$I$77)/1000000</f>
        <v>0</v>
      </c>
      <c r="BX87" s="186" t="n">
        <f aca="false">SUMPRODUCT(BX80:BX83,$I$74:$I$77)/1000000</f>
        <v>0</v>
      </c>
      <c r="BY87" s="186" t="n">
        <f aca="false">SUMPRODUCT(BY80:BY83,$I$74:$I$77)/1000000</f>
        <v>0</v>
      </c>
      <c r="BZ87" s="186" t="n">
        <f aca="false">SUMPRODUCT(BZ80:BZ83,$I$74:$I$77)/1000000</f>
        <v>0</v>
      </c>
      <c r="CA87" s="186" t="n">
        <f aca="false">SUMPRODUCT(CA80:CA83,$I$74:$I$77)/1000000</f>
        <v>0</v>
      </c>
    </row>
    <row r="88" customFormat="false" ht="15" hidden="false" customHeight="false" outlineLevel="0" collapsed="false">
      <c r="B88" s="10" t="s">
        <v>351</v>
      </c>
      <c r="L88" s="186" t="n">
        <f aca="false">SUMIFS($T88:$CA88,$T$5:$CA$5,2026)</f>
        <v>0.131633333333333</v>
      </c>
      <c r="M88" s="186" t="n">
        <f aca="false">SUMIFS($T88:$CA88,$T$5:$CA$5,2027)</f>
        <v>0.625258333333333</v>
      </c>
      <c r="N88" s="186" t="n">
        <f aca="false">SUMIFS($T88:$CA88,$T$5:$CA$5,2028)</f>
        <v>0</v>
      </c>
      <c r="O88" s="186" t="n">
        <f aca="false">SUMIFS($T88:$CA88,$T$5:$CA$5,2029)</f>
        <v>0</v>
      </c>
      <c r="P88" s="186" t="n">
        <f aca="false">SUMIFS($T88:$CA88,$T$5:$CA$5,2030)</f>
        <v>0</v>
      </c>
      <c r="T88" s="186" t="n">
        <f aca="false">(SUMPRODUCT(T66:T69,1-$I$60:$I$63))/1000000</f>
        <v>0</v>
      </c>
      <c r="U88" s="186" t="n">
        <f aca="false">(SUMPRODUCT(U66:U69,1-$I$60:$I$63))/1000000</f>
        <v>0</v>
      </c>
      <c r="V88" s="186" t="n">
        <f aca="false">(SUMPRODUCT(V66:V69,1-$I$60:$I$63))/1000000</f>
        <v>0</v>
      </c>
      <c r="W88" s="186" t="n">
        <f aca="false">(SUMPRODUCT(W66:W69,1-$I$60:$I$63))/1000000</f>
        <v>0</v>
      </c>
      <c r="X88" s="186" t="n">
        <f aca="false">(SUMPRODUCT(X66:X69,1-$I$60:$I$63))/1000000</f>
        <v>0</v>
      </c>
      <c r="Y88" s="186" t="n">
        <f aca="false">(SUMPRODUCT(Y66:Y69,1-$I$60:$I$63))/1000000</f>
        <v>0</v>
      </c>
      <c r="Z88" s="186" t="n">
        <f aca="false">(SUMPRODUCT(Z66:Z69,1-$I$60:$I$63))/1000000</f>
        <v>0</v>
      </c>
      <c r="AA88" s="186" t="n">
        <f aca="false">(SUMPRODUCT(AA66:AA69,1-$I$60:$I$63))/1000000</f>
        <v>0</v>
      </c>
      <c r="AB88" s="186" t="n">
        <f aca="false">(SUMPRODUCT(AB66:AB69,1-$I$60:$I$63))/1000000</f>
        <v>0</v>
      </c>
      <c r="AC88" s="186" t="n">
        <f aca="false">(SUMPRODUCT(AC66:AC69,1-$I$60:$I$63))/1000000</f>
        <v>0</v>
      </c>
      <c r="AD88" s="186" t="n">
        <f aca="false">(SUMPRODUCT(AD66:AD69,1-$I$60:$I$63))/1000000</f>
        <v>0.0658166666666667</v>
      </c>
      <c r="AE88" s="186" t="n">
        <f aca="false">(SUMPRODUCT(AE66:AE69,1-$I$60:$I$63))/1000000</f>
        <v>0.0658166666666667</v>
      </c>
      <c r="AF88" s="186" t="n">
        <f aca="false">(SUMPRODUCT(AF66:AF69,1-$I$60:$I$63))/1000000</f>
        <v>0.0263266666666667</v>
      </c>
      <c r="AG88" s="186" t="n">
        <f aca="false">(SUMPRODUCT(AG66:AG69,1-$I$60:$I$63))/1000000</f>
        <v>0.0263266666666667</v>
      </c>
      <c r="AH88" s="186" t="n">
        <f aca="false">(SUMPRODUCT(AH66:AH69,1-$I$60:$I$63))/1000000</f>
        <v>0.0263266666666667</v>
      </c>
      <c r="AI88" s="186" t="n">
        <f aca="false">(SUMPRODUCT(AI66:AI69,1-$I$60:$I$63))/1000000</f>
        <v>0.0263266666666667</v>
      </c>
      <c r="AJ88" s="186" t="n">
        <f aca="false">(SUMPRODUCT(AJ66:AJ69,1-$I$60:$I$63))/1000000</f>
        <v>0.0263266666666667</v>
      </c>
      <c r="AK88" s="186" t="n">
        <f aca="false">(SUMPRODUCT(AK66:AK69,1-$I$60:$I$63))/1000000</f>
        <v>0.0822708333333333</v>
      </c>
      <c r="AL88" s="186" t="n">
        <f aca="false">(SUMPRODUCT(AL66:AL69,1-$I$60:$I$63))/1000000</f>
        <v>0.0822708333333333</v>
      </c>
      <c r="AM88" s="186" t="n">
        <f aca="false">(SUMPRODUCT(AM66:AM69,1-$I$60:$I$63))/1000000</f>
        <v>0.0822708333333333</v>
      </c>
      <c r="AN88" s="186" t="n">
        <f aca="false">(SUMPRODUCT(AN66:AN69,1-$I$60:$I$63))/1000000</f>
        <v>0.0822708333333333</v>
      </c>
      <c r="AO88" s="186" t="n">
        <f aca="false">(SUMPRODUCT(AO66:AO69,1-$I$60:$I$63))/1000000</f>
        <v>0.0822708333333333</v>
      </c>
      <c r="AP88" s="186" t="n">
        <f aca="false">(SUMPRODUCT(AP66:AP69,1-$I$60:$I$63))/1000000</f>
        <v>0.0822708333333333</v>
      </c>
      <c r="AQ88" s="186" t="n">
        <f aca="false">(SUMPRODUCT(AQ66:AQ69,1-$I$60:$I$63))/1000000</f>
        <v>0</v>
      </c>
      <c r="AR88" s="186" t="n">
        <f aca="false">(SUMPRODUCT(AR66:AR69,1-$I$60:$I$63))/1000000</f>
        <v>0</v>
      </c>
      <c r="AS88" s="186" t="n">
        <f aca="false">(SUMPRODUCT(AS66:AS69,1-$I$60:$I$63))/1000000</f>
        <v>0</v>
      </c>
      <c r="AT88" s="186" t="n">
        <f aca="false">(SUMPRODUCT(AT66:AT69,1-$I$60:$I$63))/1000000</f>
        <v>0</v>
      </c>
      <c r="AU88" s="186" t="n">
        <f aca="false">(SUMPRODUCT(AU66:AU69,1-$I$60:$I$63))/1000000</f>
        <v>0</v>
      </c>
      <c r="AV88" s="186" t="n">
        <f aca="false">(SUMPRODUCT(AV66:AV69,1-$I$60:$I$63))/1000000</f>
        <v>0</v>
      </c>
      <c r="AW88" s="186" t="n">
        <f aca="false">(SUMPRODUCT(AW66:AW69,1-$I$60:$I$63))/1000000</f>
        <v>0</v>
      </c>
      <c r="AX88" s="186" t="n">
        <f aca="false">(SUMPRODUCT(AX66:AX69,1-$I$60:$I$63))/1000000</f>
        <v>0</v>
      </c>
      <c r="AY88" s="186" t="n">
        <f aca="false">(SUMPRODUCT(AY66:AY69,1-$I$60:$I$63))/1000000</f>
        <v>0</v>
      </c>
      <c r="AZ88" s="186" t="n">
        <f aca="false">(SUMPRODUCT(AZ66:AZ69,1-$I$60:$I$63))/1000000</f>
        <v>0</v>
      </c>
      <c r="BA88" s="186" t="n">
        <f aca="false">(SUMPRODUCT(BA66:BA69,1-$I$60:$I$63))/1000000</f>
        <v>0</v>
      </c>
      <c r="BB88" s="186" t="n">
        <f aca="false">(SUMPRODUCT(BB66:BB69,1-$I$60:$I$63))/1000000</f>
        <v>0</v>
      </c>
      <c r="BC88" s="186" t="n">
        <f aca="false">(SUMPRODUCT(BC66:BC69,1-$I$60:$I$63))/1000000</f>
        <v>0</v>
      </c>
      <c r="BD88" s="186" t="n">
        <f aca="false">(SUMPRODUCT(BD66:BD69,1-$I$60:$I$63))/1000000</f>
        <v>0</v>
      </c>
      <c r="BE88" s="186" t="n">
        <f aca="false">(SUMPRODUCT(BE66:BE69,1-$I$60:$I$63))/1000000</f>
        <v>0</v>
      </c>
      <c r="BF88" s="186" t="n">
        <f aca="false">(SUMPRODUCT(BF66:BF69,1-$I$60:$I$63))/1000000</f>
        <v>0</v>
      </c>
      <c r="BG88" s="186" t="n">
        <f aca="false">(SUMPRODUCT(BG66:BG69,1-$I$60:$I$63))/1000000</f>
        <v>0</v>
      </c>
      <c r="BH88" s="186" t="n">
        <f aca="false">(SUMPRODUCT(BH66:BH69,1-$I$60:$I$63))/1000000</f>
        <v>0</v>
      </c>
      <c r="BI88" s="186" t="n">
        <f aca="false">(SUMPRODUCT(BI66:BI69,1-$I$60:$I$63))/1000000</f>
        <v>0</v>
      </c>
      <c r="BJ88" s="186" t="n">
        <f aca="false">(SUMPRODUCT(BJ66:BJ69,1-$I$60:$I$63))/1000000</f>
        <v>0</v>
      </c>
      <c r="BK88" s="186" t="n">
        <f aca="false">(SUMPRODUCT(BK66:BK69,1-$I$60:$I$63))/1000000</f>
        <v>0</v>
      </c>
      <c r="BL88" s="186" t="n">
        <f aca="false">(SUMPRODUCT(BL66:BL69,1-$I$60:$I$63))/1000000</f>
        <v>0</v>
      </c>
      <c r="BM88" s="186" t="n">
        <f aca="false">(SUMPRODUCT(BM66:BM69,1-$I$60:$I$63))/1000000</f>
        <v>0</v>
      </c>
      <c r="BN88" s="186" t="n">
        <f aca="false">(SUMPRODUCT(BN66:BN69,1-$I$60:$I$63))/1000000</f>
        <v>0</v>
      </c>
      <c r="BO88" s="186" t="n">
        <f aca="false">(SUMPRODUCT(BO66:BO69,1-$I$60:$I$63))/1000000</f>
        <v>0</v>
      </c>
      <c r="BP88" s="186" t="n">
        <f aca="false">(SUMPRODUCT(BP66:BP69,1-$I$60:$I$63))/1000000</f>
        <v>0</v>
      </c>
      <c r="BQ88" s="186" t="n">
        <f aca="false">(SUMPRODUCT(BQ66:BQ69,1-$I$60:$I$63))/1000000</f>
        <v>0</v>
      </c>
      <c r="BR88" s="186" t="n">
        <f aca="false">(SUMPRODUCT(BR66:BR69,1-$I$60:$I$63))/1000000</f>
        <v>0</v>
      </c>
      <c r="BS88" s="186" t="n">
        <f aca="false">(SUMPRODUCT(BS66:BS69,1-$I$60:$I$63))/1000000</f>
        <v>0</v>
      </c>
      <c r="BT88" s="186" t="n">
        <f aca="false">(SUMPRODUCT(BT66:BT69,1-$I$60:$I$63))/1000000</f>
        <v>0</v>
      </c>
      <c r="BU88" s="186" t="n">
        <f aca="false">(SUMPRODUCT(BU66:BU69,1-$I$60:$I$63))/1000000</f>
        <v>0</v>
      </c>
      <c r="BV88" s="186" t="n">
        <f aca="false">(SUMPRODUCT(BV66:BV69,1-$I$60:$I$63))/1000000</f>
        <v>0</v>
      </c>
      <c r="BW88" s="186" t="n">
        <f aca="false">(SUMPRODUCT(BW66:BW69,1-$I$60:$I$63))/1000000</f>
        <v>0</v>
      </c>
      <c r="BX88" s="186" t="n">
        <f aca="false">(SUMPRODUCT(BX66:BX69,1-$I$60:$I$63))/1000000</f>
        <v>0</v>
      </c>
      <c r="BY88" s="186" t="n">
        <f aca="false">(SUMPRODUCT(BY66:BY69,1-$I$60:$I$63))/1000000</f>
        <v>0</v>
      </c>
      <c r="BZ88" s="186" t="n">
        <f aca="false">(SUMPRODUCT(BZ66:BZ69,1-$I$60:$I$63))/1000000</f>
        <v>0</v>
      </c>
      <c r="CA88" s="186" t="n">
        <f aca="false">(SUMPRODUCT(CA66:CA69,1-$I$60:$I$63))/1000000</f>
        <v>0</v>
      </c>
    </row>
    <row r="89" customFormat="false" ht="15" hidden="false" customHeight="false" outlineLevel="0" collapsed="false">
      <c r="B89" s="10" t="s">
        <v>352</v>
      </c>
      <c r="L89" s="186" t="n">
        <f aca="false">SUMIFS($T89:$CA89,$T$5:$CA$5,2026)</f>
        <v>0.0536186444444444</v>
      </c>
      <c r="M89" s="186" t="n">
        <f aca="false">SUMIFS($T89:$CA89,$T$5:$CA$5,2027)</f>
        <v>0.187665255555556</v>
      </c>
      <c r="N89" s="186" t="n">
        <f aca="false">SUMIFS($T89:$CA89,$T$5:$CA$5,2028)</f>
        <v>0</v>
      </c>
      <c r="O89" s="186" t="n">
        <f aca="false">SUMIFS($T89:$CA89,$T$5:$CA$5,2029)</f>
        <v>0</v>
      </c>
      <c r="P89" s="186" t="n">
        <f aca="false">SUMIFS($T89:$CA89,$T$5:$CA$5,2030)</f>
        <v>0</v>
      </c>
      <c r="T89" s="186" t="n">
        <f aca="false">SUMPRODUCT(T80:T83,1-$I$74:$I$77)/1000000</f>
        <v>0</v>
      </c>
      <c r="U89" s="186" t="n">
        <f aca="false">SUMPRODUCT(U80:U83,1-$I$74:$I$77)/1000000</f>
        <v>0</v>
      </c>
      <c r="V89" s="186" t="n">
        <f aca="false">SUMPRODUCT(V80:V83,1-$I$74:$I$77)/1000000</f>
        <v>0</v>
      </c>
      <c r="W89" s="186" t="n">
        <f aca="false">SUMPRODUCT(W80:W83,1-$I$74:$I$77)/1000000</f>
        <v>0</v>
      </c>
      <c r="X89" s="186" t="n">
        <f aca="false">SUMPRODUCT(X80:X83,1-$I$74:$I$77)/1000000</f>
        <v>0</v>
      </c>
      <c r="Y89" s="186" t="n">
        <f aca="false">SUMPRODUCT(Y80:Y83,1-$I$74:$I$77)/1000000</f>
        <v>0</v>
      </c>
      <c r="Z89" s="186" t="n">
        <f aca="false">SUMPRODUCT(Z80:Z83,1-$I$74:$I$77)/1000000</f>
        <v>0</v>
      </c>
      <c r="AA89" s="186" t="n">
        <f aca="false">SUMPRODUCT(AA80:AA83,1-$I$74:$I$77)/1000000</f>
        <v>0</v>
      </c>
      <c r="AB89" s="186" t="n">
        <f aca="false">SUMPRODUCT(AB80:AB83,1-$I$74:$I$77)/1000000</f>
        <v>0</v>
      </c>
      <c r="AC89" s="186" t="n">
        <f aca="false">SUMPRODUCT(AC80:AC83,1-$I$74:$I$77)/1000000</f>
        <v>0</v>
      </c>
      <c r="AD89" s="186" t="n">
        <f aca="false">SUMPRODUCT(AD80:AD83,1-$I$74:$I$77)/1000000</f>
        <v>0.0268093222222222</v>
      </c>
      <c r="AE89" s="186" t="n">
        <f aca="false">SUMPRODUCT(AE80:AE83,1-$I$74:$I$77)/1000000</f>
        <v>0.0268093222222222</v>
      </c>
      <c r="AF89" s="186" t="n">
        <f aca="false">SUMPRODUCT(AF80:AF83,1-$I$74:$I$77)/1000000</f>
        <v>0.0268093222222222</v>
      </c>
      <c r="AG89" s="186" t="n">
        <f aca="false">SUMPRODUCT(AG80:AG83,1-$I$74:$I$77)/1000000</f>
        <v>0.0268093222222222</v>
      </c>
      <c r="AH89" s="186" t="n">
        <f aca="false">SUMPRODUCT(AH80:AH83,1-$I$74:$I$77)/1000000</f>
        <v>0.0268093222222222</v>
      </c>
      <c r="AI89" s="186" t="n">
        <f aca="false">SUMPRODUCT(AI80:AI83,1-$I$74:$I$77)/1000000</f>
        <v>0.0268093222222222</v>
      </c>
      <c r="AJ89" s="186" t="n">
        <f aca="false">SUMPRODUCT(AJ80:AJ83,1-$I$74:$I$77)/1000000</f>
        <v>0.0268093222222222</v>
      </c>
      <c r="AK89" s="186" t="n">
        <f aca="false">SUMPRODUCT(AK80:AK83,1-$I$74:$I$77)/1000000</f>
        <v>0.0268093222222222</v>
      </c>
      <c r="AL89" s="186" t="n">
        <f aca="false">SUMPRODUCT(AL80:AL83,1-$I$74:$I$77)/1000000</f>
        <v>0.0268093222222222</v>
      </c>
      <c r="AM89" s="186" t="n">
        <f aca="false">SUMPRODUCT(AM80:AM83,1-$I$74:$I$77)/1000000</f>
        <v>0</v>
      </c>
      <c r="AN89" s="186" t="n">
        <f aca="false">SUMPRODUCT(AN80:AN83,1-$I$74:$I$77)/1000000</f>
        <v>0</v>
      </c>
      <c r="AO89" s="186" t="n">
        <f aca="false">SUMPRODUCT(AO80:AO83,1-$I$74:$I$77)/1000000</f>
        <v>0</v>
      </c>
      <c r="AP89" s="186" t="n">
        <f aca="false">SUMPRODUCT(AP80:AP83,1-$I$74:$I$77)/1000000</f>
        <v>0</v>
      </c>
      <c r="AQ89" s="186" t="n">
        <f aca="false">SUMPRODUCT(AQ80:AQ83,1-$I$74:$I$77)/1000000</f>
        <v>0</v>
      </c>
      <c r="AR89" s="186" t="n">
        <f aca="false">SUMPRODUCT(AR80:AR83,1-$I$74:$I$77)/1000000</f>
        <v>0</v>
      </c>
      <c r="AS89" s="186" t="n">
        <f aca="false">SUMPRODUCT(AS80:AS83,1-$I$74:$I$77)/1000000</f>
        <v>0</v>
      </c>
      <c r="AT89" s="186" t="n">
        <f aca="false">SUMPRODUCT(AT80:AT83,1-$I$74:$I$77)/1000000</f>
        <v>0</v>
      </c>
      <c r="AU89" s="186" t="n">
        <f aca="false">SUMPRODUCT(AU80:AU83,1-$I$74:$I$77)/1000000</f>
        <v>0</v>
      </c>
      <c r="AV89" s="186" t="n">
        <f aca="false">SUMPRODUCT(AV80:AV83,1-$I$74:$I$77)/1000000</f>
        <v>0</v>
      </c>
      <c r="AW89" s="186" t="n">
        <f aca="false">SUMPRODUCT(AW80:AW83,1-$I$74:$I$77)/1000000</f>
        <v>0</v>
      </c>
      <c r="AX89" s="186" t="n">
        <f aca="false">SUMPRODUCT(AX80:AX83,1-$I$74:$I$77)/1000000</f>
        <v>0</v>
      </c>
      <c r="AY89" s="186" t="n">
        <f aca="false">SUMPRODUCT(AY80:AY83,1-$I$74:$I$77)/1000000</f>
        <v>0</v>
      </c>
      <c r="AZ89" s="186" t="n">
        <f aca="false">SUMPRODUCT(AZ80:AZ83,1-$I$74:$I$77)/1000000</f>
        <v>0</v>
      </c>
      <c r="BA89" s="186" t="n">
        <f aca="false">SUMPRODUCT(BA80:BA83,1-$I$74:$I$77)/1000000</f>
        <v>0</v>
      </c>
      <c r="BB89" s="186" t="n">
        <f aca="false">SUMPRODUCT(BB80:BB83,1-$I$74:$I$77)/1000000</f>
        <v>0</v>
      </c>
      <c r="BC89" s="186" t="n">
        <f aca="false">SUMPRODUCT(BC80:BC83,1-$I$74:$I$77)/1000000</f>
        <v>0</v>
      </c>
      <c r="BD89" s="186" t="n">
        <f aca="false">SUMPRODUCT(BD80:BD83,1-$I$74:$I$77)/1000000</f>
        <v>0</v>
      </c>
      <c r="BE89" s="186" t="n">
        <f aca="false">SUMPRODUCT(BE80:BE83,1-$I$74:$I$77)/1000000</f>
        <v>0</v>
      </c>
      <c r="BF89" s="186" t="n">
        <f aca="false">SUMPRODUCT(BF80:BF83,1-$I$74:$I$77)/1000000</f>
        <v>0</v>
      </c>
      <c r="BG89" s="186" t="n">
        <f aca="false">SUMPRODUCT(BG80:BG83,1-$I$74:$I$77)/1000000</f>
        <v>0</v>
      </c>
      <c r="BH89" s="186" t="n">
        <f aca="false">SUMPRODUCT(BH80:BH83,1-$I$74:$I$77)/1000000</f>
        <v>0</v>
      </c>
      <c r="BI89" s="186" t="n">
        <f aca="false">SUMPRODUCT(BI80:BI83,1-$I$74:$I$77)/1000000</f>
        <v>0</v>
      </c>
      <c r="BJ89" s="186" t="n">
        <f aca="false">SUMPRODUCT(BJ80:BJ83,1-$I$74:$I$77)/1000000</f>
        <v>0</v>
      </c>
      <c r="BK89" s="186" t="n">
        <f aca="false">SUMPRODUCT(BK80:BK83,1-$I$74:$I$77)/1000000</f>
        <v>0</v>
      </c>
      <c r="BL89" s="186" t="n">
        <f aca="false">SUMPRODUCT(BL80:BL83,1-$I$74:$I$77)/1000000</f>
        <v>0</v>
      </c>
      <c r="BM89" s="186" t="n">
        <f aca="false">SUMPRODUCT(BM80:BM83,1-$I$74:$I$77)/1000000</f>
        <v>0</v>
      </c>
      <c r="BN89" s="186" t="n">
        <f aca="false">SUMPRODUCT(BN80:BN83,1-$I$74:$I$77)/1000000</f>
        <v>0</v>
      </c>
      <c r="BO89" s="186" t="n">
        <f aca="false">SUMPRODUCT(BO80:BO83,1-$I$74:$I$77)/1000000</f>
        <v>0</v>
      </c>
      <c r="BP89" s="186" t="n">
        <f aca="false">SUMPRODUCT(BP80:BP83,1-$I$74:$I$77)/1000000</f>
        <v>0</v>
      </c>
      <c r="BQ89" s="186" t="n">
        <f aca="false">SUMPRODUCT(BQ80:BQ83,1-$I$74:$I$77)/1000000</f>
        <v>0</v>
      </c>
      <c r="BR89" s="186" t="n">
        <f aca="false">SUMPRODUCT(BR80:BR83,1-$I$74:$I$77)/1000000</f>
        <v>0</v>
      </c>
      <c r="BS89" s="186" t="n">
        <f aca="false">SUMPRODUCT(BS80:BS83,1-$I$74:$I$77)/1000000</f>
        <v>0</v>
      </c>
      <c r="BT89" s="186" t="n">
        <f aca="false">SUMPRODUCT(BT80:BT83,1-$I$74:$I$77)/1000000</f>
        <v>0</v>
      </c>
      <c r="BU89" s="186" t="n">
        <f aca="false">SUMPRODUCT(BU80:BU83,1-$I$74:$I$77)/1000000</f>
        <v>0</v>
      </c>
      <c r="BV89" s="186" t="n">
        <f aca="false">SUMPRODUCT(BV80:BV83,1-$I$74:$I$77)/1000000</f>
        <v>0</v>
      </c>
      <c r="BW89" s="186" t="n">
        <f aca="false">SUMPRODUCT(BW80:BW83,1-$I$74:$I$77)/1000000</f>
        <v>0</v>
      </c>
      <c r="BX89" s="186" t="n">
        <f aca="false">SUMPRODUCT(BX80:BX83,1-$I$74:$I$77)/1000000</f>
        <v>0</v>
      </c>
      <c r="BY89" s="186" t="n">
        <f aca="false">SUMPRODUCT(BY80:BY83,1-$I$74:$I$77)/1000000</f>
        <v>0</v>
      </c>
      <c r="BZ89" s="186" t="n">
        <f aca="false">SUMPRODUCT(BZ80:BZ83,1-$I$74:$I$77)/1000000</f>
        <v>0</v>
      </c>
      <c r="CA89" s="186" t="n">
        <f aca="false">SUMPRODUCT(CA80:CA83,1-$I$74:$I$77)/1000000</f>
        <v>0</v>
      </c>
    </row>
    <row r="90" customFormat="false" ht="15" hidden="false" customHeight="false" outlineLevel="0" collapsed="false">
      <c r="B90" s="3" t="s">
        <v>353</v>
      </c>
      <c r="L90" s="186" t="n">
        <f aca="false">SUM(L86:L89)</f>
        <v>0.185251977777778</v>
      </c>
      <c r="M90" s="186" t="n">
        <f aca="false">SUM(M86:M89)</f>
        <v>1.33945692222222</v>
      </c>
      <c r="N90" s="186" t="n">
        <f aca="false">SUM(N86:N89)</f>
        <v>0</v>
      </c>
      <c r="O90" s="186" t="n">
        <f aca="false">SUM(O86:O89)</f>
        <v>0</v>
      </c>
      <c r="P90" s="186" t="n">
        <f aca="false">SUM(P86:P89)</f>
        <v>0</v>
      </c>
    </row>
    <row r="92" customFormat="false" ht="18" hidden="false" customHeight="true" outlineLevel="0" collapsed="false">
      <c r="B92" s="5" t="s">
        <v>354</v>
      </c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</row>
    <row r="94" customFormat="false" ht="22.35" hidden="false" customHeight="false" outlineLevel="0" collapsed="false">
      <c r="B94" s="169" t="s">
        <v>355</v>
      </c>
      <c r="C94" s="169" t="s">
        <v>333</v>
      </c>
      <c r="D94" s="169" t="s">
        <v>356</v>
      </c>
      <c r="H94" s="169" t="s">
        <v>313</v>
      </c>
      <c r="I94" s="169" t="s">
        <v>357</v>
      </c>
    </row>
    <row r="95" customFormat="false" ht="28.35" hidden="false" customHeight="false" outlineLevel="0" collapsed="false">
      <c r="B95" s="10" t="s">
        <v>434</v>
      </c>
      <c r="C95" s="189" t="s">
        <v>435</v>
      </c>
      <c r="D95" s="158" t="n">
        <v>0</v>
      </c>
      <c r="H95" s="178" t="n">
        <f aca="false">DATE(2027,6,1)</f>
        <v>46539</v>
      </c>
      <c r="I95" s="9" t="s">
        <v>363</v>
      </c>
    </row>
    <row r="96" customFormat="false" ht="41.75" hidden="false" customHeight="false" outlineLevel="0" collapsed="false">
      <c r="B96" s="10" t="s">
        <v>358</v>
      </c>
      <c r="C96" s="189" t="s">
        <v>436</v>
      </c>
      <c r="D96" s="158" t="n">
        <v>0</v>
      </c>
      <c r="H96" s="178" t="n">
        <f aca="false">DATE(2027,6,1)</f>
        <v>46539</v>
      </c>
      <c r="I96" s="9" t="s">
        <v>360</v>
      </c>
    </row>
    <row r="98" customFormat="false" ht="15" hidden="false" customHeight="false" outlineLevel="0" collapsed="false">
      <c r="B98" s="193" t="s">
        <v>366</v>
      </c>
    </row>
    <row r="99" customFormat="false" ht="15" hidden="false" customHeight="false" outlineLevel="0" collapsed="false">
      <c r="B99" s="10" t="s">
        <v>437</v>
      </c>
      <c r="K99" s="186" t="n">
        <f aca="false">SUMIFS($T99:$CA99,$T$5:$CA$5,2030)</f>
        <v>0</v>
      </c>
      <c r="L99" s="186" t="n">
        <f aca="false">SUMIFS($T99:$CA99,$T$5:$CA$5,2026)</f>
        <v>0</v>
      </c>
      <c r="M99" s="186" t="n">
        <f aca="false">SUMIFS($T99:$CA99,$T$5:$CA$5,2027)</f>
        <v>0</v>
      </c>
      <c r="N99" s="186" t="n">
        <f aca="false">SUMIFS($T99:$CA99,$T$5:$CA$5,2028)</f>
        <v>0</v>
      </c>
      <c r="O99" s="186" t="n">
        <f aca="false">SUMIFS($T99:$CA99,$T$5:$CA$5,2029)</f>
        <v>0</v>
      </c>
      <c r="P99" s="186" t="n">
        <f aca="false">SUMIFS($T99:$CA99,$T$5:$CA$5,2030)</f>
        <v>0</v>
      </c>
      <c r="T99" s="186" t="n">
        <f aca="false">$D$95/1000000/12*IF($I$95="Y",T$47,IF(T$6&gt;=EOMONTH($H$95,0),1,0))</f>
        <v>0</v>
      </c>
      <c r="U99" s="186" t="n">
        <f aca="false">$D$95/1000000/12*IF($I$95="Y",U$47,IF(U$6&gt;=EOMONTH($H$95,0),1,0))</f>
        <v>0</v>
      </c>
      <c r="V99" s="186" t="n">
        <f aca="false">$D$95/1000000/12*IF($I$95="Y",V$47,IF(V$6&gt;=EOMONTH($H$95,0),1,0))</f>
        <v>0</v>
      </c>
      <c r="W99" s="186" t="n">
        <f aca="false">$D$95/1000000/12*IF($I$95="Y",W$47,IF(W$6&gt;=EOMONTH($H$95,0),1,0))</f>
        <v>0</v>
      </c>
      <c r="X99" s="186" t="n">
        <f aca="false">$D$95/1000000/12*IF($I$95="Y",X$47,IF(X$6&gt;=EOMONTH($H$95,0),1,0))</f>
        <v>0</v>
      </c>
      <c r="Y99" s="186" t="n">
        <f aca="false">$D$95/1000000/12*IF($I$95="Y",Y$47,IF(Y$6&gt;=EOMONTH($H$95,0),1,0))</f>
        <v>0</v>
      </c>
      <c r="Z99" s="186" t="n">
        <f aca="false">$D$95/1000000/12*IF($I$95="Y",Z$47,IF(Z$6&gt;=EOMONTH($H$95,0),1,0))</f>
        <v>0</v>
      </c>
      <c r="AA99" s="186" t="n">
        <f aca="false">$D$95/1000000/12*IF($I$95="Y",AA$47,IF(AA$6&gt;=EOMONTH($H$95,0),1,0))</f>
        <v>0</v>
      </c>
      <c r="AB99" s="186" t="n">
        <f aca="false">$D$95/1000000/12*IF($I$95="Y",AB$47,IF(AB$6&gt;=EOMONTH($H$95,0),1,0))</f>
        <v>0</v>
      </c>
      <c r="AC99" s="186" t="n">
        <f aca="false">$D$95/1000000/12*IF($I$95="Y",AC$47,IF(AC$6&gt;=EOMONTH($H$95,0),1,0))</f>
        <v>0</v>
      </c>
      <c r="AD99" s="186" t="n">
        <f aca="false">$D$95/1000000/12*IF($I$95="Y",AD$47,IF(AD$6&gt;=EOMONTH($H$95,0),1,0))</f>
        <v>0</v>
      </c>
      <c r="AE99" s="186" t="n">
        <f aca="false">$D$95/1000000/12*IF($I$95="Y",AE$47,IF(AE$6&gt;=EOMONTH($H$95,0),1,0))</f>
        <v>0</v>
      </c>
      <c r="AF99" s="186" t="n">
        <f aca="false">$D$95/1000000/12*IF($I$95="Y",AF$47,IF(AF$6&gt;=EOMONTH($H$95,0),1,0))</f>
        <v>0</v>
      </c>
      <c r="AG99" s="186" t="n">
        <f aca="false">$D$95/1000000/12*IF($I$95="Y",AG$47,IF(AG$6&gt;=EOMONTH($H$95,0),1,0))</f>
        <v>0</v>
      </c>
      <c r="AH99" s="186" t="n">
        <f aca="false">$D$95/1000000/12*IF($I$95="Y",AH$47,IF(AH$6&gt;=EOMONTH($H$95,0),1,0))</f>
        <v>0</v>
      </c>
      <c r="AI99" s="186" t="n">
        <f aca="false">$D$95/1000000/12*IF($I$95="Y",AI$47,IF(AI$6&gt;=EOMONTH($H$95,0),1,0))</f>
        <v>0</v>
      </c>
      <c r="AJ99" s="186" t="n">
        <f aca="false">$D$95/1000000/12*IF($I$95="Y",AJ$47,IF(AJ$6&gt;=EOMONTH($H$95,0),1,0))</f>
        <v>0</v>
      </c>
      <c r="AK99" s="186" t="n">
        <f aca="false">$D$95/1000000/12*IF($I$95="Y",AK$47,IF(AK$6&gt;=EOMONTH($H$95,0),1,0))</f>
        <v>0</v>
      </c>
      <c r="AL99" s="186" t="n">
        <f aca="false">$D$95/1000000/12*IF($I$95="Y",AL$47,IF(AL$6&gt;=EOMONTH($H$95,0),1,0))</f>
        <v>0</v>
      </c>
      <c r="AM99" s="186" t="n">
        <f aca="false">$D$95/1000000/12*IF($I$95="Y",AM$47,IF(AM$6&gt;=EOMONTH($H$95,0),1,0))</f>
        <v>0</v>
      </c>
      <c r="AN99" s="186" t="n">
        <f aca="false">$D$95/1000000/12*IF($I$95="Y",AN$47,IF(AN$6&gt;=EOMONTH($H$95,0),1,0))</f>
        <v>0</v>
      </c>
      <c r="AO99" s="186" t="n">
        <f aca="false">$D$95/1000000/12*IF($I$95="Y",AO$47,IF(AO$6&gt;=EOMONTH($H$95,0),1,0))</f>
        <v>0</v>
      </c>
      <c r="AP99" s="186" t="n">
        <f aca="false">$D$95/1000000/12*IF($I$95="Y",AP$47,IF(AP$6&gt;=EOMONTH($H$95,0),1,0))</f>
        <v>0</v>
      </c>
      <c r="AQ99" s="186" t="n">
        <f aca="false">$D$95/1000000/12*IF($I$95="Y",AQ$47,IF(AQ$6&gt;=EOMONTH($H$95,0),1,0))</f>
        <v>0</v>
      </c>
      <c r="AR99" s="186" t="n">
        <f aca="false">$D$95/1000000/12*IF($I$95="Y",AR$47,IF(AR$6&gt;=EOMONTH($H$95,0),1,0))</f>
        <v>0</v>
      </c>
      <c r="AS99" s="186" t="n">
        <f aca="false">$D$95/1000000/12*IF($I$95="Y",AS$47,IF(AS$6&gt;=EOMONTH($H$95,0),1,0))</f>
        <v>0</v>
      </c>
      <c r="AT99" s="186" t="n">
        <f aca="false">$D$95/1000000/12*IF($I$95="Y",AT$47,IF(AT$6&gt;=EOMONTH($H$95,0),1,0))</f>
        <v>0</v>
      </c>
      <c r="AU99" s="186" t="n">
        <f aca="false">$D$95/1000000/12*IF($I$95="Y",AU$47,IF(AU$6&gt;=EOMONTH($H$95,0),1,0))</f>
        <v>0</v>
      </c>
      <c r="AV99" s="186" t="n">
        <f aca="false">$D$95/1000000/12*IF($I$95="Y",AV$47,IF(AV$6&gt;=EOMONTH($H$95,0),1,0))</f>
        <v>0</v>
      </c>
      <c r="AW99" s="186" t="n">
        <f aca="false">$D$95/1000000/12*IF($I$95="Y",AW$47,IF(AW$6&gt;=EOMONTH($H$95,0),1,0))</f>
        <v>0</v>
      </c>
      <c r="AX99" s="186" t="n">
        <f aca="false">$D$95/1000000/12*IF($I$95="Y",AX$47,IF(AX$6&gt;=EOMONTH($H$95,0),1,0))</f>
        <v>0</v>
      </c>
      <c r="AY99" s="186" t="n">
        <f aca="false">$D$95/1000000/12*IF($I$95="Y",AY$47,IF(AY$6&gt;=EOMONTH($H$95,0),1,0))</f>
        <v>0</v>
      </c>
      <c r="AZ99" s="186" t="n">
        <f aca="false">$D$95/1000000/12*IF($I$95="Y",AZ$47,IF(AZ$6&gt;=EOMONTH($H$95,0),1,0))</f>
        <v>0</v>
      </c>
      <c r="BA99" s="186" t="n">
        <f aca="false">$D$95/1000000/12*IF($I$95="Y",BA$47,IF(BA$6&gt;=EOMONTH($H$95,0),1,0))</f>
        <v>0</v>
      </c>
      <c r="BB99" s="186" t="n">
        <f aca="false">$D$95/1000000/12*IF($I$95="Y",BB$47,IF(BB$6&gt;=EOMONTH($H$95,0),1,0))</f>
        <v>0</v>
      </c>
      <c r="BC99" s="186" t="n">
        <f aca="false">$D$95/1000000/12*IF($I$95="Y",BC$47,IF(BC$6&gt;=EOMONTH($H$95,0),1,0))</f>
        <v>0</v>
      </c>
      <c r="BD99" s="186" t="n">
        <f aca="false">$D$95/1000000/12*IF($I$95="Y",BD$47,IF(BD$6&gt;=EOMONTH($H$95,0),1,0))</f>
        <v>0</v>
      </c>
      <c r="BE99" s="186" t="n">
        <f aca="false">$D$95/1000000/12*IF($I$95="Y",BE$47,IF(BE$6&gt;=EOMONTH($H$95,0),1,0))</f>
        <v>0</v>
      </c>
      <c r="BF99" s="186" t="n">
        <f aca="false">$D$95/1000000/12*IF($I$95="Y",BF$47,IF(BF$6&gt;=EOMONTH($H$95,0),1,0))</f>
        <v>0</v>
      </c>
      <c r="BG99" s="186" t="n">
        <f aca="false">$D$95/1000000/12*IF($I$95="Y",BG$47,IF(BG$6&gt;=EOMONTH($H$95,0),1,0))</f>
        <v>0</v>
      </c>
      <c r="BH99" s="186" t="n">
        <f aca="false">$D$95/1000000/12*IF($I$95="Y",BH$47,IF(BH$6&gt;=EOMONTH($H$95,0),1,0))</f>
        <v>0</v>
      </c>
      <c r="BI99" s="186" t="n">
        <f aca="false">$D$95/1000000/12*IF($I$95="Y",BI$47,IF(BI$6&gt;=EOMONTH($H$95,0),1,0))</f>
        <v>0</v>
      </c>
      <c r="BJ99" s="186" t="n">
        <f aca="false">$D$95/1000000/12*IF($I$95="Y",BJ$47,IF(BJ$6&gt;=EOMONTH($H$95,0),1,0))</f>
        <v>0</v>
      </c>
      <c r="BK99" s="186" t="n">
        <f aca="false">$D$95/1000000/12*IF($I$95="Y",BK$47,IF(BK$6&gt;=EOMONTH($H$95,0),1,0))</f>
        <v>0</v>
      </c>
      <c r="BL99" s="186" t="n">
        <f aca="false">$D$95/1000000/12*IF($I$95="Y",BL$47,IF(BL$6&gt;=EOMONTH($H$95,0),1,0))</f>
        <v>0</v>
      </c>
      <c r="BM99" s="186" t="n">
        <f aca="false">$D$95/1000000/12*IF($I$95="Y",BM$47,IF(BM$6&gt;=EOMONTH($H$95,0),1,0))</f>
        <v>0</v>
      </c>
      <c r="BN99" s="186" t="n">
        <f aca="false">$D$95/1000000/12*IF($I$95="Y",BN$47,IF(BN$6&gt;=EOMONTH($H$95,0),1,0))</f>
        <v>0</v>
      </c>
      <c r="BO99" s="186" t="n">
        <f aca="false">$D$95/1000000/12*IF($I$95="Y",BO$47,IF(BO$6&gt;=EOMONTH($H$95,0),1,0))</f>
        <v>0</v>
      </c>
      <c r="BP99" s="186" t="n">
        <f aca="false">$D$95/1000000/12*IF($I$95="Y",BP$47,IF(BP$6&gt;=EOMONTH($H$95,0),1,0))</f>
        <v>0</v>
      </c>
      <c r="BQ99" s="186" t="n">
        <f aca="false">$D$95/1000000/12*IF($I$95="Y",BQ$47,IF(BQ$6&gt;=EOMONTH($H$95,0),1,0))</f>
        <v>0</v>
      </c>
      <c r="BR99" s="186" t="n">
        <f aca="false">$D$95/1000000/12*IF($I$95="Y",BR$47,IF(BR$6&gt;=EOMONTH($H$95,0),1,0))</f>
        <v>0</v>
      </c>
      <c r="BS99" s="186" t="n">
        <f aca="false">$D$95/1000000/12*IF($I$95="Y",BS$47,IF(BS$6&gt;=EOMONTH($H$95,0),1,0))</f>
        <v>0</v>
      </c>
      <c r="BT99" s="186" t="n">
        <f aca="false">$D$95/1000000/12*IF($I$95="Y",BT$47,IF(BT$6&gt;=EOMONTH($H$95,0),1,0))</f>
        <v>0</v>
      </c>
      <c r="BU99" s="186" t="n">
        <f aca="false">$D$95/1000000/12*IF($I$95="Y",BU$47,IF(BU$6&gt;=EOMONTH($H$95,0),1,0))</f>
        <v>0</v>
      </c>
      <c r="BV99" s="186" t="n">
        <f aca="false">$D$95/1000000/12*IF($I$95="Y",BV$47,IF(BV$6&gt;=EOMONTH($H$95,0),1,0))</f>
        <v>0</v>
      </c>
      <c r="BW99" s="186" t="n">
        <f aca="false">$D$95/1000000/12*IF($I$95="Y",BW$47,IF(BW$6&gt;=EOMONTH($H$95,0),1,0))</f>
        <v>0</v>
      </c>
      <c r="BX99" s="186" t="n">
        <f aca="false">$D$95/1000000/12*IF($I$95="Y",BX$47,IF(BX$6&gt;=EOMONTH($H$95,0),1,0))</f>
        <v>0</v>
      </c>
      <c r="BY99" s="186" t="n">
        <f aca="false">$D$95/1000000/12*IF($I$95="Y",BY$47,IF(BY$6&gt;=EOMONTH($H$95,0),1,0))</f>
        <v>0</v>
      </c>
      <c r="BZ99" s="186" t="n">
        <f aca="false">$D$95/1000000/12*IF($I$95="Y",BZ$47,IF(BZ$6&gt;=EOMONTH($H$95,0),1,0))</f>
        <v>0</v>
      </c>
      <c r="CA99" s="186" t="n">
        <f aca="false">$D$95/1000000/12*IF($I$95="Y",CA$47,IF(CA$6&gt;=EOMONTH($H$95,0),1,0))</f>
        <v>0</v>
      </c>
    </row>
    <row r="100" customFormat="false" ht="15" hidden="false" customHeight="false" outlineLevel="0" collapsed="false">
      <c r="B100" s="10" t="s">
        <v>367</v>
      </c>
      <c r="K100" s="186" t="n">
        <f aca="false">SUMIFS($T100:$CA100,$T$5:$CA$5,2030)</f>
        <v>0</v>
      </c>
      <c r="L100" s="186" t="n">
        <f aca="false">SUMIFS($T100:$CA100,$T$5:$CA$5,2026)</f>
        <v>0</v>
      </c>
      <c r="M100" s="186" t="n">
        <f aca="false">SUMIFS($T100:$CA100,$T$5:$CA$5,2027)</f>
        <v>0</v>
      </c>
      <c r="N100" s="186" t="n">
        <f aca="false">SUMIFS($T100:$CA100,$T$5:$CA$5,2028)</f>
        <v>0</v>
      </c>
      <c r="O100" s="186" t="n">
        <f aca="false">SUMIFS($T100:$CA100,$T$5:$CA$5,2029)</f>
        <v>0</v>
      </c>
      <c r="P100" s="186" t="n">
        <f aca="false">SUMIFS($T100:$CA100,$T$5:$CA$5,2030)</f>
        <v>0</v>
      </c>
      <c r="T100" s="186" t="n">
        <f aca="false">$D$96/1000000/12*IF($I$96="Y",T$47,IF(T$6&gt;=EOMONTH($H$96,0),1,0))</f>
        <v>0</v>
      </c>
      <c r="U100" s="186" t="n">
        <f aca="false">$D$96/1000000/12*IF($I$96="Y",U$47,IF(U$6&gt;=EOMONTH($H$96,0),1,0))</f>
        <v>0</v>
      </c>
      <c r="V100" s="186" t="n">
        <f aca="false">$D$96/1000000/12*IF($I$96="Y",V$47,IF(V$6&gt;=EOMONTH($H$96,0),1,0))</f>
        <v>0</v>
      </c>
      <c r="W100" s="186" t="n">
        <f aca="false">$D$96/1000000/12*IF($I$96="Y",W$47,IF(W$6&gt;=EOMONTH($H$96,0),1,0))</f>
        <v>0</v>
      </c>
      <c r="X100" s="186" t="n">
        <f aca="false">$D$96/1000000/12*IF($I$96="Y",X$47,IF(X$6&gt;=EOMONTH($H$96,0),1,0))</f>
        <v>0</v>
      </c>
      <c r="Y100" s="186" t="n">
        <f aca="false">$D$96/1000000/12*IF($I$96="Y",Y$47,IF(Y$6&gt;=EOMONTH($H$96,0),1,0))</f>
        <v>0</v>
      </c>
      <c r="Z100" s="186" t="n">
        <f aca="false">$D$96/1000000/12*IF($I$96="Y",Z$47,IF(Z$6&gt;=EOMONTH($H$96,0),1,0))</f>
        <v>0</v>
      </c>
      <c r="AA100" s="186" t="n">
        <f aca="false">$D$96/1000000/12*IF($I$96="Y",AA$47,IF(AA$6&gt;=EOMONTH($H$96,0),1,0))</f>
        <v>0</v>
      </c>
      <c r="AB100" s="186" t="n">
        <f aca="false">$D$96/1000000/12*IF($I$96="Y",AB$47,IF(AB$6&gt;=EOMONTH($H$96,0),1,0))</f>
        <v>0</v>
      </c>
      <c r="AC100" s="186" t="n">
        <f aca="false">$D$96/1000000/12*IF($I$96="Y",AC$47,IF(AC$6&gt;=EOMONTH($H$96,0),1,0))</f>
        <v>0</v>
      </c>
      <c r="AD100" s="186" t="n">
        <f aca="false">$D$96/1000000/12*IF($I$96="Y",AD$47,IF(AD$6&gt;=EOMONTH($H$96,0),1,0))</f>
        <v>0</v>
      </c>
      <c r="AE100" s="186" t="n">
        <f aca="false">$D$96/1000000/12*IF($I$96="Y",AE$47,IF(AE$6&gt;=EOMONTH($H$96,0),1,0))</f>
        <v>0</v>
      </c>
      <c r="AF100" s="186" t="n">
        <f aca="false">$D$96/1000000/12*IF($I$96="Y",AF$47,IF(AF$6&gt;=EOMONTH($H$96,0),1,0))</f>
        <v>0</v>
      </c>
      <c r="AG100" s="186" t="n">
        <f aca="false">$D$96/1000000/12*IF($I$96="Y",AG$47,IF(AG$6&gt;=EOMONTH($H$96,0),1,0))</f>
        <v>0</v>
      </c>
      <c r="AH100" s="186" t="n">
        <f aca="false">$D$96/1000000/12*IF($I$96="Y",AH$47,IF(AH$6&gt;=EOMONTH($H$96,0),1,0))</f>
        <v>0</v>
      </c>
      <c r="AI100" s="186" t="n">
        <f aca="false">$D$96/1000000/12*IF($I$96="Y",AI$47,IF(AI$6&gt;=EOMONTH($H$96,0),1,0))</f>
        <v>0</v>
      </c>
      <c r="AJ100" s="186" t="n">
        <f aca="false">$D$96/1000000/12*IF($I$96="Y",AJ$47,IF(AJ$6&gt;=EOMONTH($H$96,0),1,0))</f>
        <v>0</v>
      </c>
      <c r="AK100" s="186" t="n">
        <f aca="false">$D$96/1000000/12*IF($I$96="Y",AK$47,IF(AK$6&gt;=EOMONTH($H$96,0),1,0))</f>
        <v>0</v>
      </c>
      <c r="AL100" s="186" t="n">
        <f aca="false">$D$96/1000000/12*IF($I$96="Y",AL$47,IF(AL$6&gt;=EOMONTH($H$96,0),1,0))</f>
        <v>0</v>
      </c>
      <c r="AM100" s="186" t="n">
        <f aca="false">$D$96/1000000/12*IF($I$96="Y",AM$47,IF(AM$6&gt;=EOMONTH($H$96,0),1,0))</f>
        <v>0</v>
      </c>
      <c r="AN100" s="186" t="n">
        <f aca="false">$D$96/1000000/12*IF($I$96="Y",AN$47,IF(AN$6&gt;=EOMONTH($H$96,0),1,0))</f>
        <v>0</v>
      </c>
      <c r="AO100" s="186" t="n">
        <f aca="false">$D$96/1000000/12*IF($I$96="Y",AO$47,IF(AO$6&gt;=EOMONTH($H$96,0),1,0))</f>
        <v>0</v>
      </c>
      <c r="AP100" s="186" t="n">
        <f aca="false">$D$96/1000000/12*IF($I$96="Y",AP$47,IF(AP$6&gt;=EOMONTH($H$96,0),1,0))</f>
        <v>0</v>
      </c>
      <c r="AQ100" s="186" t="n">
        <f aca="false">$D$96/1000000/12*IF($I$96="Y",AQ$47,IF(AQ$6&gt;=EOMONTH($H$96,0),1,0))</f>
        <v>0</v>
      </c>
      <c r="AR100" s="186" t="n">
        <f aca="false">$D$96/1000000/12*IF($I$96="Y",AR$47,IF(AR$6&gt;=EOMONTH($H$96,0),1,0))</f>
        <v>0</v>
      </c>
      <c r="AS100" s="186" t="n">
        <f aca="false">$D$96/1000000/12*IF($I$96="Y",AS$47,IF(AS$6&gt;=EOMONTH($H$96,0),1,0))</f>
        <v>0</v>
      </c>
      <c r="AT100" s="186" t="n">
        <f aca="false">$D$96/1000000/12*IF($I$96="Y",AT$47,IF(AT$6&gt;=EOMONTH($H$96,0),1,0))</f>
        <v>0</v>
      </c>
      <c r="AU100" s="186" t="n">
        <f aca="false">$D$96/1000000/12*IF($I$96="Y",AU$47,IF(AU$6&gt;=EOMONTH($H$96,0),1,0))</f>
        <v>0</v>
      </c>
      <c r="AV100" s="186" t="n">
        <f aca="false">$D$96/1000000/12*IF($I$96="Y",AV$47,IF(AV$6&gt;=EOMONTH($H$96,0),1,0))</f>
        <v>0</v>
      </c>
      <c r="AW100" s="186" t="n">
        <f aca="false">$D$96/1000000/12*IF($I$96="Y",AW$47,IF(AW$6&gt;=EOMONTH($H$96,0),1,0))</f>
        <v>0</v>
      </c>
      <c r="AX100" s="186" t="n">
        <f aca="false">$D$96/1000000/12*IF($I$96="Y",AX$47,IF(AX$6&gt;=EOMONTH($H$96,0),1,0))</f>
        <v>0</v>
      </c>
      <c r="AY100" s="186" t="n">
        <f aca="false">$D$96/1000000/12*IF($I$96="Y",AY$47,IF(AY$6&gt;=EOMONTH($H$96,0),1,0))</f>
        <v>0</v>
      </c>
      <c r="AZ100" s="186" t="n">
        <f aca="false">$D$96/1000000/12*IF($I$96="Y",AZ$47,IF(AZ$6&gt;=EOMONTH($H$96,0),1,0))</f>
        <v>0</v>
      </c>
      <c r="BA100" s="186" t="n">
        <f aca="false">$D$96/1000000/12*IF($I$96="Y",BA$47,IF(BA$6&gt;=EOMONTH($H$96,0),1,0))</f>
        <v>0</v>
      </c>
      <c r="BB100" s="186" t="n">
        <f aca="false">$D$96/1000000/12*IF($I$96="Y",BB$47,IF(BB$6&gt;=EOMONTH($H$96,0),1,0))</f>
        <v>0</v>
      </c>
      <c r="BC100" s="186" t="n">
        <f aca="false">$D$96/1000000/12*IF($I$96="Y",BC$47,IF(BC$6&gt;=EOMONTH($H$96,0),1,0))</f>
        <v>0</v>
      </c>
      <c r="BD100" s="186" t="n">
        <f aca="false">$D$96/1000000/12*IF($I$96="Y",BD$47,IF(BD$6&gt;=EOMONTH($H$96,0),1,0))</f>
        <v>0</v>
      </c>
      <c r="BE100" s="186" t="n">
        <f aca="false">$D$96/1000000/12*IF($I$96="Y",BE$47,IF(BE$6&gt;=EOMONTH($H$96,0),1,0))</f>
        <v>0</v>
      </c>
      <c r="BF100" s="186" t="n">
        <f aca="false">$D$96/1000000/12*IF($I$96="Y",BF$47,IF(BF$6&gt;=EOMONTH($H$96,0),1,0))</f>
        <v>0</v>
      </c>
      <c r="BG100" s="186" t="n">
        <f aca="false">$D$96/1000000/12*IF($I$96="Y",BG$47,IF(BG$6&gt;=EOMONTH($H$96,0),1,0))</f>
        <v>0</v>
      </c>
      <c r="BH100" s="186" t="n">
        <f aca="false">$D$96/1000000/12*IF($I$96="Y",BH$47,IF(BH$6&gt;=EOMONTH($H$96,0),1,0))</f>
        <v>0</v>
      </c>
      <c r="BI100" s="186" t="n">
        <f aca="false">$D$96/1000000/12*IF($I$96="Y",BI$47,IF(BI$6&gt;=EOMONTH($H$96,0),1,0))</f>
        <v>0</v>
      </c>
      <c r="BJ100" s="186" t="n">
        <f aca="false">$D$96/1000000/12*IF($I$96="Y",BJ$47,IF(BJ$6&gt;=EOMONTH($H$96,0),1,0))</f>
        <v>0</v>
      </c>
      <c r="BK100" s="186" t="n">
        <f aca="false">$D$96/1000000/12*IF($I$96="Y",BK$47,IF(BK$6&gt;=EOMONTH($H$96,0),1,0))</f>
        <v>0</v>
      </c>
      <c r="BL100" s="186" t="n">
        <f aca="false">$D$96/1000000/12*IF($I$96="Y",BL$47,IF(BL$6&gt;=EOMONTH($H$96,0),1,0))</f>
        <v>0</v>
      </c>
      <c r="BM100" s="186" t="n">
        <f aca="false">$D$96/1000000/12*IF($I$96="Y",BM$47,IF(BM$6&gt;=EOMONTH($H$96,0),1,0))</f>
        <v>0</v>
      </c>
      <c r="BN100" s="186" t="n">
        <f aca="false">$D$96/1000000/12*IF($I$96="Y",BN$47,IF(BN$6&gt;=EOMONTH($H$96,0),1,0))</f>
        <v>0</v>
      </c>
      <c r="BO100" s="186" t="n">
        <f aca="false">$D$96/1000000/12*IF($I$96="Y",BO$47,IF(BO$6&gt;=EOMONTH($H$96,0),1,0))</f>
        <v>0</v>
      </c>
      <c r="BP100" s="186" t="n">
        <f aca="false">$D$96/1000000/12*IF($I$96="Y",BP$47,IF(BP$6&gt;=EOMONTH($H$96,0),1,0))</f>
        <v>0</v>
      </c>
      <c r="BQ100" s="186" t="n">
        <f aca="false">$D$96/1000000/12*IF($I$96="Y",BQ$47,IF(BQ$6&gt;=EOMONTH($H$96,0),1,0))</f>
        <v>0</v>
      </c>
      <c r="BR100" s="186" t="n">
        <f aca="false">$D$96/1000000/12*IF($I$96="Y",BR$47,IF(BR$6&gt;=EOMONTH($H$96,0),1,0))</f>
        <v>0</v>
      </c>
      <c r="BS100" s="186" t="n">
        <f aca="false">$D$96/1000000/12*IF($I$96="Y",BS$47,IF(BS$6&gt;=EOMONTH($H$96,0),1,0))</f>
        <v>0</v>
      </c>
      <c r="BT100" s="186" t="n">
        <f aca="false">$D$96/1000000/12*IF($I$96="Y",BT$47,IF(BT$6&gt;=EOMONTH($H$96,0),1,0))</f>
        <v>0</v>
      </c>
      <c r="BU100" s="186" t="n">
        <f aca="false">$D$96/1000000/12*IF($I$96="Y",BU$47,IF(BU$6&gt;=EOMONTH($H$96,0),1,0))</f>
        <v>0</v>
      </c>
      <c r="BV100" s="186" t="n">
        <f aca="false">$D$96/1000000/12*IF($I$96="Y",BV$47,IF(BV$6&gt;=EOMONTH($H$96,0),1,0))</f>
        <v>0</v>
      </c>
      <c r="BW100" s="186" t="n">
        <f aca="false">$D$96/1000000/12*IF($I$96="Y",BW$47,IF(BW$6&gt;=EOMONTH($H$96,0),1,0))</f>
        <v>0</v>
      </c>
      <c r="BX100" s="186" t="n">
        <f aca="false">$D$96/1000000/12*IF($I$96="Y",BX$47,IF(BX$6&gt;=EOMONTH($H$96,0),1,0))</f>
        <v>0</v>
      </c>
      <c r="BY100" s="186" t="n">
        <f aca="false">$D$96/1000000/12*IF($I$96="Y",BY$47,IF(BY$6&gt;=EOMONTH($H$96,0),1,0))</f>
        <v>0</v>
      </c>
      <c r="BZ100" s="186" t="n">
        <f aca="false">$D$96/1000000/12*IF($I$96="Y",BZ$47,IF(BZ$6&gt;=EOMONTH($H$96,0),1,0))</f>
        <v>0</v>
      </c>
      <c r="CA100" s="186" t="n">
        <f aca="false">$D$96/1000000/12*IF($I$96="Y",CA$47,IF(CA$6&gt;=EOMONTH($H$96,0),1,0))</f>
        <v>0</v>
      </c>
    </row>
    <row r="101" customFormat="false" ht="15" hidden="false" customHeight="false" outlineLevel="0" collapsed="false">
      <c r="B101" s="3" t="s">
        <v>370</v>
      </c>
      <c r="K101" s="186" t="n">
        <f aca="false">SUM(K99:K100)</f>
        <v>0</v>
      </c>
      <c r="L101" s="186" t="n">
        <f aca="false">SUM(L99:L100)</f>
        <v>0</v>
      </c>
      <c r="M101" s="186" t="n">
        <f aca="false">SUM(M99:M100)</f>
        <v>0</v>
      </c>
      <c r="N101" s="186" t="n">
        <f aca="false">SUM(N99:N100)</f>
        <v>0</v>
      </c>
      <c r="O101" s="186" t="n">
        <f aca="false">SUM(O99:O100)</f>
        <v>0</v>
      </c>
      <c r="P101" s="186" t="n">
        <f aca="false">SUM(P99:P100)</f>
        <v>0</v>
      </c>
    </row>
    <row r="103" customFormat="false" ht="18" hidden="false" customHeight="true" outlineLevel="0" collapsed="false">
      <c r="B103" s="5" t="s">
        <v>371</v>
      </c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</row>
    <row r="105" customFormat="false" ht="15" hidden="false" customHeight="false" outlineLevel="0" collapsed="false">
      <c r="B105" s="192" t="s">
        <v>438</v>
      </c>
      <c r="F105" s="194" t="s">
        <v>373</v>
      </c>
    </row>
    <row r="106" customFormat="false" ht="15" hidden="false" customHeight="false" outlineLevel="0" collapsed="false">
      <c r="B106" s="192" t="s">
        <v>439</v>
      </c>
      <c r="F106" s="194" t="s">
        <v>375</v>
      </c>
    </row>
    <row r="107" customFormat="false" ht="15" hidden="false" customHeight="false" outlineLevel="0" collapsed="false">
      <c r="B107" s="192" t="s">
        <v>440</v>
      </c>
      <c r="F107" s="194" t="s">
        <v>377</v>
      </c>
    </row>
    <row r="108" customFormat="false" ht="15" hidden="false" customHeight="false" outlineLevel="0" collapsed="false">
      <c r="B108" s="192" t="s">
        <v>441</v>
      </c>
      <c r="F108" s="194" t="s">
        <v>381</v>
      </c>
    </row>
    <row r="109" customFormat="false" ht="15" hidden="false" customHeight="false" outlineLevel="0" collapsed="false">
      <c r="B109" s="192" t="s">
        <v>442</v>
      </c>
      <c r="F109" s="194" t="s">
        <v>383</v>
      </c>
    </row>
    <row r="110" customFormat="false" ht="15" hidden="false" customHeight="false" outlineLevel="0" collapsed="false">
      <c r="B110" s="192" t="s">
        <v>443</v>
      </c>
      <c r="F110" s="194" t="s">
        <v>385</v>
      </c>
    </row>
    <row r="111" customFormat="false" ht="15" hidden="false" customHeight="false" outlineLevel="0" collapsed="false">
      <c r="B111" s="192" t="s">
        <v>444</v>
      </c>
      <c r="F111" s="194" t="s">
        <v>387</v>
      </c>
    </row>
    <row r="113" customFormat="false" ht="18" hidden="false" customHeight="true" outlineLevel="0" collapsed="false">
      <c r="B113" s="5" t="s">
        <v>388</v>
      </c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</row>
  </sheetData>
  <mergeCells count="3">
    <mergeCell ref="D10:H10"/>
    <mergeCell ref="D11:H11"/>
    <mergeCell ref="D12:H12"/>
  </mergeCells>
  <dataValidations count="1">
    <dataValidation allowBlank="true" errorStyle="stop" operator="between" showDropDown="false" showErrorMessage="false" showInputMessage="false" sqref="I95:I96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C1:CM171"/>
  <sheetViews>
    <sheetView showFormulas="false" showGridLines="false" showRowColHeaders="true" showZeros="true" rightToLeft="false" tabSelected="false" showOutlineSymbols="true" defaultGridColor="true" view="normal" topLeftCell="A1" colorId="64" zoomScale="50" zoomScaleNormal="5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5390625" defaultRowHeight="14.25" zeroHeight="false" outlineLevelRow="1" outlineLevelCol="1"/>
  <cols>
    <col collapsed="false" customWidth="true" hidden="false" outlineLevel="0" max="4" min="1" style="0" width="2.81"/>
    <col collapsed="false" customWidth="true" hidden="false" outlineLevel="0" max="5" min="5" style="0" width="65.81"/>
    <col collapsed="false" customWidth="true" hidden="false" outlineLevel="0" max="6" min="6" style="0" width="16.54"/>
    <col collapsed="false" customWidth="true" hidden="false" outlineLevel="0" max="7" min="7" style="0" width="16.18"/>
    <col collapsed="false" customWidth="true" hidden="false" outlineLevel="0" max="8" min="8" style="0" width="22.45"/>
    <col collapsed="false" customWidth="true" hidden="false" outlineLevel="0" max="16" min="9" style="0" width="13.54"/>
    <col collapsed="false" customWidth="true" hidden="false" outlineLevel="0" max="17" min="17" style="13" width="13.54"/>
    <col collapsed="false" customWidth="true" hidden="false" outlineLevel="0" max="18" min="18" style="13" width="16.45"/>
    <col collapsed="false" customWidth="true" hidden="false" outlineLevel="0" max="19" min="19" style="0" width="2.81"/>
    <col collapsed="false" customWidth="true" hidden="false" outlineLevel="0" max="67" min="20" style="0" width="16.54"/>
    <col collapsed="false" customWidth="true" hidden="true" outlineLevel="1" max="79" min="68" style="0" width="16.54"/>
    <col collapsed="false" customWidth="true" hidden="false" outlineLevel="0" max="80" min="80" style="0" width="2.81"/>
    <col collapsed="false" customWidth="true" hidden="false" outlineLevel="0" max="85" min="81" style="0" width="16.54"/>
    <col collapsed="false" customWidth="true" hidden="false" outlineLevel="0" max="86" min="86" style="0" width="2.81"/>
    <col collapsed="false" customWidth="true" hidden="false" outlineLevel="0" max="91" min="87" style="0" width="16.54"/>
  </cols>
  <sheetData>
    <row r="1" s="14" customFormat="true" ht="16.5" hidden="true" customHeight="true" outlineLevel="1" collapsed="false">
      <c r="L1" s="15" t="n">
        <v>1</v>
      </c>
      <c r="M1" s="15" t="n">
        <v>2</v>
      </c>
      <c r="N1" s="15" t="n">
        <v>3</v>
      </c>
      <c r="O1" s="15" t="n">
        <v>4</v>
      </c>
      <c r="P1" s="15" t="n">
        <v>5</v>
      </c>
      <c r="Q1" s="16"/>
      <c r="R1" s="17" t="n">
        <f aca="false">COUNTIFS($R$66:$R$117, "Error")</f>
        <v>0</v>
      </c>
      <c r="T1" s="17" t="n">
        <v>2026</v>
      </c>
      <c r="U1" s="17" t="n">
        <v>2026</v>
      </c>
      <c r="V1" s="17" t="n">
        <v>2026</v>
      </c>
      <c r="W1" s="17" t="n">
        <v>2026</v>
      </c>
      <c r="X1" s="17" t="n">
        <v>2026</v>
      </c>
      <c r="Y1" s="17" t="n">
        <v>2026</v>
      </c>
      <c r="Z1" s="17" t="n">
        <v>2026</v>
      </c>
      <c r="AA1" s="17" t="n">
        <v>2026</v>
      </c>
      <c r="AB1" s="17" t="n">
        <v>2026</v>
      </c>
      <c r="AC1" s="17" t="n">
        <v>2026</v>
      </c>
      <c r="AD1" s="17" t="n">
        <v>2026</v>
      </c>
      <c r="AE1" s="17" t="n">
        <v>2026</v>
      </c>
      <c r="AF1" s="17" t="n">
        <v>2027</v>
      </c>
      <c r="AG1" s="17" t="n">
        <v>2027</v>
      </c>
      <c r="AH1" s="17" t="n">
        <v>2027</v>
      </c>
      <c r="AI1" s="17" t="n">
        <v>2027</v>
      </c>
      <c r="AJ1" s="17" t="n">
        <v>2027</v>
      </c>
      <c r="AK1" s="17" t="n">
        <v>2027</v>
      </c>
      <c r="AL1" s="17" t="n">
        <v>2027</v>
      </c>
      <c r="AM1" s="17" t="n">
        <v>2027</v>
      </c>
      <c r="AN1" s="17" t="n">
        <v>2027</v>
      </c>
      <c r="AO1" s="17" t="n">
        <v>2027</v>
      </c>
      <c r="AP1" s="17" t="n">
        <v>2027</v>
      </c>
      <c r="AQ1" s="17" t="n">
        <v>2027</v>
      </c>
      <c r="AR1" s="17" t="n">
        <v>2028</v>
      </c>
      <c r="AS1" s="17" t="n">
        <v>2028</v>
      </c>
      <c r="AT1" s="17" t="n">
        <v>2028</v>
      </c>
      <c r="AU1" s="17" t="n">
        <v>2028</v>
      </c>
      <c r="AV1" s="17" t="n">
        <v>2028</v>
      </c>
      <c r="AW1" s="17" t="n">
        <v>2028</v>
      </c>
      <c r="AX1" s="17" t="n">
        <v>2028</v>
      </c>
      <c r="AY1" s="17" t="n">
        <v>2028</v>
      </c>
      <c r="AZ1" s="17" t="n">
        <v>2028</v>
      </c>
      <c r="BA1" s="17" t="n">
        <v>2028</v>
      </c>
      <c r="BB1" s="17" t="n">
        <v>2028</v>
      </c>
      <c r="BC1" s="17" t="n">
        <v>2028</v>
      </c>
      <c r="BD1" s="17" t="n">
        <v>2029</v>
      </c>
      <c r="BE1" s="17" t="n">
        <v>2029</v>
      </c>
      <c r="BF1" s="17" t="n">
        <v>2029</v>
      </c>
      <c r="BG1" s="17" t="n">
        <v>2029</v>
      </c>
      <c r="BH1" s="17" t="n">
        <v>2029</v>
      </c>
      <c r="BI1" s="17" t="n">
        <v>2029</v>
      </c>
      <c r="BJ1" s="17" t="n">
        <v>2029</v>
      </c>
      <c r="BK1" s="17" t="n">
        <v>2029</v>
      </c>
      <c r="BL1" s="17" t="n">
        <v>2029</v>
      </c>
      <c r="BM1" s="17" t="n">
        <v>2029</v>
      </c>
      <c r="BN1" s="17" t="n">
        <v>2029</v>
      </c>
      <c r="BO1" s="17" t="n">
        <v>2029</v>
      </c>
      <c r="BP1" s="17" t="n">
        <v>2030</v>
      </c>
      <c r="BQ1" s="17" t="n">
        <v>2030</v>
      </c>
      <c r="BR1" s="17" t="n">
        <v>2030</v>
      </c>
      <c r="BS1" s="17" t="n">
        <v>2030</v>
      </c>
      <c r="BT1" s="17" t="n">
        <v>2030</v>
      </c>
      <c r="BU1" s="17" t="n">
        <v>2030</v>
      </c>
      <c r="BV1" s="17" t="n">
        <v>2030</v>
      </c>
      <c r="BW1" s="17" t="n">
        <v>2030</v>
      </c>
      <c r="BX1" s="17" t="n">
        <v>2030</v>
      </c>
      <c r="BY1" s="17" t="n">
        <v>2030</v>
      </c>
      <c r="BZ1" s="17" t="n">
        <v>2030</v>
      </c>
      <c r="CA1" s="17" t="n">
        <v>2030</v>
      </c>
      <c r="CI1" s="17" t="n">
        <f aca="false">COUNTIFS(CI$66:CI$149, "FALSE")</f>
        <v>0</v>
      </c>
      <c r="CJ1" s="17" t="n">
        <f aca="false">COUNTIFS(CJ$66:CJ$149, "FALSE")</f>
        <v>0</v>
      </c>
      <c r="CK1" s="17" t="n">
        <f aca="false">COUNTIFS(CK$66:CK$149, "FALSE")</f>
        <v>0</v>
      </c>
      <c r="CL1" s="17" t="n">
        <f aca="false">COUNTIFS(CL$66:CL$149, "FALSE")</f>
        <v>0</v>
      </c>
      <c r="CM1" s="17" t="n">
        <f aca="false">COUNTIFS(CM$66:CM$149, "FALSE")</f>
        <v>0</v>
      </c>
    </row>
    <row r="2" s="14" customFormat="true" ht="30.75" hidden="false" customHeight="true" outlineLevel="0" collapsed="false">
      <c r="C2" s="18" t="str">
        <f aca="false">"#"&amp;$F$6&amp;" Initiative Business Case"</f>
        <v>#TBD Initiative Business Case</v>
      </c>
      <c r="Q2" s="16"/>
      <c r="R2" s="16"/>
    </row>
    <row r="3" s="14" customFormat="true" ht="16.5" hidden="false" customHeight="true" outlineLevel="0" collapsed="false">
      <c r="Q3" s="16"/>
      <c r="R3" s="16"/>
    </row>
    <row r="4" s="14" customFormat="true" ht="16.5" hidden="false" customHeight="true" outlineLevel="0" collapsed="false">
      <c r="C4" s="19" t="s">
        <v>51</v>
      </c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</row>
    <row r="5" s="14" customFormat="true" ht="16.5" hidden="false" customHeight="true" outlineLevel="0" collapsed="false">
      <c r="Q5" s="16"/>
      <c r="R5" s="16"/>
    </row>
    <row r="6" s="14" customFormat="true" ht="16.5" hidden="false" customHeight="true" outlineLevel="0" collapsed="false">
      <c r="D6" s="21" t="s">
        <v>52</v>
      </c>
      <c r="F6" s="22" t="s">
        <v>389</v>
      </c>
      <c r="G6" s="23"/>
      <c r="Q6" s="16"/>
      <c r="R6" s="16"/>
    </row>
    <row r="7" customFormat="false" ht="16.5" hidden="false" customHeight="true" outlineLevel="0" collapsed="false">
      <c r="D7" s="21" t="s">
        <v>53</v>
      </c>
      <c r="F7" s="195" t="s">
        <v>409</v>
      </c>
      <c r="G7" s="196"/>
      <c r="I7" s="14"/>
      <c r="J7" s="14"/>
      <c r="K7" s="14"/>
    </row>
    <row r="8" s="14" customFormat="true" ht="16.5" hidden="false" customHeight="true" outlineLevel="0" collapsed="false">
      <c r="D8" s="21" t="s">
        <v>55</v>
      </c>
      <c r="F8" s="26" t="s">
        <v>408</v>
      </c>
      <c r="G8" s="26"/>
      <c r="H8" s="26"/>
      <c r="I8" s="26"/>
      <c r="J8" s="26"/>
      <c r="Q8" s="16"/>
      <c r="R8" s="16"/>
    </row>
    <row r="9" s="14" customFormat="true" ht="16.5" hidden="false" customHeight="true" outlineLevel="0" collapsed="false">
      <c r="D9" s="21"/>
      <c r="F9" s="26"/>
      <c r="G9" s="26"/>
      <c r="H9" s="26"/>
      <c r="I9" s="26"/>
      <c r="J9" s="26"/>
      <c r="N9" s="21"/>
      <c r="Q9" s="16"/>
      <c r="R9" s="16"/>
    </row>
    <row r="10" s="14" customFormat="true" ht="16.5" hidden="false" customHeight="true" outlineLevel="0" collapsed="false">
      <c r="F10" s="26"/>
      <c r="G10" s="26"/>
      <c r="H10" s="26"/>
      <c r="I10" s="26"/>
      <c r="J10" s="26"/>
      <c r="Q10" s="16"/>
      <c r="R10" s="16"/>
    </row>
    <row r="11" s="14" customFormat="true" ht="16.5" hidden="false" customHeight="true" outlineLevel="0" collapsed="false">
      <c r="D11" s="21" t="s">
        <v>59</v>
      </c>
      <c r="F11" s="197" t="n">
        <f aca="false">'SDLC-2 Model'!$D$13</f>
        <v>46539</v>
      </c>
      <c r="M11" s="21"/>
      <c r="Q11" s="16"/>
      <c r="R11" s="16"/>
    </row>
    <row r="12" s="14" customFormat="true" ht="16.5" hidden="false" customHeight="true" outlineLevel="0" collapsed="false">
      <c r="D12" s="21" t="s">
        <v>60</v>
      </c>
      <c r="F12" s="28" t="n">
        <f aca="false">$K$117</f>
        <v>0</v>
      </c>
      <c r="M12" s="21"/>
      <c r="Q12" s="16"/>
      <c r="R12" s="16"/>
    </row>
    <row r="13" s="14" customFormat="true" ht="17.25" hidden="false" customHeight="true" outlineLevel="0" collapsed="false">
      <c r="Q13" s="16"/>
      <c r="R13" s="16"/>
    </row>
    <row r="14" s="14" customFormat="true" ht="16.5" hidden="false" customHeight="true" outlineLevel="0" collapsed="false">
      <c r="C14" s="19" t="s">
        <v>61</v>
      </c>
      <c r="D14" s="19"/>
      <c r="E14" s="19"/>
      <c r="F14" s="19"/>
      <c r="G14" s="19"/>
      <c r="H14" s="19"/>
      <c r="I14" s="19"/>
      <c r="J14" s="19"/>
      <c r="L14" s="19"/>
      <c r="M14" s="19"/>
      <c r="N14" s="19"/>
      <c r="O14" s="19"/>
      <c r="P14" s="19"/>
      <c r="Q14" s="20"/>
      <c r="R14" s="20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19"/>
      <c r="BQ14" s="19"/>
      <c r="BR14" s="1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19"/>
      <c r="CH14" s="19"/>
      <c r="CI14" s="19"/>
      <c r="CJ14" s="19"/>
      <c r="CK14" s="19"/>
      <c r="CL14" s="19"/>
      <c r="CM14" s="19"/>
    </row>
    <row r="15" s="14" customFormat="true" ht="17.25" hidden="false" customHeight="true" outlineLevel="0" collapsed="false">
      <c r="Q15" s="16"/>
      <c r="R15" s="16"/>
    </row>
    <row r="16" s="14" customFormat="true" ht="17.25" hidden="false" customHeight="true" outlineLevel="0" collapsed="false">
      <c r="D16" s="29" t="s">
        <v>390</v>
      </c>
    </row>
    <row r="17" s="14" customFormat="true" ht="17.25" hidden="false" customHeight="true" outlineLevel="0" collapsed="false">
      <c r="D17" s="32" t="s">
        <v>67</v>
      </c>
      <c r="E17" s="33"/>
      <c r="F17" s="33"/>
      <c r="G17" s="33"/>
      <c r="H17" s="32" t="s">
        <v>68</v>
      </c>
      <c r="I17" s="32" t="s">
        <v>69</v>
      </c>
      <c r="J17" s="34" t="s">
        <v>70</v>
      </c>
    </row>
    <row r="18" s="14" customFormat="true" ht="17.25" hidden="false" customHeight="true" outlineLevel="0" collapsed="false">
      <c r="D18" s="33"/>
      <c r="E18" s="33" t="s">
        <v>445</v>
      </c>
      <c r="F18" s="33"/>
      <c r="G18" s="36"/>
      <c r="H18" s="198" t="s">
        <v>391</v>
      </c>
      <c r="I18" s="37" t="s">
        <v>265</v>
      </c>
      <c r="J18" s="227" t="n">
        <f aca="false">'SDLC-2 Model'!$D$26</f>
        <v>0</v>
      </c>
      <c r="P18" s="16"/>
      <c r="Q18" s="35"/>
      <c r="R18" s="16"/>
    </row>
    <row r="19" s="14" customFormat="true" ht="17.25" hidden="false" customHeight="true" outlineLevel="0" collapsed="false">
      <c r="D19" s="33"/>
      <c r="E19" s="33" t="s">
        <v>417</v>
      </c>
      <c r="F19" s="33"/>
      <c r="G19" s="36"/>
      <c r="H19" s="198" t="s">
        <v>391</v>
      </c>
      <c r="I19" s="37" t="s">
        <v>446</v>
      </c>
      <c r="J19" s="228" t="n">
        <f aca="false">'SDLC-2 Model'!$D$27</f>
        <v>0</v>
      </c>
      <c r="P19" s="16"/>
      <c r="Q19" s="35"/>
      <c r="R19" s="16"/>
    </row>
    <row r="20" s="14" customFormat="true" ht="17.25" hidden="false" customHeight="true" outlineLevel="0" collapsed="false">
      <c r="D20" s="33"/>
      <c r="E20" s="33" t="s">
        <v>424</v>
      </c>
      <c r="F20" s="33"/>
      <c r="G20" s="36"/>
      <c r="H20" s="198" t="s">
        <v>391</v>
      </c>
      <c r="I20" s="37" t="s">
        <v>92</v>
      </c>
      <c r="J20" s="200" t="n">
        <f aca="false">'SDLC-2 Model'!$D$40/1000000</f>
        <v>0</v>
      </c>
      <c r="L20" s="201"/>
      <c r="P20" s="16"/>
      <c r="Q20" s="35"/>
      <c r="R20" s="16"/>
    </row>
    <row r="21" s="14" customFormat="true" ht="17.25" hidden="false" customHeight="true" outlineLevel="0" collapsed="false">
      <c r="D21" s="33"/>
      <c r="E21" s="40"/>
      <c r="F21" s="40"/>
      <c r="G21" s="41"/>
      <c r="H21" s="202"/>
      <c r="I21" s="42"/>
      <c r="J21" s="55"/>
      <c r="P21" s="16"/>
      <c r="Q21" s="35"/>
      <c r="R21" s="16"/>
    </row>
    <row r="22" s="14" customFormat="true" ht="17.25" hidden="false" customHeight="true" outlineLevel="0" collapsed="false">
      <c r="D22" s="33"/>
      <c r="E22" s="33"/>
      <c r="F22" s="33"/>
      <c r="G22" s="36"/>
      <c r="H22" s="33"/>
      <c r="I22" s="37"/>
      <c r="J22" s="33"/>
      <c r="Q22" s="16"/>
      <c r="R22" s="16"/>
    </row>
    <row r="23" s="14" customFormat="true" ht="17.25" hidden="false" customHeight="true" outlineLevel="0" collapsed="false">
      <c r="D23" s="32" t="s">
        <v>94</v>
      </c>
      <c r="E23" s="33"/>
      <c r="F23" s="33"/>
      <c r="G23" s="36"/>
      <c r="H23" s="32"/>
      <c r="I23" s="32"/>
      <c r="J23" s="34"/>
      <c r="Q23" s="16"/>
      <c r="R23" s="16"/>
    </row>
    <row r="24" s="14" customFormat="true" ht="17.25" hidden="false" customHeight="true" outlineLevel="0" collapsed="false">
      <c r="D24" s="33"/>
      <c r="E24" s="33" t="s">
        <v>447</v>
      </c>
      <c r="F24" s="33"/>
      <c r="G24" s="36"/>
      <c r="H24" s="33" t="s">
        <v>395</v>
      </c>
      <c r="I24" s="37" t="s">
        <v>277</v>
      </c>
      <c r="J24" s="203" t="n">
        <f aca="false">'SDLC-2 Model'!$D$29*'SDLC-2 Model'!$D$30</f>
        <v>0.15</v>
      </c>
      <c r="Q24" s="16"/>
      <c r="R24" s="16"/>
    </row>
    <row r="25" s="14" customFormat="true" ht="17.25" hidden="false" customHeight="true" outlineLevel="0" collapsed="false">
      <c r="D25" s="33"/>
      <c r="E25" s="33" t="s">
        <v>396</v>
      </c>
      <c r="F25" s="33"/>
      <c r="G25" s="36"/>
      <c r="H25" s="33" t="s">
        <v>395</v>
      </c>
      <c r="I25" s="37" t="s">
        <v>277</v>
      </c>
      <c r="J25" s="203" t="n">
        <f aca="false">'SDLC-2 Model'!$D$31</f>
        <v>0.65</v>
      </c>
      <c r="Q25" s="16"/>
      <c r="R25" s="16"/>
    </row>
    <row r="26" s="14" customFormat="true" ht="17.25" hidden="false" customHeight="true" outlineLevel="0" collapsed="false">
      <c r="D26" s="33"/>
      <c r="E26" s="40"/>
      <c r="F26" s="40"/>
      <c r="G26" s="41"/>
      <c r="H26" s="40"/>
      <c r="I26" s="42"/>
      <c r="J26" s="55"/>
      <c r="K26" s="45"/>
      <c r="Q26" s="16"/>
      <c r="R26" s="16"/>
    </row>
    <row r="27" s="14" customFormat="true" ht="17.25" hidden="false" customHeight="true" outlineLevel="0" collapsed="false">
      <c r="D27" s="33"/>
      <c r="E27" s="46"/>
      <c r="F27" s="46"/>
      <c r="G27" s="47"/>
      <c r="H27" s="46"/>
      <c r="I27" s="48"/>
      <c r="J27" s="49"/>
      <c r="K27" s="50"/>
      <c r="Q27" s="16"/>
      <c r="R27" s="16"/>
    </row>
    <row r="28" s="14" customFormat="true" ht="17.25" hidden="false" customHeight="true" outlineLevel="0" collapsed="false">
      <c r="D28" s="32" t="s">
        <v>101</v>
      </c>
      <c r="E28" s="46"/>
      <c r="F28" s="46"/>
      <c r="G28" s="47"/>
      <c r="H28" s="46"/>
      <c r="I28" s="48"/>
      <c r="J28" s="49"/>
      <c r="K28" s="50"/>
      <c r="L28" s="51"/>
      <c r="Q28" s="16"/>
      <c r="R28" s="16"/>
    </row>
    <row r="29" s="14" customFormat="true" ht="17.25" hidden="false" customHeight="true" outlineLevel="0" collapsed="false">
      <c r="D29" s="32"/>
      <c r="E29" s="204" t="s">
        <v>397</v>
      </c>
      <c r="F29" s="40"/>
      <c r="G29" s="41"/>
      <c r="H29" s="40"/>
      <c r="I29" s="42" t="s">
        <v>92</v>
      </c>
      <c r="J29" s="205" t="n">
        <f aca="false">'SDLC-2 Model'!$D$42/1000000</f>
        <v>0</v>
      </c>
      <c r="Q29" s="16"/>
      <c r="R29" s="16"/>
    </row>
    <row r="30" s="14" customFormat="true" ht="17.25" hidden="false" customHeight="true" outlineLevel="0" collapsed="false">
      <c r="D30" s="16"/>
      <c r="E30" s="16"/>
      <c r="F30" s="16"/>
      <c r="G30" s="16"/>
      <c r="H30" s="16"/>
      <c r="I30" s="16"/>
      <c r="J30" s="16"/>
      <c r="Q30" s="16"/>
      <c r="R30" s="16"/>
    </row>
    <row r="31" s="14" customFormat="true" ht="17.25" hidden="true" customHeight="true" outlineLevel="1" collapsed="false">
      <c r="D31" s="32"/>
      <c r="E31" s="33"/>
      <c r="F31" s="33"/>
      <c r="G31" s="33"/>
      <c r="H31" s="32"/>
      <c r="I31" s="42"/>
      <c r="J31" s="34"/>
      <c r="Q31" s="16"/>
      <c r="R31" s="16"/>
    </row>
    <row r="32" s="14" customFormat="true" ht="17.25" hidden="true" customHeight="true" outlineLevel="1" collapsed="false">
      <c r="D32" s="33"/>
      <c r="E32" s="33"/>
      <c r="F32" s="33"/>
      <c r="G32" s="36"/>
      <c r="H32" s="198"/>
      <c r="I32" s="37"/>
      <c r="J32" s="38"/>
      <c r="Q32" s="16"/>
      <c r="R32" s="16"/>
    </row>
    <row r="33" s="14" customFormat="true" ht="17.25" hidden="true" customHeight="true" outlineLevel="1" collapsed="false">
      <c r="D33" s="33"/>
      <c r="E33" s="33"/>
      <c r="F33" s="33"/>
      <c r="G33" s="36"/>
      <c r="H33" s="33"/>
      <c r="I33" s="37"/>
      <c r="J33" s="39"/>
      <c r="Q33" s="16"/>
      <c r="R33" s="16"/>
    </row>
    <row r="34" s="14" customFormat="true" ht="17.25" hidden="true" customHeight="true" outlineLevel="1" collapsed="false">
      <c r="D34" s="33"/>
      <c r="E34" s="40"/>
      <c r="F34" s="40"/>
      <c r="G34" s="41"/>
      <c r="H34" s="40"/>
      <c r="I34" s="42"/>
      <c r="J34" s="53"/>
      <c r="Q34" s="16"/>
      <c r="R34" s="16"/>
    </row>
    <row r="35" s="14" customFormat="true" ht="17.25" hidden="true" customHeight="true" outlineLevel="1" collapsed="false">
      <c r="D35" s="33"/>
      <c r="E35" s="33"/>
      <c r="F35" s="33"/>
      <c r="G35" s="36"/>
      <c r="H35" s="33"/>
      <c r="I35" s="37"/>
      <c r="J35" s="33"/>
      <c r="Q35" s="16"/>
      <c r="R35" s="16"/>
    </row>
    <row r="36" s="14" customFormat="true" ht="17.25" hidden="true" customHeight="true" outlineLevel="1" collapsed="false">
      <c r="D36" s="32"/>
      <c r="E36" s="33"/>
      <c r="F36" s="33"/>
      <c r="G36" s="36"/>
      <c r="H36" s="32"/>
      <c r="I36" s="32"/>
      <c r="J36" s="34"/>
      <c r="Q36" s="16"/>
      <c r="R36" s="16"/>
    </row>
    <row r="37" s="14" customFormat="true" ht="17.25" hidden="true" customHeight="true" outlineLevel="1" collapsed="false">
      <c r="D37" s="33"/>
      <c r="E37" s="33"/>
      <c r="F37" s="33"/>
      <c r="G37" s="36"/>
      <c r="H37" s="33"/>
      <c r="I37" s="37"/>
      <c r="J37" s="54"/>
      <c r="Q37" s="16"/>
      <c r="R37" s="16"/>
    </row>
    <row r="38" s="14" customFormat="true" ht="17.25" hidden="true" customHeight="true" outlineLevel="1" collapsed="false">
      <c r="D38" s="33"/>
      <c r="E38" s="33"/>
      <c r="F38" s="33"/>
      <c r="G38" s="36"/>
      <c r="H38" s="33"/>
      <c r="I38" s="37"/>
      <c r="J38" s="44"/>
      <c r="Q38" s="16"/>
      <c r="R38" s="16"/>
    </row>
    <row r="39" s="14" customFormat="true" ht="17.25" hidden="true" customHeight="true" outlineLevel="1" collapsed="false">
      <c r="D39" s="33"/>
      <c r="E39" s="40"/>
      <c r="F39" s="40"/>
      <c r="G39" s="41"/>
      <c r="H39" s="40"/>
      <c r="I39" s="42"/>
      <c r="J39" s="53"/>
      <c r="Q39" s="16"/>
      <c r="R39" s="16"/>
    </row>
    <row r="40" s="14" customFormat="true" ht="17.25" hidden="true" customHeight="true" outlineLevel="1" collapsed="false">
      <c r="D40" s="33"/>
      <c r="E40" s="46"/>
      <c r="F40" s="46"/>
      <c r="G40" s="47"/>
      <c r="H40" s="46"/>
      <c r="I40" s="48"/>
      <c r="J40" s="49"/>
      <c r="Q40" s="16"/>
      <c r="R40" s="16"/>
    </row>
    <row r="41" s="14" customFormat="true" ht="17.25" hidden="true" customHeight="true" outlineLevel="1" collapsed="false">
      <c r="D41" s="32"/>
      <c r="E41" s="46"/>
      <c r="F41" s="46"/>
      <c r="G41" s="47"/>
      <c r="H41" s="46"/>
      <c r="I41" s="48"/>
      <c r="J41" s="49"/>
      <c r="Q41" s="16"/>
      <c r="R41" s="16"/>
    </row>
    <row r="42" s="14" customFormat="true" ht="17.25" hidden="true" customHeight="true" outlineLevel="1" collapsed="false">
      <c r="D42" s="32"/>
      <c r="E42" s="33"/>
      <c r="F42" s="46"/>
      <c r="G42" s="36"/>
      <c r="H42" s="46"/>
      <c r="I42" s="37"/>
      <c r="J42" s="52"/>
      <c r="Q42" s="16"/>
      <c r="R42" s="16"/>
    </row>
    <row r="43" s="14" customFormat="true" ht="17.25" hidden="true" customHeight="true" outlineLevel="1" collapsed="false">
      <c r="D43" s="32"/>
      <c r="E43" s="33"/>
      <c r="F43" s="46"/>
      <c r="G43" s="36"/>
      <c r="H43" s="46"/>
      <c r="I43" s="37"/>
      <c r="J43" s="55"/>
      <c r="Q43" s="16"/>
      <c r="R43" s="16"/>
    </row>
    <row r="44" s="14" customFormat="true" ht="17.25" hidden="false" customHeight="true" outlineLevel="0" collapsed="false">
      <c r="E44" s="21"/>
      <c r="F44" s="21"/>
      <c r="G44" s="21"/>
      <c r="H44" s="21"/>
      <c r="I44" s="56"/>
      <c r="J44" s="57"/>
      <c r="Q44" s="16"/>
      <c r="R44" s="16"/>
    </row>
    <row r="45" s="14" customFormat="true" ht="17.25" hidden="true" customHeight="true" outlineLevel="1" collapsed="false">
      <c r="D45" s="32"/>
      <c r="E45" s="33"/>
      <c r="F45" s="33"/>
      <c r="G45" s="33"/>
      <c r="H45" s="32"/>
      <c r="I45" s="32"/>
      <c r="J45" s="34"/>
      <c r="Q45" s="16"/>
      <c r="R45" s="16"/>
    </row>
    <row r="46" s="14" customFormat="true" ht="17.25" hidden="true" customHeight="true" outlineLevel="1" collapsed="false">
      <c r="D46" s="33"/>
      <c r="E46" s="33"/>
      <c r="F46" s="33"/>
      <c r="G46" s="36"/>
      <c r="H46" s="33"/>
      <c r="I46" s="37"/>
      <c r="J46" s="38"/>
      <c r="Q46" s="16"/>
      <c r="R46" s="16"/>
    </row>
    <row r="47" s="14" customFormat="true" ht="17.25" hidden="true" customHeight="true" outlineLevel="1" collapsed="false">
      <c r="D47" s="33"/>
      <c r="E47" s="33"/>
      <c r="F47" s="33"/>
      <c r="G47" s="36"/>
      <c r="H47" s="33"/>
      <c r="I47" s="37"/>
      <c r="J47" s="39"/>
      <c r="Q47" s="16"/>
      <c r="R47" s="16"/>
    </row>
    <row r="48" s="14" customFormat="true" ht="17.25" hidden="true" customHeight="true" outlineLevel="1" collapsed="false">
      <c r="D48" s="33"/>
      <c r="E48" s="40"/>
      <c r="F48" s="40"/>
      <c r="G48" s="41"/>
      <c r="H48" s="40"/>
      <c r="I48" s="42"/>
      <c r="J48" s="53"/>
      <c r="Q48" s="16"/>
      <c r="R48" s="16"/>
    </row>
    <row r="49" s="14" customFormat="true" ht="17.25" hidden="true" customHeight="true" outlineLevel="1" collapsed="false">
      <c r="D49" s="33"/>
      <c r="E49" s="33"/>
      <c r="F49" s="33"/>
      <c r="G49" s="36"/>
      <c r="H49" s="33"/>
      <c r="I49" s="37"/>
      <c r="J49" s="33"/>
      <c r="Q49" s="16"/>
      <c r="R49" s="16"/>
    </row>
    <row r="50" s="14" customFormat="true" ht="17.25" hidden="true" customHeight="true" outlineLevel="1" collapsed="false">
      <c r="D50" s="32"/>
      <c r="E50" s="33"/>
      <c r="F50" s="33"/>
      <c r="G50" s="36"/>
      <c r="H50" s="32"/>
      <c r="I50" s="32"/>
      <c r="J50" s="34"/>
      <c r="Q50" s="16"/>
      <c r="R50" s="16"/>
    </row>
    <row r="51" s="14" customFormat="true" ht="17.25" hidden="true" customHeight="true" outlineLevel="1" collapsed="false">
      <c r="D51" s="33"/>
      <c r="E51" s="33"/>
      <c r="F51" s="33"/>
      <c r="G51" s="36"/>
      <c r="H51" s="33"/>
      <c r="I51" s="37"/>
      <c r="J51" s="54"/>
      <c r="Q51" s="16"/>
      <c r="R51" s="16"/>
    </row>
    <row r="52" s="14" customFormat="true" ht="17.25" hidden="true" customHeight="true" outlineLevel="1" collapsed="false">
      <c r="D52" s="33"/>
      <c r="E52" s="33"/>
      <c r="F52" s="33"/>
      <c r="G52" s="36"/>
      <c r="H52" s="33"/>
      <c r="I52" s="37"/>
      <c r="J52" s="44"/>
      <c r="Q52" s="16"/>
      <c r="R52" s="16"/>
    </row>
    <row r="53" s="14" customFormat="true" ht="17.25" hidden="true" customHeight="true" outlineLevel="1" collapsed="false">
      <c r="D53" s="33"/>
      <c r="E53" s="40"/>
      <c r="F53" s="40"/>
      <c r="G53" s="41"/>
      <c r="H53" s="40"/>
      <c r="I53" s="42"/>
      <c r="J53" s="53"/>
      <c r="Q53" s="16"/>
      <c r="R53" s="16"/>
    </row>
    <row r="54" s="14" customFormat="true" ht="17.25" hidden="true" customHeight="true" outlineLevel="1" collapsed="false">
      <c r="D54" s="33"/>
      <c r="E54" s="46"/>
      <c r="F54" s="46"/>
      <c r="G54" s="47"/>
      <c r="H54" s="46"/>
      <c r="I54" s="48"/>
      <c r="J54" s="49"/>
      <c r="Q54" s="16"/>
      <c r="R54" s="16"/>
    </row>
    <row r="55" s="14" customFormat="true" ht="17.25" hidden="true" customHeight="true" outlineLevel="1" collapsed="false">
      <c r="D55" s="32"/>
      <c r="E55" s="46"/>
      <c r="F55" s="46"/>
      <c r="G55" s="47"/>
      <c r="H55" s="46"/>
      <c r="I55" s="48"/>
      <c r="J55" s="49"/>
      <c r="Q55" s="16"/>
      <c r="R55" s="16"/>
    </row>
    <row r="56" s="14" customFormat="true" ht="17.25" hidden="true" customHeight="true" outlineLevel="1" collapsed="false">
      <c r="D56" s="32"/>
      <c r="E56" s="33"/>
      <c r="F56" s="46"/>
      <c r="G56" s="36"/>
      <c r="H56" s="46"/>
      <c r="I56" s="37"/>
      <c r="J56" s="52"/>
      <c r="Q56" s="16"/>
      <c r="R56" s="16"/>
    </row>
    <row r="57" s="14" customFormat="true" ht="17.25" hidden="true" customHeight="true" outlineLevel="1" collapsed="false">
      <c r="D57" s="32"/>
      <c r="E57" s="33"/>
      <c r="F57" s="46"/>
      <c r="G57" s="36"/>
      <c r="H57" s="46"/>
      <c r="I57" s="37"/>
      <c r="J57" s="55"/>
      <c r="Q57" s="16"/>
      <c r="R57" s="16"/>
    </row>
    <row r="58" s="14" customFormat="true" ht="17.25" hidden="true" customHeight="true" outlineLevel="1" collapsed="false">
      <c r="E58" s="21"/>
      <c r="F58" s="21"/>
      <c r="G58" s="21"/>
      <c r="H58" s="21"/>
      <c r="I58" s="56"/>
      <c r="J58" s="57"/>
      <c r="Q58" s="16"/>
      <c r="R58" s="16"/>
    </row>
    <row r="59" s="14" customFormat="true" ht="16.5" hidden="true" customHeight="true" outlineLevel="1" collapsed="false">
      <c r="H59" s="58"/>
      <c r="Q59" s="16"/>
      <c r="R59" s="16"/>
    </row>
    <row r="60" s="14" customFormat="true" ht="16.5" hidden="false" customHeight="true" outlineLevel="0" collapsed="false">
      <c r="C60" s="19" t="s">
        <v>116</v>
      </c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20"/>
      <c r="R60" s="20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/>
      <c r="BG60" s="19"/>
      <c r="BH60" s="19"/>
      <c r="BI60" s="19"/>
      <c r="BJ60" s="19"/>
      <c r="BK60" s="19"/>
      <c r="BL60" s="19"/>
      <c r="BM60" s="19"/>
      <c r="BN60" s="19"/>
      <c r="BO60" s="19"/>
      <c r="BP60" s="19"/>
      <c r="BQ60" s="19"/>
      <c r="BR60" s="19"/>
      <c r="BS60" s="19"/>
      <c r="BT60" s="19"/>
      <c r="BU60" s="19"/>
      <c r="BV60" s="19"/>
      <c r="BW60" s="19"/>
      <c r="BX60" s="19"/>
      <c r="BY60" s="19"/>
      <c r="BZ60" s="19"/>
      <c r="CA60" s="19"/>
      <c r="CC60" s="19" t="s">
        <v>117</v>
      </c>
      <c r="CD60" s="19"/>
      <c r="CE60" s="19"/>
      <c r="CF60" s="19"/>
      <c r="CG60" s="19"/>
      <c r="CI60" s="19" t="s">
        <v>118</v>
      </c>
      <c r="CJ60" s="19"/>
      <c r="CK60" s="19"/>
      <c r="CL60" s="19"/>
      <c r="CM60" s="19"/>
    </row>
    <row r="61" s="14" customFormat="true" ht="16.5" hidden="false" customHeight="true" outlineLevel="0" collapsed="false">
      <c r="Q61" s="16"/>
    </row>
    <row r="62" s="14" customFormat="true" ht="16.5" hidden="false" customHeight="true" outlineLevel="0" collapsed="false">
      <c r="Q62" s="16"/>
      <c r="R62" s="16"/>
      <c r="T62" s="62" t="n">
        <v>2026</v>
      </c>
      <c r="U62" s="129"/>
      <c r="V62" s="129"/>
      <c r="W62" s="129"/>
      <c r="X62" s="129"/>
      <c r="Y62" s="129"/>
      <c r="Z62" s="129"/>
      <c r="AA62" s="129"/>
      <c r="AB62" s="129"/>
      <c r="AC62" s="129"/>
      <c r="AD62" s="129"/>
      <c r="AE62" s="129"/>
      <c r="AF62" s="62" t="n">
        <v>2027</v>
      </c>
      <c r="AG62" s="129"/>
      <c r="AH62" s="129"/>
      <c r="AI62" s="129"/>
      <c r="AJ62" s="129"/>
      <c r="AK62" s="129"/>
      <c r="AL62" s="129"/>
      <c r="AM62" s="129"/>
      <c r="AN62" s="129"/>
      <c r="AO62" s="129"/>
      <c r="AP62" s="129"/>
      <c r="AQ62" s="129"/>
      <c r="AR62" s="62" t="n">
        <v>2028</v>
      </c>
      <c r="AS62" s="129"/>
      <c r="AT62" s="129"/>
      <c r="AU62" s="129"/>
      <c r="AV62" s="129"/>
      <c r="AW62" s="129"/>
      <c r="AX62" s="129"/>
      <c r="AY62" s="129"/>
      <c r="AZ62" s="129"/>
      <c r="BA62" s="129"/>
      <c r="BB62" s="129"/>
      <c r="BC62" s="129"/>
      <c r="BD62" s="62" t="n">
        <v>2029</v>
      </c>
      <c r="BE62" s="129"/>
      <c r="BF62" s="129"/>
      <c r="BG62" s="129"/>
      <c r="BH62" s="129"/>
      <c r="BI62" s="129"/>
      <c r="BJ62" s="129"/>
      <c r="BK62" s="129"/>
      <c r="BL62" s="129"/>
      <c r="BM62" s="129"/>
      <c r="BN62" s="129"/>
      <c r="BO62" s="129"/>
      <c r="BP62" s="62" t="n">
        <v>2030</v>
      </c>
      <c r="BQ62" s="130"/>
      <c r="BR62" s="130"/>
      <c r="BS62" s="130"/>
      <c r="BT62" s="130"/>
      <c r="BU62" s="130"/>
      <c r="BV62" s="130"/>
      <c r="BW62" s="130"/>
      <c r="BX62" s="130"/>
      <c r="BY62" s="130"/>
      <c r="BZ62" s="130"/>
      <c r="CA62" s="130"/>
      <c r="CC62" s="206"/>
      <c r="CD62" s="130"/>
      <c r="CE62" s="130"/>
      <c r="CF62" s="130"/>
      <c r="CG62" s="130"/>
      <c r="CI62" s="206" t="s">
        <v>398</v>
      </c>
      <c r="CJ62" s="206"/>
      <c r="CK62" s="206"/>
      <c r="CL62" s="206"/>
      <c r="CM62" s="206"/>
    </row>
    <row r="63" s="14" customFormat="true" ht="16.5" hidden="false" customHeight="true" outlineLevel="0" collapsed="false">
      <c r="D63" s="30" t="s">
        <v>119</v>
      </c>
      <c r="E63" s="31"/>
      <c r="F63" s="31"/>
      <c r="G63" s="31"/>
      <c r="H63" s="30" t="s">
        <v>120</v>
      </c>
      <c r="I63" s="31" t="s">
        <v>67</v>
      </c>
      <c r="J63" s="31" t="s">
        <v>94</v>
      </c>
      <c r="K63" s="31" t="s">
        <v>121</v>
      </c>
      <c r="L63" s="31" t="n">
        <v>2026</v>
      </c>
      <c r="M63" s="31" t="n">
        <f aca="false">L63+1</f>
        <v>2027</v>
      </c>
      <c r="N63" s="31" t="n">
        <f aca="false">M63+1</f>
        <v>2028</v>
      </c>
      <c r="O63" s="31" t="n">
        <f aca="false">N63+1</f>
        <v>2029</v>
      </c>
      <c r="P63" s="31" t="n">
        <f aca="false">O63+1</f>
        <v>2030</v>
      </c>
      <c r="Q63" s="31" t="s">
        <v>122</v>
      </c>
      <c r="R63" s="31" t="s">
        <v>65</v>
      </c>
      <c r="T63" s="59" t="n">
        <v>46023</v>
      </c>
      <c r="U63" s="60" t="n">
        <f aca="false">EOMONTH(T63, 1)</f>
        <v>46081</v>
      </c>
      <c r="V63" s="60" t="n">
        <f aca="false">EOMONTH(U63, 1)</f>
        <v>46112</v>
      </c>
      <c r="W63" s="60" t="n">
        <f aca="false">EOMONTH(V63, 1)</f>
        <v>46142</v>
      </c>
      <c r="X63" s="60" t="n">
        <f aca="false">EOMONTH(W63, 1)</f>
        <v>46173</v>
      </c>
      <c r="Y63" s="60" t="n">
        <f aca="false">EOMONTH(X63, 1)</f>
        <v>46203</v>
      </c>
      <c r="Z63" s="60" t="n">
        <f aca="false">EOMONTH(Y63, 1)</f>
        <v>46234</v>
      </c>
      <c r="AA63" s="60" t="n">
        <f aca="false">EOMONTH(Z63, 1)</f>
        <v>46265</v>
      </c>
      <c r="AB63" s="60" t="n">
        <f aca="false">EOMONTH(AA63, 1)</f>
        <v>46295</v>
      </c>
      <c r="AC63" s="60" t="n">
        <f aca="false">EOMONTH(AB63, 1)</f>
        <v>46326</v>
      </c>
      <c r="AD63" s="60" t="n">
        <f aca="false">EOMONTH(AC63, 1)</f>
        <v>46356</v>
      </c>
      <c r="AE63" s="61" t="n">
        <f aca="false">EOMONTH(AD63, 1)</f>
        <v>46387</v>
      </c>
      <c r="AF63" s="59" t="n">
        <f aca="false">EOMONTH(AE63, 1)</f>
        <v>46418</v>
      </c>
      <c r="AG63" s="60" t="n">
        <f aca="false">EOMONTH(AF63, 1)</f>
        <v>46446</v>
      </c>
      <c r="AH63" s="60" t="n">
        <f aca="false">EOMONTH(AG63, 1)</f>
        <v>46477</v>
      </c>
      <c r="AI63" s="60" t="n">
        <f aca="false">EOMONTH(AH63, 1)</f>
        <v>46507</v>
      </c>
      <c r="AJ63" s="60" t="n">
        <f aca="false">EOMONTH(AI63, 1)</f>
        <v>46538</v>
      </c>
      <c r="AK63" s="60" t="n">
        <f aca="false">EOMONTH(AJ63, 1)</f>
        <v>46568</v>
      </c>
      <c r="AL63" s="60" t="n">
        <f aca="false">EOMONTH(AK63, 1)</f>
        <v>46599</v>
      </c>
      <c r="AM63" s="60" t="n">
        <f aca="false">EOMONTH(AL63, 1)</f>
        <v>46630</v>
      </c>
      <c r="AN63" s="60" t="n">
        <f aca="false">EOMONTH(AM63, 1)</f>
        <v>46660</v>
      </c>
      <c r="AO63" s="60" t="n">
        <f aca="false">EOMONTH(AN63, 1)</f>
        <v>46691</v>
      </c>
      <c r="AP63" s="60" t="n">
        <f aca="false">EOMONTH(AO63, 1)</f>
        <v>46721</v>
      </c>
      <c r="AQ63" s="61" t="n">
        <f aca="false">EOMONTH(AP63, 1)</f>
        <v>46752</v>
      </c>
      <c r="AR63" s="59" t="n">
        <f aca="false">EOMONTH(AQ63, 1)</f>
        <v>46783</v>
      </c>
      <c r="AS63" s="60" t="n">
        <f aca="false">EOMONTH(AR63, 1)</f>
        <v>46812</v>
      </c>
      <c r="AT63" s="60" t="n">
        <f aca="false">EOMONTH(AS63, 1)</f>
        <v>46843</v>
      </c>
      <c r="AU63" s="60" t="n">
        <f aca="false">EOMONTH(AT63, 1)</f>
        <v>46873</v>
      </c>
      <c r="AV63" s="60" t="n">
        <f aca="false">EOMONTH(AU63, 1)</f>
        <v>46904</v>
      </c>
      <c r="AW63" s="60" t="n">
        <f aca="false">EOMONTH(AV63, 1)</f>
        <v>46934</v>
      </c>
      <c r="AX63" s="60" t="n">
        <f aca="false">EOMONTH(AW63, 1)</f>
        <v>46965</v>
      </c>
      <c r="AY63" s="60" t="n">
        <f aca="false">EOMONTH(AX63, 1)</f>
        <v>46996</v>
      </c>
      <c r="AZ63" s="60" t="n">
        <f aca="false">EOMONTH(AY63, 1)</f>
        <v>47026</v>
      </c>
      <c r="BA63" s="60" t="n">
        <f aca="false">EOMONTH(AZ63, 1)</f>
        <v>47057</v>
      </c>
      <c r="BB63" s="60" t="n">
        <f aca="false">EOMONTH(BA63, 1)</f>
        <v>47087</v>
      </c>
      <c r="BC63" s="61" t="n">
        <f aca="false">EOMONTH(BB63, 1)</f>
        <v>47118</v>
      </c>
      <c r="BD63" s="59" t="n">
        <f aca="false">EOMONTH(BC63, 1)</f>
        <v>47149</v>
      </c>
      <c r="BE63" s="60" t="n">
        <f aca="false">EOMONTH(BD63, 1)</f>
        <v>47177</v>
      </c>
      <c r="BF63" s="60" t="n">
        <f aca="false">EOMONTH(BE63, 1)</f>
        <v>47208</v>
      </c>
      <c r="BG63" s="60" t="n">
        <f aca="false">EOMONTH(BF63, 1)</f>
        <v>47238</v>
      </c>
      <c r="BH63" s="60" t="n">
        <f aca="false">EOMONTH(BG63, 1)</f>
        <v>47269</v>
      </c>
      <c r="BI63" s="60" t="n">
        <f aca="false">EOMONTH(BH63, 1)</f>
        <v>47299</v>
      </c>
      <c r="BJ63" s="60" t="n">
        <f aca="false">EOMONTH(BI63, 1)</f>
        <v>47330</v>
      </c>
      <c r="BK63" s="60" t="n">
        <f aca="false">EOMONTH(BJ63, 1)</f>
        <v>47361</v>
      </c>
      <c r="BL63" s="60" t="n">
        <f aca="false">EOMONTH(BK63, 1)</f>
        <v>47391</v>
      </c>
      <c r="BM63" s="60" t="n">
        <f aca="false">EOMONTH(BL63, 1)</f>
        <v>47422</v>
      </c>
      <c r="BN63" s="60" t="n">
        <f aca="false">EOMONTH(BM63, 1)</f>
        <v>47452</v>
      </c>
      <c r="BO63" s="61" t="n">
        <f aca="false">EOMONTH(BN63, 1)</f>
        <v>47483</v>
      </c>
      <c r="BP63" s="59" t="n">
        <f aca="false">EOMONTH(BO63, 1)</f>
        <v>47514</v>
      </c>
      <c r="BQ63" s="60" t="n">
        <f aca="false">EOMONTH(BP63, 1)</f>
        <v>47542</v>
      </c>
      <c r="BR63" s="60" t="n">
        <f aca="false">EOMONTH(BQ63, 1)</f>
        <v>47573</v>
      </c>
      <c r="BS63" s="60" t="n">
        <f aca="false">EOMONTH(BR63, 1)</f>
        <v>47603</v>
      </c>
      <c r="BT63" s="60" t="n">
        <f aca="false">EOMONTH(BS63, 1)</f>
        <v>47634</v>
      </c>
      <c r="BU63" s="60" t="n">
        <f aca="false">EOMONTH(BT63, 1)</f>
        <v>47664</v>
      </c>
      <c r="BV63" s="60" t="n">
        <f aca="false">EOMONTH(BU63, 1)</f>
        <v>47695</v>
      </c>
      <c r="BW63" s="60" t="n">
        <f aca="false">EOMONTH(BV63, 1)</f>
        <v>47726</v>
      </c>
      <c r="BX63" s="60" t="n">
        <f aca="false">EOMONTH(BW63, 1)</f>
        <v>47756</v>
      </c>
      <c r="BY63" s="60" t="n">
        <f aca="false">EOMONTH(BX63, 1)</f>
        <v>47787</v>
      </c>
      <c r="BZ63" s="60" t="n">
        <f aca="false">EOMONTH(BY63, 1)</f>
        <v>47817</v>
      </c>
      <c r="CA63" s="60" t="n">
        <f aca="false">EOMONTH(BZ63, 1)</f>
        <v>47848</v>
      </c>
      <c r="CC63" s="62" t="n">
        <v>2026</v>
      </c>
      <c r="CD63" s="62" t="n">
        <f aca="false">CC63+1</f>
        <v>2027</v>
      </c>
      <c r="CE63" s="62" t="n">
        <f aca="false">CD63+1</f>
        <v>2028</v>
      </c>
      <c r="CF63" s="62" t="n">
        <f aca="false">CE63+1</f>
        <v>2029</v>
      </c>
      <c r="CG63" s="62" t="n">
        <f aca="false">CF63+1</f>
        <v>2030</v>
      </c>
      <c r="CI63" s="62" t="n">
        <v>2026</v>
      </c>
      <c r="CJ63" s="62" t="n">
        <f aca="false">CI63+1</f>
        <v>2027</v>
      </c>
      <c r="CK63" s="62" t="n">
        <f aca="false">CJ63+1</f>
        <v>2028</v>
      </c>
      <c r="CL63" s="62" t="n">
        <f aca="false">CK63+1</f>
        <v>2029</v>
      </c>
      <c r="CM63" s="62" t="n">
        <f aca="false">CL63+1</f>
        <v>2030</v>
      </c>
    </row>
    <row r="64" s="14" customFormat="true" ht="16.5" hidden="false" customHeight="true" outlineLevel="0" collapsed="false">
      <c r="D64" s="63"/>
      <c r="E64" s="64" t="s">
        <v>92</v>
      </c>
      <c r="H64" s="16"/>
      <c r="I64" s="65" t="str">
        <f aca="false">$H$18</f>
        <v>TTM 6/1/26</v>
      </c>
      <c r="J64" s="65" t="s">
        <v>124</v>
      </c>
      <c r="K64" s="65" t="s">
        <v>125</v>
      </c>
      <c r="L64" s="66"/>
      <c r="M64" s="66"/>
      <c r="N64" s="66"/>
      <c r="O64" s="66"/>
      <c r="P64" s="66"/>
      <c r="Q64" s="16"/>
      <c r="R64" s="16"/>
      <c r="T64" s="66"/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7"/>
      <c r="AG64" s="66"/>
      <c r="AH64" s="66"/>
      <c r="AI64" s="66"/>
      <c r="AJ64" s="66"/>
      <c r="AK64" s="66"/>
      <c r="AL64" s="66"/>
      <c r="AM64" s="66"/>
      <c r="AN64" s="66"/>
      <c r="AO64" s="66"/>
      <c r="AP64" s="66"/>
      <c r="AQ64" s="66"/>
      <c r="AR64" s="67"/>
      <c r="AS64" s="66"/>
      <c r="AT64" s="66"/>
      <c r="AU64" s="66"/>
      <c r="AV64" s="66"/>
      <c r="AW64" s="66"/>
      <c r="AX64" s="66"/>
      <c r="AY64" s="66"/>
      <c r="AZ64" s="66"/>
      <c r="BA64" s="66"/>
      <c r="BB64" s="66"/>
      <c r="BC64" s="66"/>
      <c r="BD64" s="67"/>
      <c r="BE64" s="66"/>
      <c r="BF64" s="66"/>
      <c r="BG64" s="66"/>
      <c r="BH64" s="66"/>
      <c r="BI64" s="66"/>
      <c r="BJ64" s="66"/>
      <c r="BK64" s="66"/>
      <c r="BL64" s="66"/>
      <c r="BM64" s="66"/>
      <c r="BN64" s="66"/>
      <c r="BO64" s="66"/>
      <c r="BP64" s="67"/>
      <c r="BQ64" s="66"/>
      <c r="BR64" s="66"/>
      <c r="BS64" s="66"/>
      <c r="BT64" s="66"/>
      <c r="BU64" s="66"/>
      <c r="BV64" s="66"/>
      <c r="BW64" s="66"/>
      <c r="BX64" s="66"/>
      <c r="BY64" s="66"/>
      <c r="BZ64" s="66"/>
      <c r="CA64" s="66"/>
    </row>
    <row r="65" s="14" customFormat="true" ht="16.5" hidden="false" customHeight="true" outlineLevel="0" collapsed="false">
      <c r="E65" s="68" t="s">
        <v>126</v>
      </c>
      <c r="F65" s="21"/>
      <c r="G65" s="21"/>
      <c r="H65" s="16"/>
      <c r="I65" s="65"/>
      <c r="J65" s="65"/>
      <c r="K65" s="65"/>
      <c r="Q65" s="16"/>
      <c r="R65" s="16"/>
      <c r="AF65" s="69"/>
      <c r="AR65" s="69"/>
      <c r="BD65" s="69"/>
      <c r="BP65" s="69"/>
    </row>
    <row r="66" s="14" customFormat="true" ht="16.5" hidden="false" customHeight="true" outlineLevel="0" collapsed="false">
      <c r="E66" s="70"/>
      <c r="H66" s="71"/>
      <c r="I66" s="76" t="n">
        <v>0</v>
      </c>
      <c r="J66" s="76" t="n">
        <v>0</v>
      </c>
      <c r="K66" s="207" t="n">
        <f aca="false">J66-I66</f>
        <v>0</v>
      </c>
      <c r="L66" s="76"/>
      <c r="M66" s="76"/>
      <c r="N66" s="76"/>
      <c r="O66" s="76"/>
      <c r="P66" s="77"/>
      <c r="Q66" s="75"/>
      <c r="R66" s="16" t="str">
        <f aca="false">IF(K66=P66, "", "Error")</f>
        <v/>
      </c>
      <c r="T66" s="76"/>
      <c r="U66" s="76"/>
      <c r="V66" s="76"/>
      <c r="W66" s="76"/>
      <c r="X66" s="76"/>
      <c r="Y66" s="76"/>
      <c r="Z66" s="76"/>
      <c r="AA66" s="76"/>
      <c r="AB66" s="76"/>
      <c r="AC66" s="76"/>
      <c r="AD66" s="76"/>
      <c r="AE66" s="77"/>
      <c r="AF66" s="78"/>
      <c r="AG66" s="76"/>
      <c r="AH66" s="76"/>
      <c r="AI66" s="76"/>
      <c r="AJ66" s="76"/>
      <c r="AK66" s="76"/>
      <c r="AL66" s="76"/>
      <c r="AM66" s="76"/>
      <c r="AN66" s="76"/>
      <c r="AO66" s="76"/>
      <c r="AP66" s="76"/>
      <c r="AQ66" s="77"/>
      <c r="AR66" s="78"/>
      <c r="AS66" s="76"/>
      <c r="AT66" s="76"/>
      <c r="AU66" s="76"/>
      <c r="AV66" s="76"/>
      <c r="AW66" s="76"/>
      <c r="AX66" s="76"/>
      <c r="AY66" s="76"/>
      <c r="AZ66" s="76"/>
      <c r="BA66" s="76"/>
      <c r="BB66" s="76"/>
      <c r="BC66" s="77"/>
      <c r="BD66" s="78"/>
      <c r="BE66" s="76"/>
      <c r="BF66" s="76"/>
      <c r="BG66" s="76"/>
      <c r="BH66" s="76"/>
      <c r="BI66" s="76"/>
      <c r="BJ66" s="76"/>
      <c r="BK66" s="76"/>
      <c r="BL66" s="76"/>
      <c r="BM66" s="76"/>
      <c r="BN66" s="76"/>
      <c r="BO66" s="77"/>
      <c r="BP66" s="78"/>
      <c r="BQ66" s="76"/>
      <c r="BR66" s="76"/>
      <c r="BS66" s="76"/>
      <c r="BT66" s="76"/>
      <c r="BU66" s="76"/>
      <c r="BV66" s="76"/>
      <c r="BW66" s="76"/>
      <c r="BX66" s="76"/>
      <c r="BY66" s="76"/>
      <c r="BZ66" s="76"/>
      <c r="CA66" s="76"/>
      <c r="CC66" s="79" t="n">
        <f aca="false">SUMIFS($T66:$CA66, $T$1:$CA$1, CC$63)</f>
        <v>0</v>
      </c>
      <c r="CD66" s="79" t="n">
        <f aca="false">SUMIFS($T66:$CA66, $T$1:$CA$1, CD$63)</f>
        <v>0</v>
      </c>
      <c r="CE66" s="79" t="n">
        <f aca="false">SUMIFS($T66:$CA66, $T$1:$CA$1, CE$63)</f>
        <v>0</v>
      </c>
      <c r="CF66" s="79" t="n">
        <f aca="false">SUMIFS($T66:$CA66, $T$1:$CA$1, CF$63)</f>
        <v>0</v>
      </c>
      <c r="CG66" s="79" t="n">
        <f aca="false">SUMIFS($T66:$CA66, $T$1:$CA$1, CG$63)</f>
        <v>0</v>
      </c>
      <c r="CI66" s="79" t="n">
        <f aca="false">CC66=L66</f>
        <v>1</v>
      </c>
      <c r="CJ66" s="79" t="n">
        <f aca="false">CD66=M66</f>
        <v>1</v>
      </c>
      <c r="CK66" s="79" t="n">
        <f aca="false">CE66=N66</f>
        <v>1</v>
      </c>
      <c r="CL66" s="79" t="n">
        <f aca="false">CF66=O66</f>
        <v>1</v>
      </c>
      <c r="CM66" s="79" t="n">
        <f aca="false">CG66=P66</f>
        <v>1</v>
      </c>
    </row>
    <row r="67" s="14" customFormat="true" ht="16.5" hidden="false" customHeight="true" outlineLevel="0" collapsed="false">
      <c r="E67" s="70"/>
      <c r="H67" s="71"/>
      <c r="I67" s="76" t="n">
        <v>0</v>
      </c>
      <c r="J67" s="76" t="n">
        <v>0</v>
      </c>
      <c r="K67" s="207" t="n">
        <f aca="false">J67-I67</f>
        <v>0</v>
      </c>
      <c r="L67" s="76"/>
      <c r="M67" s="76"/>
      <c r="N67" s="76"/>
      <c r="O67" s="76"/>
      <c r="P67" s="77"/>
      <c r="Q67" s="75"/>
      <c r="R67" s="16" t="str">
        <f aca="false">IF(K67=P67, "", "Error")</f>
        <v/>
      </c>
      <c r="T67" s="76"/>
      <c r="U67" s="76"/>
      <c r="V67" s="76"/>
      <c r="W67" s="76"/>
      <c r="X67" s="76"/>
      <c r="Y67" s="76"/>
      <c r="Z67" s="76"/>
      <c r="AA67" s="76"/>
      <c r="AB67" s="76"/>
      <c r="AC67" s="76"/>
      <c r="AD67" s="76"/>
      <c r="AE67" s="77"/>
      <c r="AF67" s="78"/>
      <c r="AG67" s="76"/>
      <c r="AH67" s="76"/>
      <c r="AI67" s="76"/>
      <c r="AJ67" s="76"/>
      <c r="AK67" s="76"/>
      <c r="AL67" s="76"/>
      <c r="AM67" s="76"/>
      <c r="AN67" s="76"/>
      <c r="AO67" s="76"/>
      <c r="AP67" s="76"/>
      <c r="AQ67" s="77"/>
      <c r="AR67" s="78"/>
      <c r="AS67" s="76"/>
      <c r="AT67" s="76"/>
      <c r="AU67" s="76"/>
      <c r="AV67" s="76"/>
      <c r="AW67" s="76"/>
      <c r="AX67" s="76"/>
      <c r="AY67" s="76"/>
      <c r="AZ67" s="76"/>
      <c r="BA67" s="76"/>
      <c r="BB67" s="76"/>
      <c r="BC67" s="77"/>
      <c r="BD67" s="78"/>
      <c r="BE67" s="76"/>
      <c r="BF67" s="76"/>
      <c r="BG67" s="76"/>
      <c r="BH67" s="76"/>
      <c r="BI67" s="76"/>
      <c r="BJ67" s="76"/>
      <c r="BK67" s="76"/>
      <c r="BL67" s="76"/>
      <c r="BM67" s="76"/>
      <c r="BN67" s="76"/>
      <c r="BO67" s="77"/>
      <c r="BP67" s="78"/>
      <c r="BQ67" s="76"/>
      <c r="BR67" s="76"/>
      <c r="BS67" s="76"/>
      <c r="BT67" s="76"/>
      <c r="BU67" s="76"/>
      <c r="BV67" s="76"/>
      <c r="BW67" s="76"/>
      <c r="BX67" s="76"/>
      <c r="BY67" s="76"/>
      <c r="BZ67" s="76"/>
      <c r="CA67" s="76"/>
      <c r="CC67" s="79" t="n">
        <f aca="false">SUMIFS($T67:$CA67, $T$1:$CA$1, CC$63)</f>
        <v>0</v>
      </c>
      <c r="CD67" s="79" t="n">
        <f aca="false">SUMIFS($T67:$CA67, $T$1:$CA$1, CD$63)</f>
        <v>0</v>
      </c>
      <c r="CE67" s="79" t="n">
        <f aca="false">SUMIFS($T67:$CA67, $T$1:$CA$1, CE$63)</f>
        <v>0</v>
      </c>
      <c r="CF67" s="79" t="n">
        <f aca="false">SUMIFS($T67:$CA67, $T$1:$CA$1, CF$63)</f>
        <v>0</v>
      </c>
      <c r="CG67" s="79" t="n">
        <f aca="false">SUMIFS($T67:$CA67, $T$1:$CA$1, CG$63)</f>
        <v>0</v>
      </c>
      <c r="CI67" s="79" t="n">
        <f aca="false">CC67=L67</f>
        <v>1</v>
      </c>
      <c r="CJ67" s="79" t="n">
        <f aca="false">CD67=M67</f>
        <v>1</v>
      </c>
      <c r="CK67" s="79" t="n">
        <f aca="false">CE67=N67</f>
        <v>1</v>
      </c>
      <c r="CL67" s="79" t="n">
        <f aca="false">CF67=O67</f>
        <v>1</v>
      </c>
      <c r="CM67" s="79" t="n">
        <f aca="false">CG67=P67</f>
        <v>1</v>
      </c>
    </row>
    <row r="68" s="14" customFormat="true" ht="16.5" hidden="false" customHeight="true" outlineLevel="0" collapsed="false">
      <c r="E68" s="80" t="s">
        <v>127</v>
      </c>
      <c r="H68" s="71"/>
      <c r="I68" s="82" t="n">
        <f aca="false">SUM(I66:I67)</f>
        <v>0</v>
      </c>
      <c r="J68" s="82" t="n">
        <f aca="false">SUM(J66:J67)</f>
        <v>0</v>
      </c>
      <c r="K68" s="82" t="n">
        <f aca="false">SUM(K66:K67)</f>
        <v>0</v>
      </c>
      <c r="L68" s="82" t="n">
        <f aca="false">SUM(L66:L67)</f>
        <v>0</v>
      </c>
      <c r="M68" s="82" t="n">
        <f aca="false">SUM(M66:M67)</f>
        <v>0</v>
      </c>
      <c r="N68" s="82" t="n">
        <f aca="false">SUM(N66:N67)</f>
        <v>0</v>
      </c>
      <c r="O68" s="82" t="n">
        <f aca="false">SUM(O66:O67)</f>
        <v>0</v>
      </c>
      <c r="P68" s="82" t="n">
        <f aca="false">SUM(P66:P67)</f>
        <v>0</v>
      </c>
      <c r="Q68" s="16"/>
      <c r="R68" s="16"/>
      <c r="T68" s="82" t="n">
        <f aca="false">SUM(T66:T67)</f>
        <v>0</v>
      </c>
      <c r="U68" s="82" t="n">
        <f aca="false">SUM(U66:U67)</f>
        <v>0</v>
      </c>
      <c r="V68" s="82" t="n">
        <f aca="false">SUM(V66:V67)</f>
        <v>0</v>
      </c>
      <c r="W68" s="82" t="n">
        <f aca="false">SUM(W66:W67)</f>
        <v>0</v>
      </c>
      <c r="X68" s="82" t="n">
        <f aca="false">SUM(X66:X67)</f>
        <v>0</v>
      </c>
      <c r="Y68" s="82" t="n">
        <f aca="false">SUM(Y66:Y67)</f>
        <v>0</v>
      </c>
      <c r="Z68" s="82" t="n">
        <f aca="false">SUM(Z66:Z67)</f>
        <v>0</v>
      </c>
      <c r="AA68" s="82" t="n">
        <f aca="false">SUM(AA66:AA67)</f>
        <v>0</v>
      </c>
      <c r="AB68" s="82" t="n">
        <f aca="false">SUM(AB66:AB67)</f>
        <v>0</v>
      </c>
      <c r="AC68" s="82" t="n">
        <f aca="false">SUM(AC66:AC67)</f>
        <v>0</v>
      </c>
      <c r="AD68" s="82" t="n">
        <f aca="false">SUM(AD66:AD67)</f>
        <v>0</v>
      </c>
      <c r="AE68" s="82" t="n">
        <f aca="false">SUM(AE66:AE67)</f>
        <v>0</v>
      </c>
      <c r="AF68" s="83" t="n">
        <f aca="false">SUM(AF66:AF67)</f>
        <v>0</v>
      </c>
      <c r="AG68" s="82" t="n">
        <f aca="false">SUM(AG66:AG67)</f>
        <v>0</v>
      </c>
      <c r="AH68" s="82" t="n">
        <f aca="false">SUM(AH66:AH67)</f>
        <v>0</v>
      </c>
      <c r="AI68" s="82" t="n">
        <f aca="false">SUM(AI66:AI67)</f>
        <v>0</v>
      </c>
      <c r="AJ68" s="82" t="n">
        <f aca="false">SUM(AJ66:AJ67)</f>
        <v>0</v>
      </c>
      <c r="AK68" s="82" t="n">
        <f aca="false">SUM(AK66:AK67)</f>
        <v>0</v>
      </c>
      <c r="AL68" s="82" t="n">
        <f aca="false">SUM(AL66:AL67)</f>
        <v>0</v>
      </c>
      <c r="AM68" s="82" t="n">
        <f aca="false">SUM(AM66:AM67)</f>
        <v>0</v>
      </c>
      <c r="AN68" s="82" t="n">
        <f aca="false">SUM(AN66:AN67)</f>
        <v>0</v>
      </c>
      <c r="AO68" s="82" t="n">
        <f aca="false">SUM(AO66:AO67)</f>
        <v>0</v>
      </c>
      <c r="AP68" s="82" t="n">
        <f aca="false">SUM(AP66:AP67)</f>
        <v>0</v>
      </c>
      <c r="AQ68" s="82" t="n">
        <f aca="false">SUM(AQ66:AQ67)</f>
        <v>0</v>
      </c>
      <c r="AR68" s="83" t="n">
        <f aca="false">SUM(AR66:AR67)</f>
        <v>0</v>
      </c>
      <c r="AS68" s="82" t="n">
        <f aca="false">SUM(AS66:AS67)</f>
        <v>0</v>
      </c>
      <c r="AT68" s="82" t="n">
        <f aca="false">SUM(AT66:AT67)</f>
        <v>0</v>
      </c>
      <c r="AU68" s="82" t="n">
        <f aca="false">SUM(AU66:AU67)</f>
        <v>0</v>
      </c>
      <c r="AV68" s="82" t="n">
        <f aca="false">SUM(AV66:AV67)</f>
        <v>0</v>
      </c>
      <c r="AW68" s="82" t="n">
        <f aca="false">SUM(AW66:AW67)</f>
        <v>0</v>
      </c>
      <c r="AX68" s="82" t="n">
        <f aca="false">SUM(AX66:AX67)</f>
        <v>0</v>
      </c>
      <c r="AY68" s="82" t="n">
        <f aca="false">SUM(AY66:AY67)</f>
        <v>0</v>
      </c>
      <c r="AZ68" s="82" t="n">
        <f aca="false">SUM(AZ66:AZ67)</f>
        <v>0</v>
      </c>
      <c r="BA68" s="82" t="n">
        <f aca="false">SUM(BA66:BA67)</f>
        <v>0</v>
      </c>
      <c r="BB68" s="82" t="n">
        <f aca="false">SUM(BB66:BB67)</f>
        <v>0</v>
      </c>
      <c r="BC68" s="82" t="n">
        <f aca="false">SUM(BC66:BC67)</f>
        <v>0</v>
      </c>
      <c r="BD68" s="83" t="n">
        <f aca="false">SUM(BD66:BD67)</f>
        <v>0</v>
      </c>
      <c r="BE68" s="82" t="n">
        <f aca="false">SUM(BE66:BE67)</f>
        <v>0</v>
      </c>
      <c r="BF68" s="82" t="n">
        <f aca="false">SUM(BF66:BF67)</f>
        <v>0</v>
      </c>
      <c r="BG68" s="82" t="n">
        <f aca="false">SUM(BG66:BG67)</f>
        <v>0</v>
      </c>
      <c r="BH68" s="82" t="n">
        <f aca="false">SUM(BH66:BH67)</f>
        <v>0</v>
      </c>
      <c r="BI68" s="82" t="n">
        <f aca="false">SUM(BI66:BI67)</f>
        <v>0</v>
      </c>
      <c r="BJ68" s="82" t="n">
        <f aca="false">SUM(BJ66:BJ67)</f>
        <v>0</v>
      </c>
      <c r="BK68" s="82" t="n">
        <f aca="false">SUM(BK66:BK67)</f>
        <v>0</v>
      </c>
      <c r="BL68" s="82" t="n">
        <f aca="false">SUM(BL66:BL67)</f>
        <v>0</v>
      </c>
      <c r="BM68" s="82" t="n">
        <f aca="false">SUM(BM66:BM67)</f>
        <v>0</v>
      </c>
      <c r="BN68" s="82" t="n">
        <f aca="false">SUM(BN66:BN67)</f>
        <v>0</v>
      </c>
      <c r="BO68" s="82" t="n">
        <f aca="false">SUM(BO66:BO67)</f>
        <v>0</v>
      </c>
      <c r="BP68" s="83" t="n">
        <f aca="false">SUM(BP66:BP67)</f>
        <v>0</v>
      </c>
      <c r="BQ68" s="82" t="n">
        <f aca="false">SUM(BQ66:BQ67)</f>
        <v>0</v>
      </c>
      <c r="BR68" s="82" t="n">
        <f aca="false">SUM(BR66:BR67)</f>
        <v>0</v>
      </c>
      <c r="BS68" s="82" t="n">
        <f aca="false">SUM(BS66:BS67)</f>
        <v>0</v>
      </c>
      <c r="BT68" s="82" t="n">
        <f aca="false">SUM(BT66:BT67)</f>
        <v>0</v>
      </c>
      <c r="BU68" s="82" t="n">
        <f aca="false">SUM(BU66:BU67)</f>
        <v>0</v>
      </c>
      <c r="BV68" s="82" t="n">
        <f aca="false">SUM(BV66:BV67)</f>
        <v>0</v>
      </c>
      <c r="BW68" s="82" t="n">
        <f aca="false">SUM(BW66:BW67)</f>
        <v>0</v>
      </c>
      <c r="BX68" s="82" t="n">
        <f aca="false">SUM(BX66:BX67)</f>
        <v>0</v>
      </c>
      <c r="BY68" s="82" t="n">
        <f aca="false">SUM(BY66:BY67)</f>
        <v>0</v>
      </c>
      <c r="BZ68" s="82" t="n">
        <f aca="false">SUM(BZ66:BZ67)</f>
        <v>0</v>
      </c>
      <c r="CA68" s="82" t="n">
        <f aca="false">SUM(CA66:CA67)</f>
        <v>0</v>
      </c>
      <c r="CC68" s="84" t="n">
        <f aca="false">SUM(CC66:CC67)</f>
        <v>0</v>
      </c>
      <c r="CD68" s="84" t="n">
        <f aca="false">SUM(CD66:CD67)</f>
        <v>0</v>
      </c>
      <c r="CE68" s="84" t="n">
        <f aca="false">SUM(CE66:CE67)</f>
        <v>0</v>
      </c>
      <c r="CF68" s="84" t="n">
        <f aca="false">SUM(CF66:CF67)</f>
        <v>0</v>
      </c>
      <c r="CG68" s="84" t="n">
        <f aca="false">SUM(CG66:CG67)</f>
        <v>0</v>
      </c>
      <c r="CI68" s="84" t="n">
        <f aca="false">CC68=L68</f>
        <v>1</v>
      </c>
      <c r="CJ68" s="84" t="n">
        <f aca="false">CD68=M68</f>
        <v>1</v>
      </c>
      <c r="CK68" s="84" t="n">
        <f aca="false">CE68=N68</f>
        <v>1</v>
      </c>
      <c r="CL68" s="84" t="n">
        <f aca="false">CF68=O68</f>
        <v>1</v>
      </c>
      <c r="CM68" s="84" t="n">
        <f aca="false">CG68=P68</f>
        <v>1</v>
      </c>
    </row>
    <row r="69" s="14" customFormat="true" ht="16.5" hidden="false" customHeight="true" outlineLevel="0" collapsed="false">
      <c r="E69" s="85"/>
      <c r="H69" s="86"/>
      <c r="I69" s="88"/>
      <c r="J69" s="88"/>
      <c r="K69" s="88"/>
      <c r="L69" s="88"/>
      <c r="M69" s="88"/>
      <c r="N69" s="88"/>
      <c r="O69" s="88"/>
      <c r="P69" s="88"/>
      <c r="Q69" s="16"/>
      <c r="R69" s="16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9"/>
      <c r="AG69" s="88"/>
      <c r="AH69" s="88"/>
      <c r="AI69" s="88"/>
      <c r="AJ69" s="88"/>
      <c r="AK69" s="88"/>
      <c r="AL69" s="88"/>
      <c r="AM69" s="88"/>
      <c r="AN69" s="88"/>
      <c r="AO69" s="88"/>
      <c r="AP69" s="88"/>
      <c r="AQ69" s="88"/>
      <c r="AR69" s="89"/>
      <c r="AS69" s="88"/>
      <c r="AT69" s="88"/>
      <c r="AU69" s="88"/>
      <c r="AV69" s="88"/>
      <c r="AW69" s="88"/>
      <c r="AX69" s="88"/>
      <c r="AY69" s="88"/>
      <c r="AZ69" s="88"/>
      <c r="BA69" s="88"/>
      <c r="BB69" s="88"/>
      <c r="BC69" s="88"/>
      <c r="BD69" s="89"/>
      <c r="BE69" s="88"/>
      <c r="BF69" s="88"/>
      <c r="BG69" s="88"/>
      <c r="BH69" s="88"/>
      <c r="BI69" s="88"/>
      <c r="BJ69" s="88"/>
      <c r="BK69" s="88"/>
      <c r="BL69" s="88"/>
      <c r="BM69" s="88"/>
      <c r="BN69" s="88"/>
      <c r="BO69" s="88"/>
      <c r="BP69" s="89"/>
      <c r="BQ69" s="88"/>
      <c r="BR69" s="88"/>
      <c r="BS69" s="88"/>
      <c r="BT69" s="88"/>
      <c r="BU69" s="88"/>
      <c r="BV69" s="88"/>
      <c r="BW69" s="88"/>
      <c r="BX69" s="88"/>
      <c r="BY69" s="88"/>
      <c r="BZ69" s="88"/>
      <c r="CA69" s="88"/>
      <c r="CC69" s="90"/>
      <c r="CD69" s="90"/>
      <c r="CE69" s="90"/>
      <c r="CF69" s="90"/>
      <c r="CG69" s="90"/>
      <c r="CI69" s="90"/>
      <c r="CJ69" s="90"/>
      <c r="CK69" s="90"/>
      <c r="CL69" s="90"/>
      <c r="CM69" s="90"/>
    </row>
    <row r="70" s="14" customFormat="true" ht="16.5" hidden="false" customHeight="true" outlineLevel="0" collapsed="false">
      <c r="E70" s="21" t="s">
        <v>128</v>
      </c>
      <c r="H70" s="71"/>
      <c r="I70" s="88"/>
      <c r="J70" s="88"/>
      <c r="K70" s="88"/>
      <c r="L70" s="88"/>
      <c r="M70" s="88"/>
      <c r="N70" s="88"/>
      <c r="O70" s="88"/>
      <c r="P70" s="88"/>
      <c r="Q70" s="16"/>
      <c r="R70" s="16"/>
      <c r="T70" s="88"/>
      <c r="U70" s="88"/>
      <c r="V70" s="88"/>
      <c r="W70" s="88"/>
      <c r="X70" s="88"/>
      <c r="Y70" s="88"/>
      <c r="Z70" s="88"/>
      <c r="AA70" s="88"/>
      <c r="AB70" s="88"/>
      <c r="AC70" s="88"/>
      <c r="AD70" s="88"/>
      <c r="AE70" s="88"/>
      <c r="AF70" s="89"/>
      <c r="AG70" s="88"/>
      <c r="AH70" s="88"/>
      <c r="AI70" s="88"/>
      <c r="AJ70" s="88"/>
      <c r="AK70" s="88"/>
      <c r="AL70" s="88"/>
      <c r="AM70" s="88"/>
      <c r="AN70" s="88"/>
      <c r="AO70" s="88"/>
      <c r="AP70" s="88"/>
      <c r="AQ70" s="88"/>
      <c r="AR70" s="89"/>
      <c r="AS70" s="88"/>
      <c r="AT70" s="88"/>
      <c r="AU70" s="88"/>
      <c r="AV70" s="88"/>
      <c r="AW70" s="88"/>
      <c r="AX70" s="88"/>
      <c r="AY70" s="88"/>
      <c r="AZ70" s="88"/>
      <c r="BA70" s="88"/>
      <c r="BB70" s="88"/>
      <c r="BC70" s="88"/>
      <c r="BD70" s="89"/>
      <c r="BE70" s="88"/>
      <c r="BF70" s="88"/>
      <c r="BG70" s="88"/>
      <c r="BH70" s="88"/>
      <c r="BI70" s="88"/>
      <c r="BJ70" s="88"/>
      <c r="BK70" s="88"/>
      <c r="BL70" s="88"/>
      <c r="BM70" s="88"/>
      <c r="BN70" s="88"/>
      <c r="BO70" s="88"/>
      <c r="BP70" s="89"/>
      <c r="BQ70" s="88"/>
      <c r="BR70" s="88"/>
      <c r="BS70" s="88"/>
      <c r="BT70" s="88"/>
      <c r="BU70" s="88"/>
      <c r="BV70" s="88"/>
      <c r="BW70" s="88"/>
      <c r="BX70" s="88"/>
      <c r="BY70" s="88"/>
      <c r="BZ70" s="88"/>
      <c r="CA70" s="88"/>
      <c r="CC70" s="90"/>
      <c r="CD70" s="90"/>
      <c r="CE70" s="90"/>
      <c r="CF70" s="90"/>
      <c r="CG70" s="90"/>
      <c r="CI70" s="90"/>
      <c r="CJ70" s="90"/>
      <c r="CK70" s="90"/>
      <c r="CL70" s="90"/>
      <c r="CM70" s="90"/>
    </row>
    <row r="71" s="14" customFormat="true" ht="16.5" hidden="false" customHeight="true" outlineLevel="0" collapsed="false">
      <c r="E71" s="91"/>
      <c r="H71" s="71"/>
      <c r="I71" s="91"/>
      <c r="J71" s="91"/>
      <c r="K71" s="207" t="n">
        <f aca="false">I71-J71</f>
        <v>0</v>
      </c>
      <c r="L71" s="91"/>
      <c r="M71" s="91"/>
      <c r="N71" s="91"/>
      <c r="O71" s="91"/>
      <c r="P71" s="91"/>
      <c r="Q71" s="93"/>
      <c r="R71" s="16" t="str">
        <f aca="false">IF(K71=P71, "", "Error")</f>
        <v/>
      </c>
      <c r="T71" s="91"/>
      <c r="U71" s="91"/>
      <c r="V71" s="91"/>
      <c r="W71" s="91"/>
      <c r="X71" s="91"/>
      <c r="Y71" s="91"/>
      <c r="Z71" s="91"/>
      <c r="AA71" s="91"/>
      <c r="AB71" s="91"/>
      <c r="AC71" s="91"/>
      <c r="AD71" s="91"/>
      <c r="AE71" s="94"/>
      <c r="AF71" s="95"/>
      <c r="AG71" s="91"/>
      <c r="AH71" s="91"/>
      <c r="AI71" s="91"/>
      <c r="AJ71" s="91"/>
      <c r="AK71" s="91"/>
      <c r="AL71" s="91"/>
      <c r="AM71" s="91"/>
      <c r="AN71" s="91"/>
      <c r="AO71" s="91"/>
      <c r="AP71" s="91"/>
      <c r="AQ71" s="94"/>
      <c r="AR71" s="95"/>
      <c r="AS71" s="91"/>
      <c r="AT71" s="91"/>
      <c r="AU71" s="91"/>
      <c r="AV71" s="91"/>
      <c r="AW71" s="91"/>
      <c r="AX71" s="91"/>
      <c r="AY71" s="91"/>
      <c r="AZ71" s="91"/>
      <c r="BA71" s="91"/>
      <c r="BB71" s="91"/>
      <c r="BC71" s="94"/>
      <c r="BD71" s="95"/>
      <c r="BE71" s="91"/>
      <c r="BF71" s="91"/>
      <c r="BG71" s="91"/>
      <c r="BH71" s="91"/>
      <c r="BI71" s="91"/>
      <c r="BJ71" s="91"/>
      <c r="BK71" s="91"/>
      <c r="BL71" s="91"/>
      <c r="BM71" s="91"/>
      <c r="BN71" s="91"/>
      <c r="BO71" s="94"/>
      <c r="BP71" s="95"/>
      <c r="BQ71" s="91"/>
      <c r="BR71" s="91"/>
      <c r="BS71" s="91"/>
      <c r="BT71" s="91"/>
      <c r="BU71" s="91"/>
      <c r="BV71" s="91"/>
      <c r="BW71" s="91"/>
      <c r="BX71" s="91"/>
      <c r="BY71" s="91"/>
      <c r="BZ71" s="91"/>
      <c r="CA71" s="91"/>
      <c r="CC71" s="79" t="n">
        <f aca="false">SUMIFS($T71:$CA71, $T$1:$CA$1, CC$63)</f>
        <v>0</v>
      </c>
      <c r="CD71" s="79" t="n">
        <f aca="false">SUMIFS($T71:$CA71, $T$1:$CA$1, CD$63)</f>
        <v>0</v>
      </c>
      <c r="CE71" s="79" t="n">
        <f aca="false">SUMIFS($T71:$CA71, $T$1:$CA$1, CE$63)</f>
        <v>0</v>
      </c>
      <c r="CF71" s="79" t="n">
        <f aca="false">SUMIFS($T71:$CA71, $T$1:$CA$1, CF$63)</f>
        <v>0</v>
      </c>
      <c r="CG71" s="79" t="n">
        <f aca="false">SUMIFS($T71:$CA71, $T$1:$CA$1, CG$63)</f>
        <v>0</v>
      </c>
      <c r="CI71" s="79" t="n">
        <f aca="false">CC71=L71</f>
        <v>1</v>
      </c>
      <c r="CJ71" s="79" t="n">
        <f aca="false">CD71=M71</f>
        <v>1</v>
      </c>
      <c r="CK71" s="79" t="n">
        <f aca="false">CE71=N71</f>
        <v>1</v>
      </c>
      <c r="CL71" s="79" t="n">
        <f aca="false">CF71=O71</f>
        <v>1</v>
      </c>
      <c r="CM71" s="79" t="n">
        <f aca="false">CG71=P71</f>
        <v>1</v>
      </c>
    </row>
    <row r="72" s="14" customFormat="true" ht="16.5" hidden="false" customHeight="true" outlineLevel="0" collapsed="false">
      <c r="E72" s="91"/>
      <c r="H72" s="71"/>
      <c r="I72" s="91" t="n">
        <v>0</v>
      </c>
      <c r="J72" s="91" t="n">
        <v>0</v>
      </c>
      <c r="K72" s="207" t="n">
        <f aca="false">I72-J72</f>
        <v>0</v>
      </c>
      <c r="L72" s="91"/>
      <c r="M72" s="91"/>
      <c r="N72" s="91"/>
      <c r="O72" s="91"/>
      <c r="P72" s="91"/>
      <c r="Q72" s="93"/>
      <c r="R72" s="16" t="str">
        <f aca="false">IF(K72=P72, "", "Error")</f>
        <v/>
      </c>
      <c r="T72" s="91"/>
      <c r="U72" s="91"/>
      <c r="V72" s="91"/>
      <c r="W72" s="91"/>
      <c r="X72" s="91"/>
      <c r="Y72" s="91"/>
      <c r="Z72" s="91"/>
      <c r="AA72" s="91"/>
      <c r="AB72" s="91"/>
      <c r="AC72" s="91"/>
      <c r="AD72" s="91"/>
      <c r="AE72" s="94"/>
      <c r="AF72" s="95"/>
      <c r="AG72" s="91"/>
      <c r="AH72" s="91"/>
      <c r="AI72" s="91"/>
      <c r="AJ72" s="91"/>
      <c r="AK72" s="91"/>
      <c r="AL72" s="91"/>
      <c r="AM72" s="91"/>
      <c r="AN72" s="91"/>
      <c r="AO72" s="91"/>
      <c r="AP72" s="91"/>
      <c r="AQ72" s="94"/>
      <c r="AR72" s="95"/>
      <c r="AS72" s="91"/>
      <c r="AT72" s="91"/>
      <c r="AU72" s="91"/>
      <c r="AV72" s="91"/>
      <c r="AW72" s="91"/>
      <c r="AX72" s="91"/>
      <c r="AY72" s="91"/>
      <c r="AZ72" s="91"/>
      <c r="BA72" s="91"/>
      <c r="BB72" s="91"/>
      <c r="BC72" s="94"/>
      <c r="BD72" s="95"/>
      <c r="BE72" s="91"/>
      <c r="BF72" s="91"/>
      <c r="BG72" s="91"/>
      <c r="BH72" s="91"/>
      <c r="BI72" s="91"/>
      <c r="BJ72" s="91"/>
      <c r="BK72" s="91"/>
      <c r="BL72" s="91"/>
      <c r="BM72" s="91"/>
      <c r="BN72" s="91"/>
      <c r="BO72" s="94"/>
      <c r="BP72" s="95"/>
      <c r="BQ72" s="91"/>
      <c r="BR72" s="91"/>
      <c r="BS72" s="91"/>
      <c r="BT72" s="91"/>
      <c r="BU72" s="91"/>
      <c r="BV72" s="91"/>
      <c r="BW72" s="91"/>
      <c r="BX72" s="91"/>
      <c r="BY72" s="91"/>
      <c r="BZ72" s="91"/>
      <c r="CA72" s="91"/>
      <c r="CC72" s="79" t="n">
        <f aca="false">SUMIFS($T72:$CA72, $T$1:$CA$1, CC$63)</f>
        <v>0</v>
      </c>
      <c r="CD72" s="79" t="n">
        <f aca="false">SUMIFS($T72:$CA72, $T$1:$CA$1, CD$63)</f>
        <v>0</v>
      </c>
      <c r="CE72" s="79" t="n">
        <f aca="false">SUMIFS($T72:$CA72, $T$1:$CA$1, CE$63)</f>
        <v>0</v>
      </c>
      <c r="CF72" s="79" t="n">
        <f aca="false">SUMIFS($T72:$CA72, $T$1:$CA$1, CF$63)</f>
        <v>0</v>
      </c>
      <c r="CG72" s="79" t="n">
        <f aca="false">SUMIFS($T72:$CA72, $T$1:$CA$1, CG$63)</f>
        <v>0</v>
      </c>
      <c r="CI72" s="79" t="n">
        <f aca="false">CC72=L72</f>
        <v>1</v>
      </c>
      <c r="CJ72" s="79" t="n">
        <f aca="false">CD72=M72</f>
        <v>1</v>
      </c>
      <c r="CK72" s="79" t="n">
        <f aca="false">CE72=N72</f>
        <v>1</v>
      </c>
      <c r="CL72" s="79" t="n">
        <f aca="false">CF72=O72</f>
        <v>1</v>
      </c>
      <c r="CM72" s="79" t="n">
        <f aca="false">CG72=P72</f>
        <v>1</v>
      </c>
    </row>
    <row r="73" s="14" customFormat="true" ht="16.5" hidden="false" customHeight="true" outlineLevel="0" collapsed="false">
      <c r="E73" s="91"/>
      <c r="H73" s="71"/>
      <c r="I73" s="91" t="n">
        <v>0</v>
      </c>
      <c r="J73" s="91" t="n">
        <v>0</v>
      </c>
      <c r="K73" s="207" t="n">
        <f aca="false">I73-J73</f>
        <v>0</v>
      </c>
      <c r="L73" s="91"/>
      <c r="M73" s="91"/>
      <c r="N73" s="91"/>
      <c r="O73" s="91"/>
      <c r="P73" s="91"/>
      <c r="Q73" s="93"/>
      <c r="R73" s="16" t="str">
        <f aca="false">IF(K73=P73, "", "Error")</f>
        <v/>
      </c>
      <c r="T73" s="91"/>
      <c r="U73" s="91"/>
      <c r="V73" s="91"/>
      <c r="W73" s="91"/>
      <c r="X73" s="91"/>
      <c r="Y73" s="91"/>
      <c r="Z73" s="91"/>
      <c r="AA73" s="91"/>
      <c r="AB73" s="91"/>
      <c r="AC73" s="91"/>
      <c r="AD73" s="91"/>
      <c r="AE73" s="94"/>
      <c r="AF73" s="95"/>
      <c r="AG73" s="91"/>
      <c r="AH73" s="91"/>
      <c r="AI73" s="91"/>
      <c r="AJ73" s="91"/>
      <c r="AK73" s="91"/>
      <c r="AL73" s="91"/>
      <c r="AM73" s="91"/>
      <c r="AN73" s="91"/>
      <c r="AO73" s="91"/>
      <c r="AP73" s="91"/>
      <c r="AQ73" s="94"/>
      <c r="AR73" s="95"/>
      <c r="AS73" s="91"/>
      <c r="AT73" s="91"/>
      <c r="AU73" s="91"/>
      <c r="AV73" s="91"/>
      <c r="AW73" s="91"/>
      <c r="AX73" s="91"/>
      <c r="AY73" s="91"/>
      <c r="AZ73" s="91"/>
      <c r="BA73" s="91"/>
      <c r="BB73" s="91"/>
      <c r="BC73" s="94"/>
      <c r="BD73" s="95"/>
      <c r="BE73" s="91"/>
      <c r="BF73" s="91"/>
      <c r="BG73" s="91"/>
      <c r="BH73" s="91"/>
      <c r="BI73" s="91"/>
      <c r="BJ73" s="91"/>
      <c r="BK73" s="91"/>
      <c r="BL73" s="91"/>
      <c r="BM73" s="91"/>
      <c r="BN73" s="91"/>
      <c r="BO73" s="94"/>
      <c r="BP73" s="95"/>
      <c r="BQ73" s="91"/>
      <c r="BR73" s="91"/>
      <c r="BS73" s="91"/>
      <c r="BT73" s="91"/>
      <c r="BU73" s="91"/>
      <c r="BV73" s="91"/>
      <c r="BW73" s="91"/>
      <c r="BX73" s="91"/>
      <c r="BY73" s="91"/>
      <c r="BZ73" s="91"/>
      <c r="CA73" s="91"/>
      <c r="CC73" s="79" t="n">
        <f aca="false">SUMIFS($T73:$CA73, $T$1:$CA$1, CC$63)</f>
        <v>0</v>
      </c>
      <c r="CD73" s="79" t="n">
        <f aca="false">SUMIFS($T73:$CA73, $T$1:$CA$1, CD$63)</f>
        <v>0</v>
      </c>
      <c r="CE73" s="79" t="n">
        <f aca="false">SUMIFS($T73:$CA73, $T$1:$CA$1, CE$63)</f>
        <v>0</v>
      </c>
      <c r="CF73" s="79" t="n">
        <f aca="false">SUMIFS($T73:$CA73, $T$1:$CA$1, CF$63)</f>
        <v>0</v>
      </c>
      <c r="CG73" s="79" t="n">
        <f aca="false">SUMIFS($T73:$CA73, $T$1:$CA$1, CG$63)</f>
        <v>0</v>
      </c>
      <c r="CI73" s="79" t="n">
        <f aca="false">CC73=L73</f>
        <v>1</v>
      </c>
      <c r="CJ73" s="79" t="n">
        <f aca="false">CD73=M73</f>
        <v>1</v>
      </c>
      <c r="CK73" s="79" t="n">
        <f aca="false">CE73=N73</f>
        <v>1</v>
      </c>
      <c r="CL73" s="79" t="n">
        <f aca="false">CF73=O73</f>
        <v>1</v>
      </c>
      <c r="CM73" s="79" t="n">
        <f aca="false">CG73=P73</f>
        <v>1</v>
      </c>
    </row>
    <row r="74" s="14" customFormat="true" ht="16.5" hidden="false" customHeight="true" outlineLevel="0" collapsed="false">
      <c r="E74" s="91"/>
      <c r="H74" s="71"/>
      <c r="I74" s="91" t="n">
        <v>0</v>
      </c>
      <c r="J74" s="91" t="n">
        <v>0</v>
      </c>
      <c r="K74" s="207" t="n">
        <f aca="false">I74-J74</f>
        <v>0</v>
      </c>
      <c r="L74" s="91"/>
      <c r="M74" s="91"/>
      <c r="N74" s="91"/>
      <c r="O74" s="91"/>
      <c r="P74" s="91"/>
      <c r="Q74" s="93"/>
      <c r="R74" s="16" t="str">
        <f aca="false">IF(K74=P74, "", "Error")</f>
        <v/>
      </c>
      <c r="T74" s="91"/>
      <c r="U74" s="91"/>
      <c r="V74" s="91"/>
      <c r="W74" s="91"/>
      <c r="X74" s="91"/>
      <c r="Y74" s="91"/>
      <c r="Z74" s="91"/>
      <c r="AA74" s="91"/>
      <c r="AB74" s="91"/>
      <c r="AC74" s="91"/>
      <c r="AD74" s="91"/>
      <c r="AE74" s="94"/>
      <c r="AF74" s="95"/>
      <c r="AG74" s="91"/>
      <c r="AH74" s="91"/>
      <c r="AI74" s="91"/>
      <c r="AJ74" s="91"/>
      <c r="AK74" s="91"/>
      <c r="AL74" s="91"/>
      <c r="AM74" s="91"/>
      <c r="AN74" s="91"/>
      <c r="AO74" s="91"/>
      <c r="AP74" s="91"/>
      <c r="AQ74" s="94"/>
      <c r="AR74" s="95"/>
      <c r="AS74" s="91"/>
      <c r="AT74" s="91"/>
      <c r="AU74" s="91"/>
      <c r="AV74" s="91"/>
      <c r="AW74" s="91"/>
      <c r="AX74" s="91"/>
      <c r="AY74" s="91"/>
      <c r="AZ74" s="91"/>
      <c r="BA74" s="91"/>
      <c r="BB74" s="91"/>
      <c r="BC74" s="94"/>
      <c r="BD74" s="95"/>
      <c r="BE74" s="91"/>
      <c r="BF74" s="91"/>
      <c r="BG74" s="91"/>
      <c r="BH74" s="91"/>
      <c r="BI74" s="91"/>
      <c r="BJ74" s="91"/>
      <c r="BK74" s="91"/>
      <c r="BL74" s="91"/>
      <c r="BM74" s="91"/>
      <c r="BN74" s="91"/>
      <c r="BO74" s="94"/>
      <c r="BP74" s="95"/>
      <c r="BQ74" s="91"/>
      <c r="BR74" s="91"/>
      <c r="BS74" s="91"/>
      <c r="BT74" s="91"/>
      <c r="BU74" s="91"/>
      <c r="BV74" s="91"/>
      <c r="BW74" s="91"/>
      <c r="BX74" s="91"/>
      <c r="BY74" s="91"/>
      <c r="BZ74" s="91"/>
      <c r="CA74" s="91"/>
      <c r="CC74" s="79" t="n">
        <f aca="false">SUMIFS($T74:$CA74, $T$1:$CA$1, CC$63)</f>
        <v>0</v>
      </c>
      <c r="CD74" s="79" t="n">
        <f aca="false">SUMIFS($T74:$CA74, $T$1:$CA$1, CD$63)</f>
        <v>0</v>
      </c>
      <c r="CE74" s="79" t="n">
        <f aca="false">SUMIFS($T74:$CA74, $T$1:$CA$1, CE$63)</f>
        <v>0</v>
      </c>
      <c r="CF74" s="79" t="n">
        <f aca="false">SUMIFS($T74:$CA74, $T$1:$CA$1, CF$63)</f>
        <v>0</v>
      </c>
      <c r="CG74" s="79" t="n">
        <f aca="false">SUMIFS($T74:$CA74, $T$1:$CA$1, CG$63)</f>
        <v>0</v>
      </c>
      <c r="CI74" s="79" t="n">
        <f aca="false">CC74=L74</f>
        <v>1</v>
      </c>
      <c r="CJ74" s="79" t="n">
        <f aca="false">CD74=M74</f>
        <v>1</v>
      </c>
      <c r="CK74" s="79" t="n">
        <f aca="false">CE74=N74</f>
        <v>1</v>
      </c>
      <c r="CL74" s="79" t="n">
        <f aca="false">CF74=O74</f>
        <v>1</v>
      </c>
      <c r="CM74" s="79" t="n">
        <f aca="false">CG74=P74</f>
        <v>1</v>
      </c>
    </row>
    <row r="75" s="14" customFormat="true" ht="16.5" hidden="false" customHeight="true" outlineLevel="0" collapsed="false">
      <c r="E75" s="91"/>
      <c r="H75" s="71"/>
      <c r="I75" s="91"/>
      <c r="J75" s="91"/>
      <c r="K75" s="207" t="n">
        <f aca="false">I75-J75</f>
        <v>0</v>
      </c>
      <c r="L75" s="91"/>
      <c r="M75" s="91"/>
      <c r="N75" s="91"/>
      <c r="O75" s="91"/>
      <c r="P75" s="91"/>
      <c r="Q75" s="93"/>
      <c r="R75" s="16" t="str">
        <f aca="false">IF(K75=P75, "", "Error")</f>
        <v/>
      </c>
      <c r="T75" s="91"/>
      <c r="U75" s="91"/>
      <c r="V75" s="91"/>
      <c r="W75" s="91"/>
      <c r="X75" s="91"/>
      <c r="Y75" s="91"/>
      <c r="Z75" s="91"/>
      <c r="AA75" s="91"/>
      <c r="AB75" s="91"/>
      <c r="AC75" s="91"/>
      <c r="AD75" s="91"/>
      <c r="AE75" s="94"/>
      <c r="AF75" s="95"/>
      <c r="AG75" s="91"/>
      <c r="AH75" s="91"/>
      <c r="AI75" s="91"/>
      <c r="AJ75" s="91"/>
      <c r="AK75" s="91"/>
      <c r="AL75" s="91"/>
      <c r="AM75" s="91"/>
      <c r="AN75" s="91"/>
      <c r="AO75" s="91"/>
      <c r="AP75" s="91"/>
      <c r="AQ75" s="94"/>
      <c r="AR75" s="95"/>
      <c r="AS75" s="91"/>
      <c r="AT75" s="91"/>
      <c r="AU75" s="91"/>
      <c r="AV75" s="91"/>
      <c r="AW75" s="91"/>
      <c r="AX75" s="91"/>
      <c r="AY75" s="91"/>
      <c r="AZ75" s="91"/>
      <c r="BA75" s="91"/>
      <c r="BB75" s="91"/>
      <c r="BC75" s="94"/>
      <c r="BD75" s="95"/>
      <c r="BE75" s="91"/>
      <c r="BF75" s="91"/>
      <c r="BG75" s="91"/>
      <c r="BH75" s="91"/>
      <c r="BI75" s="91"/>
      <c r="BJ75" s="91"/>
      <c r="BK75" s="91"/>
      <c r="BL75" s="91"/>
      <c r="BM75" s="91"/>
      <c r="BN75" s="91"/>
      <c r="BO75" s="94"/>
      <c r="BP75" s="95"/>
      <c r="BQ75" s="91"/>
      <c r="BR75" s="91"/>
      <c r="BS75" s="91"/>
      <c r="BT75" s="91"/>
      <c r="BU75" s="91"/>
      <c r="BV75" s="91"/>
      <c r="BW75" s="91"/>
      <c r="BX75" s="91"/>
      <c r="BY75" s="91"/>
      <c r="BZ75" s="91"/>
      <c r="CA75" s="91"/>
      <c r="CC75" s="79" t="n">
        <f aca="false">SUMIFS($T75:$CA75, $T$1:$CA$1, CC$63)</f>
        <v>0</v>
      </c>
      <c r="CD75" s="79" t="n">
        <f aca="false">SUMIFS($T75:$CA75, $T$1:$CA$1, CD$63)</f>
        <v>0</v>
      </c>
      <c r="CE75" s="79" t="n">
        <f aca="false">SUMIFS($T75:$CA75, $T$1:$CA$1, CE$63)</f>
        <v>0</v>
      </c>
      <c r="CF75" s="79" t="n">
        <f aca="false">SUMIFS($T75:$CA75, $T$1:$CA$1, CF$63)</f>
        <v>0</v>
      </c>
      <c r="CG75" s="79" t="n">
        <f aca="false">SUMIFS($T75:$CA75, $T$1:$CA$1, CG$63)</f>
        <v>0</v>
      </c>
      <c r="CI75" s="79" t="n">
        <f aca="false">CC75=L75</f>
        <v>1</v>
      </c>
      <c r="CJ75" s="79" t="n">
        <f aca="false">CD75=M75</f>
        <v>1</v>
      </c>
      <c r="CK75" s="79" t="n">
        <f aca="false">CE75=N75</f>
        <v>1</v>
      </c>
      <c r="CL75" s="79" t="n">
        <f aca="false">CF75=O75</f>
        <v>1</v>
      </c>
      <c r="CM75" s="79" t="n">
        <f aca="false">CG75=P75</f>
        <v>1</v>
      </c>
    </row>
    <row r="76" s="14" customFormat="true" ht="16.5" hidden="false" customHeight="true" outlineLevel="0" collapsed="false">
      <c r="E76" s="96" t="s">
        <v>129</v>
      </c>
      <c r="H76" s="71"/>
      <c r="I76" s="82" t="n">
        <f aca="false">SUM(I71:I75)</f>
        <v>0</v>
      </c>
      <c r="J76" s="82" t="n">
        <f aca="false">SUM(J71:J75)</f>
        <v>0</v>
      </c>
      <c r="K76" s="82" t="n">
        <f aca="false">SUM(K71:K75)</f>
        <v>0</v>
      </c>
      <c r="L76" s="82" t="n">
        <f aca="false">SUM(L71:L75)</f>
        <v>0</v>
      </c>
      <c r="M76" s="82" t="n">
        <f aca="false">SUM(M71:M75)</f>
        <v>0</v>
      </c>
      <c r="N76" s="82" t="n">
        <f aca="false">SUM(N71:N75)</f>
        <v>0</v>
      </c>
      <c r="O76" s="82" t="n">
        <f aca="false">SUM(O71:O75)</f>
        <v>0</v>
      </c>
      <c r="P76" s="82" t="n">
        <f aca="false">SUM(P71:P75)</f>
        <v>0</v>
      </c>
      <c r="Q76" s="16"/>
      <c r="R76" s="16"/>
      <c r="T76" s="82" t="n">
        <f aca="false">SUM(T71:T75)</f>
        <v>0</v>
      </c>
      <c r="U76" s="82" t="n">
        <f aca="false">SUM(U71:U75)</f>
        <v>0</v>
      </c>
      <c r="V76" s="82" t="n">
        <f aca="false">SUM(V71:V75)</f>
        <v>0</v>
      </c>
      <c r="W76" s="82" t="n">
        <f aca="false">SUM(W71:W75)</f>
        <v>0</v>
      </c>
      <c r="X76" s="82" t="n">
        <f aca="false">SUM(X71:X75)</f>
        <v>0</v>
      </c>
      <c r="Y76" s="82" t="n">
        <f aca="false">SUM(Y71:Y75)</f>
        <v>0</v>
      </c>
      <c r="Z76" s="82" t="n">
        <f aca="false">SUM(Z71:Z75)</f>
        <v>0</v>
      </c>
      <c r="AA76" s="82" t="n">
        <f aca="false">SUM(AA71:AA75)</f>
        <v>0</v>
      </c>
      <c r="AB76" s="82" t="n">
        <f aca="false">SUM(AB71:AB75)</f>
        <v>0</v>
      </c>
      <c r="AC76" s="82" t="n">
        <f aca="false">SUM(AC71:AC75)</f>
        <v>0</v>
      </c>
      <c r="AD76" s="82" t="n">
        <f aca="false">SUM(AD71:AD75)</f>
        <v>0</v>
      </c>
      <c r="AE76" s="82" t="n">
        <f aca="false">SUM(AE71:AE75)</f>
        <v>0</v>
      </c>
      <c r="AF76" s="83" t="n">
        <f aca="false">SUM(AF71:AF75)</f>
        <v>0</v>
      </c>
      <c r="AG76" s="82" t="n">
        <f aca="false">SUM(AG71:AG75)</f>
        <v>0</v>
      </c>
      <c r="AH76" s="82" t="n">
        <f aca="false">SUM(AH71:AH75)</f>
        <v>0</v>
      </c>
      <c r="AI76" s="82" t="n">
        <f aca="false">SUM(AI71:AI75)</f>
        <v>0</v>
      </c>
      <c r="AJ76" s="82" t="n">
        <f aca="false">SUM(AJ71:AJ75)</f>
        <v>0</v>
      </c>
      <c r="AK76" s="82" t="n">
        <f aca="false">SUM(AK71:AK75)</f>
        <v>0</v>
      </c>
      <c r="AL76" s="82" t="n">
        <f aca="false">SUM(AL71:AL75)</f>
        <v>0</v>
      </c>
      <c r="AM76" s="82" t="n">
        <f aca="false">SUM(AM71:AM75)</f>
        <v>0</v>
      </c>
      <c r="AN76" s="82" t="n">
        <f aca="false">SUM(AN71:AN75)</f>
        <v>0</v>
      </c>
      <c r="AO76" s="82" t="n">
        <f aca="false">SUM(AO71:AO75)</f>
        <v>0</v>
      </c>
      <c r="AP76" s="82" t="n">
        <f aca="false">SUM(AP71:AP75)</f>
        <v>0</v>
      </c>
      <c r="AQ76" s="82" t="n">
        <f aca="false">SUM(AQ71:AQ75)</f>
        <v>0</v>
      </c>
      <c r="AR76" s="83" t="n">
        <f aca="false">SUM(AR71:AR75)</f>
        <v>0</v>
      </c>
      <c r="AS76" s="82" t="n">
        <f aca="false">SUM(AS71:AS75)</f>
        <v>0</v>
      </c>
      <c r="AT76" s="82" t="n">
        <f aca="false">SUM(AT71:AT75)</f>
        <v>0</v>
      </c>
      <c r="AU76" s="82" t="n">
        <f aca="false">SUM(AU71:AU75)</f>
        <v>0</v>
      </c>
      <c r="AV76" s="82" t="n">
        <f aca="false">SUM(AV71:AV75)</f>
        <v>0</v>
      </c>
      <c r="AW76" s="82" t="n">
        <f aca="false">SUM(AW71:AW75)</f>
        <v>0</v>
      </c>
      <c r="AX76" s="82" t="n">
        <f aca="false">SUM(AX71:AX75)</f>
        <v>0</v>
      </c>
      <c r="AY76" s="82" t="n">
        <f aca="false">SUM(AY71:AY75)</f>
        <v>0</v>
      </c>
      <c r="AZ76" s="82" t="n">
        <f aca="false">SUM(AZ71:AZ75)</f>
        <v>0</v>
      </c>
      <c r="BA76" s="82" t="n">
        <f aca="false">SUM(BA71:BA75)</f>
        <v>0</v>
      </c>
      <c r="BB76" s="82" t="n">
        <f aca="false">SUM(BB71:BB75)</f>
        <v>0</v>
      </c>
      <c r="BC76" s="82" t="n">
        <f aca="false">SUM(BC71:BC75)</f>
        <v>0</v>
      </c>
      <c r="BD76" s="83" t="n">
        <f aca="false">SUM(BD71:BD75)</f>
        <v>0</v>
      </c>
      <c r="BE76" s="82" t="n">
        <f aca="false">SUM(BE71:BE75)</f>
        <v>0</v>
      </c>
      <c r="BF76" s="82" t="n">
        <f aca="false">SUM(BF71:BF75)</f>
        <v>0</v>
      </c>
      <c r="BG76" s="82" t="n">
        <f aca="false">SUM(BG71:BG75)</f>
        <v>0</v>
      </c>
      <c r="BH76" s="82" t="n">
        <f aca="false">SUM(BH71:BH75)</f>
        <v>0</v>
      </c>
      <c r="BI76" s="82" t="n">
        <f aca="false">SUM(BI71:BI75)</f>
        <v>0</v>
      </c>
      <c r="BJ76" s="82" t="n">
        <f aca="false">SUM(BJ71:BJ75)</f>
        <v>0</v>
      </c>
      <c r="BK76" s="82" t="n">
        <f aca="false">SUM(BK71:BK75)</f>
        <v>0</v>
      </c>
      <c r="BL76" s="82" t="n">
        <f aca="false">SUM(BL71:BL75)</f>
        <v>0</v>
      </c>
      <c r="BM76" s="82" t="n">
        <f aca="false">SUM(BM71:BM75)</f>
        <v>0</v>
      </c>
      <c r="BN76" s="82" t="n">
        <f aca="false">SUM(BN71:BN75)</f>
        <v>0</v>
      </c>
      <c r="BO76" s="82" t="n">
        <f aca="false">SUM(BO71:BO75)</f>
        <v>0</v>
      </c>
      <c r="BP76" s="83" t="n">
        <f aca="false">SUM(BP71:BP75)</f>
        <v>0</v>
      </c>
      <c r="BQ76" s="82" t="n">
        <f aca="false">SUM(BQ71:BQ75)</f>
        <v>0</v>
      </c>
      <c r="BR76" s="82" t="n">
        <f aca="false">SUM(BR71:BR75)</f>
        <v>0</v>
      </c>
      <c r="BS76" s="82" t="n">
        <f aca="false">SUM(BS71:BS75)</f>
        <v>0</v>
      </c>
      <c r="BT76" s="82" t="n">
        <f aca="false">SUM(BT71:BT75)</f>
        <v>0</v>
      </c>
      <c r="BU76" s="82" t="n">
        <f aca="false">SUM(BU71:BU75)</f>
        <v>0</v>
      </c>
      <c r="BV76" s="82" t="n">
        <f aca="false">SUM(BV71:BV75)</f>
        <v>0</v>
      </c>
      <c r="BW76" s="82" t="n">
        <f aca="false">SUM(BW71:BW75)</f>
        <v>0</v>
      </c>
      <c r="BX76" s="82" t="n">
        <f aca="false">SUM(BX71:BX75)</f>
        <v>0</v>
      </c>
      <c r="BY76" s="82" t="n">
        <f aca="false">SUM(BY71:BY75)</f>
        <v>0</v>
      </c>
      <c r="BZ76" s="82" t="n">
        <f aca="false">SUM(BZ71:BZ75)</f>
        <v>0</v>
      </c>
      <c r="CA76" s="82" t="n">
        <f aca="false">SUM(CA71:CA75)</f>
        <v>0</v>
      </c>
      <c r="CC76" s="84" t="n">
        <f aca="false">SUM(CC71:CC75)</f>
        <v>0</v>
      </c>
      <c r="CD76" s="84" t="n">
        <f aca="false">SUM(CD71:CD75)</f>
        <v>0</v>
      </c>
      <c r="CE76" s="84" t="n">
        <f aca="false">SUM(CE71:CE75)</f>
        <v>0</v>
      </c>
      <c r="CF76" s="84" t="n">
        <f aca="false">SUM(CF71:CF75)</f>
        <v>0</v>
      </c>
      <c r="CG76" s="84" t="n">
        <f aca="false">SUM(CG71:CG75)</f>
        <v>0</v>
      </c>
      <c r="CI76" s="84" t="n">
        <f aca="false">CC76=L76</f>
        <v>1</v>
      </c>
      <c r="CJ76" s="84" t="n">
        <f aca="false">CD76=M76</f>
        <v>1</v>
      </c>
      <c r="CK76" s="84" t="n">
        <f aca="false">CE76=N76</f>
        <v>1</v>
      </c>
      <c r="CL76" s="84" t="n">
        <f aca="false">CF76=O76</f>
        <v>1</v>
      </c>
      <c r="CM76" s="84" t="n">
        <f aca="false">CG76=P76</f>
        <v>1</v>
      </c>
    </row>
    <row r="77" s="14" customFormat="true" ht="16.5" hidden="false" customHeight="true" outlineLevel="0" collapsed="false">
      <c r="H77" s="71"/>
      <c r="I77" s="88"/>
      <c r="J77" s="88"/>
      <c r="K77" s="88"/>
      <c r="L77" s="88"/>
      <c r="M77" s="88"/>
      <c r="N77" s="88"/>
      <c r="O77" s="88"/>
      <c r="P77" s="88"/>
      <c r="Q77" s="16"/>
      <c r="R77" s="16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9"/>
      <c r="AG77" s="88"/>
      <c r="AH77" s="88"/>
      <c r="AI77" s="88"/>
      <c r="AJ77" s="88"/>
      <c r="AK77" s="88"/>
      <c r="AL77" s="88"/>
      <c r="AM77" s="88"/>
      <c r="AN77" s="88"/>
      <c r="AO77" s="88"/>
      <c r="AP77" s="88"/>
      <c r="AQ77" s="88"/>
      <c r="AR77" s="89"/>
      <c r="AS77" s="88"/>
      <c r="AT77" s="88"/>
      <c r="AU77" s="88"/>
      <c r="AV77" s="88"/>
      <c r="AW77" s="88"/>
      <c r="AX77" s="88"/>
      <c r="AY77" s="88"/>
      <c r="AZ77" s="88"/>
      <c r="BA77" s="88"/>
      <c r="BB77" s="88"/>
      <c r="BC77" s="88"/>
      <c r="BD77" s="89"/>
      <c r="BE77" s="88"/>
      <c r="BF77" s="88"/>
      <c r="BG77" s="88"/>
      <c r="BH77" s="88"/>
      <c r="BI77" s="88"/>
      <c r="BJ77" s="88"/>
      <c r="BK77" s="88"/>
      <c r="BL77" s="88"/>
      <c r="BM77" s="88"/>
      <c r="BN77" s="88"/>
      <c r="BO77" s="88"/>
      <c r="BP77" s="89"/>
      <c r="BQ77" s="88"/>
      <c r="BR77" s="88"/>
      <c r="BS77" s="88"/>
      <c r="BT77" s="88"/>
      <c r="BU77" s="88"/>
      <c r="BV77" s="88"/>
      <c r="BW77" s="88"/>
      <c r="BX77" s="88"/>
      <c r="BY77" s="88"/>
      <c r="BZ77" s="88"/>
      <c r="CA77" s="88"/>
      <c r="CC77" s="90"/>
      <c r="CD77" s="90"/>
      <c r="CE77" s="90"/>
      <c r="CF77" s="90"/>
      <c r="CG77" s="90"/>
      <c r="CI77" s="90"/>
      <c r="CJ77" s="90"/>
      <c r="CK77" s="90"/>
      <c r="CL77" s="90"/>
      <c r="CM77" s="90"/>
    </row>
    <row r="78" s="14" customFormat="true" ht="16.5" hidden="false" customHeight="true" outlineLevel="0" collapsed="false">
      <c r="E78" s="21" t="s">
        <v>130</v>
      </c>
      <c r="H78" s="71"/>
      <c r="I78" s="88"/>
      <c r="J78" s="88"/>
      <c r="K78" s="88"/>
      <c r="L78" s="88"/>
      <c r="M78" s="88"/>
      <c r="N78" s="88"/>
      <c r="O78" s="88"/>
      <c r="P78" s="88"/>
      <c r="Q78" s="16"/>
      <c r="R78" s="16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9"/>
      <c r="AG78" s="88"/>
      <c r="AH78" s="88"/>
      <c r="AI78" s="88"/>
      <c r="AJ78" s="88"/>
      <c r="AK78" s="88"/>
      <c r="AL78" s="88"/>
      <c r="AM78" s="88"/>
      <c r="AN78" s="88"/>
      <c r="AO78" s="88"/>
      <c r="AP78" s="88"/>
      <c r="AQ78" s="88"/>
      <c r="AR78" s="89"/>
      <c r="AS78" s="88"/>
      <c r="AT78" s="88"/>
      <c r="AU78" s="88"/>
      <c r="AV78" s="88"/>
      <c r="AW78" s="88"/>
      <c r="AX78" s="88"/>
      <c r="AY78" s="88"/>
      <c r="AZ78" s="88"/>
      <c r="BA78" s="88"/>
      <c r="BB78" s="88"/>
      <c r="BC78" s="88"/>
      <c r="BD78" s="89"/>
      <c r="BE78" s="88"/>
      <c r="BF78" s="88"/>
      <c r="BG78" s="88"/>
      <c r="BH78" s="88"/>
      <c r="BI78" s="88"/>
      <c r="BJ78" s="88"/>
      <c r="BK78" s="88"/>
      <c r="BL78" s="88"/>
      <c r="BM78" s="88"/>
      <c r="BN78" s="88"/>
      <c r="BO78" s="88"/>
      <c r="BP78" s="89"/>
      <c r="BQ78" s="88"/>
      <c r="BR78" s="88"/>
      <c r="BS78" s="88"/>
      <c r="BT78" s="88"/>
      <c r="BU78" s="88"/>
      <c r="BV78" s="88"/>
      <c r="BW78" s="88"/>
      <c r="BX78" s="88"/>
      <c r="BY78" s="88"/>
      <c r="BZ78" s="88"/>
      <c r="CA78" s="88"/>
      <c r="CC78" s="90"/>
      <c r="CD78" s="90"/>
      <c r="CE78" s="90"/>
      <c r="CF78" s="90"/>
      <c r="CG78" s="90"/>
      <c r="CI78" s="90"/>
      <c r="CJ78" s="90"/>
      <c r="CK78" s="90"/>
      <c r="CL78" s="90"/>
      <c r="CM78" s="90"/>
    </row>
    <row r="79" s="14" customFormat="true" ht="16.5" hidden="false" customHeight="true" outlineLevel="0" collapsed="false">
      <c r="E79" s="91" t="s">
        <v>448</v>
      </c>
      <c r="H79" s="71" t="s">
        <v>449</v>
      </c>
      <c r="I79" s="208" t="n">
        <f aca="false">'SDLC-2 Model'!$D$53</f>
        <v>0</v>
      </c>
      <c r="J79" s="208" t="n">
        <f aca="false">I79-'SDLC-2 Model'!$K$53</f>
        <v>0</v>
      </c>
      <c r="K79" s="209" t="n">
        <f aca="false">'SDLC-2 Model'!$K$53</f>
        <v>0</v>
      </c>
      <c r="L79" s="208" t="n">
        <f aca="false">'SDLC-2 Model'!L53</f>
        <v>0</v>
      </c>
      <c r="M79" s="208" t="n">
        <f aca="false">'SDLC-2 Model'!M53</f>
        <v>0</v>
      </c>
      <c r="N79" s="208" t="n">
        <f aca="false">'SDLC-2 Model'!N53</f>
        <v>0</v>
      </c>
      <c r="O79" s="208" t="n">
        <f aca="false">'SDLC-2 Model'!O53</f>
        <v>0</v>
      </c>
      <c r="P79" s="208" t="n">
        <f aca="false">'SDLC-2 Model'!P53</f>
        <v>0</v>
      </c>
      <c r="Q79" s="93" t="s">
        <v>251</v>
      </c>
      <c r="R79" s="16" t="str">
        <f aca="false">IF(K79=P79, "", "Error")</f>
        <v/>
      </c>
      <c r="T79" s="208" t="n">
        <f aca="false">'SDLC-2 Model'!T53</f>
        <v>0</v>
      </c>
      <c r="U79" s="208" t="n">
        <f aca="false">'SDLC-2 Model'!U53</f>
        <v>0</v>
      </c>
      <c r="V79" s="208" t="n">
        <f aca="false">'SDLC-2 Model'!V53</f>
        <v>0</v>
      </c>
      <c r="W79" s="208" t="n">
        <f aca="false">'SDLC-2 Model'!W53</f>
        <v>0</v>
      </c>
      <c r="X79" s="208" t="n">
        <f aca="false">'SDLC-2 Model'!X53</f>
        <v>0</v>
      </c>
      <c r="Y79" s="208" t="n">
        <f aca="false">'SDLC-2 Model'!Y53</f>
        <v>0</v>
      </c>
      <c r="Z79" s="208" t="n">
        <f aca="false">'SDLC-2 Model'!Z53</f>
        <v>0</v>
      </c>
      <c r="AA79" s="208" t="n">
        <f aca="false">'SDLC-2 Model'!AA53</f>
        <v>0</v>
      </c>
      <c r="AB79" s="208" t="n">
        <f aca="false">'SDLC-2 Model'!AB53</f>
        <v>0</v>
      </c>
      <c r="AC79" s="208" t="n">
        <f aca="false">'SDLC-2 Model'!AC53</f>
        <v>0</v>
      </c>
      <c r="AD79" s="208" t="n">
        <f aca="false">'SDLC-2 Model'!AD53</f>
        <v>0</v>
      </c>
      <c r="AE79" s="210" t="n">
        <f aca="false">'SDLC-2 Model'!AE53</f>
        <v>0</v>
      </c>
      <c r="AF79" s="211" t="n">
        <f aca="false">'SDLC-2 Model'!AF53</f>
        <v>0</v>
      </c>
      <c r="AG79" s="211" t="n">
        <f aca="false">'SDLC-2 Model'!AG53</f>
        <v>0</v>
      </c>
      <c r="AH79" s="211" t="n">
        <f aca="false">'SDLC-2 Model'!AH53</f>
        <v>0</v>
      </c>
      <c r="AI79" s="211" t="n">
        <f aca="false">'SDLC-2 Model'!AI53</f>
        <v>0</v>
      </c>
      <c r="AJ79" s="211" t="n">
        <f aca="false">'SDLC-2 Model'!AJ53</f>
        <v>0</v>
      </c>
      <c r="AK79" s="211" t="n">
        <f aca="false">'SDLC-2 Model'!AK53</f>
        <v>0</v>
      </c>
      <c r="AL79" s="211" t="n">
        <f aca="false">'SDLC-2 Model'!AL53</f>
        <v>0</v>
      </c>
      <c r="AM79" s="211" t="n">
        <f aca="false">'SDLC-2 Model'!AM53</f>
        <v>0</v>
      </c>
      <c r="AN79" s="211" t="n">
        <f aca="false">'SDLC-2 Model'!AN53</f>
        <v>0</v>
      </c>
      <c r="AO79" s="211" t="n">
        <f aca="false">'SDLC-2 Model'!AO53</f>
        <v>0</v>
      </c>
      <c r="AP79" s="211" t="n">
        <f aca="false">'SDLC-2 Model'!AP53</f>
        <v>0</v>
      </c>
      <c r="AQ79" s="211" t="n">
        <f aca="false">'SDLC-2 Model'!AQ53</f>
        <v>0</v>
      </c>
      <c r="AR79" s="211" t="n">
        <f aca="false">'SDLC-2 Model'!AR53</f>
        <v>0</v>
      </c>
      <c r="AS79" s="211" t="n">
        <f aca="false">'SDLC-2 Model'!AS53</f>
        <v>0</v>
      </c>
      <c r="AT79" s="211" t="n">
        <f aca="false">'SDLC-2 Model'!AT53</f>
        <v>0</v>
      </c>
      <c r="AU79" s="211" t="n">
        <f aca="false">'SDLC-2 Model'!AU53</f>
        <v>0</v>
      </c>
      <c r="AV79" s="211" t="n">
        <f aca="false">'SDLC-2 Model'!AV53</f>
        <v>0</v>
      </c>
      <c r="AW79" s="211" t="n">
        <f aca="false">'SDLC-2 Model'!AW53</f>
        <v>0</v>
      </c>
      <c r="AX79" s="211" t="n">
        <f aca="false">'SDLC-2 Model'!AX53</f>
        <v>0</v>
      </c>
      <c r="AY79" s="211" t="n">
        <f aca="false">'SDLC-2 Model'!AY53</f>
        <v>0</v>
      </c>
      <c r="AZ79" s="211" t="n">
        <f aca="false">'SDLC-2 Model'!AZ53</f>
        <v>0</v>
      </c>
      <c r="BA79" s="211" t="n">
        <f aca="false">'SDLC-2 Model'!BA53</f>
        <v>0</v>
      </c>
      <c r="BB79" s="211" t="n">
        <f aca="false">'SDLC-2 Model'!BB53</f>
        <v>0</v>
      </c>
      <c r="BC79" s="211" t="n">
        <f aca="false">'SDLC-2 Model'!BC53</f>
        <v>0</v>
      </c>
      <c r="BD79" s="211" t="n">
        <f aca="false">'SDLC-2 Model'!BD53</f>
        <v>0</v>
      </c>
      <c r="BE79" s="211" t="n">
        <f aca="false">'SDLC-2 Model'!BE53</f>
        <v>0</v>
      </c>
      <c r="BF79" s="211" t="n">
        <f aca="false">'SDLC-2 Model'!BF53</f>
        <v>0</v>
      </c>
      <c r="BG79" s="211" t="n">
        <f aca="false">'SDLC-2 Model'!BG53</f>
        <v>0</v>
      </c>
      <c r="BH79" s="211" t="n">
        <f aca="false">'SDLC-2 Model'!BH53</f>
        <v>0</v>
      </c>
      <c r="BI79" s="211" t="n">
        <f aca="false">'SDLC-2 Model'!BI53</f>
        <v>0</v>
      </c>
      <c r="BJ79" s="211" t="n">
        <f aca="false">'SDLC-2 Model'!BJ53</f>
        <v>0</v>
      </c>
      <c r="BK79" s="211" t="n">
        <f aca="false">'SDLC-2 Model'!BK53</f>
        <v>0</v>
      </c>
      <c r="BL79" s="211" t="n">
        <f aca="false">'SDLC-2 Model'!BL53</f>
        <v>0</v>
      </c>
      <c r="BM79" s="211" t="n">
        <f aca="false">'SDLC-2 Model'!BM53</f>
        <v>0</v>
      </c>
      <c r="BN79" s="211" t="n">
        <f aca="false">'SDLC-2 Model'!BN53</f>
        <v>0</v>
      </c>
      <c r="BO79" s="211" t="n">
        <f aca="false">'SDLC-2 Model'!BO53</f>
        <v>0</v>
      </c>
      <c r="BP79" s="211" t="n">
        <f aca="false">'SDLC-2 Model'!BP53</f>
        <v>0</v>
      </c>
      <c r="BQ79" s="211" t="n">
        <f aca="false">'SDLC-2 Model'!BQ53</f>
        <v>0</v>
      </c>
      <c r="BR79" s="211" t="n">
        <f aca="false">'SDLC-2 Model'!BR53</f>
        <v>0</v>
      </c>
      <c r="BS79" s="211" t="n">
        <f aca="false">'SDLC-2 Model'!BS53</f>
        <v>0</v>
      </c>
      <c r="BT79" s="211" t="n">
        <f aca="false">'SDLC-2 Model'!BT53</f>
        <v>0</v>
      </c>
      <c r="BU79" s="211" t="n">
        <f aca="false">'SDLC-2 Model'!BU53</f>
        <v>0</v>
      </c>
      <c r="BV79" s="211" t="n">
        <f aca="false">'SDLC-2 Model'!BV53</f>
        <v>0</v>
      </c>
      <c r="BW79" s="211" t="n">
        <f aca="false">'SDLC-2 Model'!BW53</f>
        <v>0</v>
      </c>
      <c r="BX79" s="211" t="n">
        <f aca="false">'SDLC-2 Model'!BX53</f>
        <v>0</v>
      </c>
      <c r="BY79" s="211" t="n">
        <f aca="false">'SDLC-2 Model'!BY53</f>
        <v>0</v>
      </c>
      <c r="BZ79" s="211" t="n">
        <f aca="false">'SDLC-2 Model'!BZ53</f>
        <v>0</v>
      </c>
      <c r="CA79" s="211" t="n">
        <f aca="false">'SDLC-2 Model'!CA53</f>
        <v>0</v>
      </c>
      <c r="CC79" s="79" t="n">
        <f aca="false">SUMIFS($T79:$CA79, $T$1:$CA$1, CC$63)</f>
        <v>0</v>
      </c>
      <c r="CD79" s="79" t="n">
        <f aca="false">SUMIFS($T79:$CA79, $T$1:$CA$1, CD$63)</f>
        <v>0</v>
      </c>
      <c r="CE79" s="79" t="n">
        <f aca="false">SUMIFS($T79:$CA79, $T$1:$CA$1, CE$63)</f>
        <v>0</v>
      </c>
      <c r="CF79" s="79" t="n">
        <f aca="false">SUMIFS($T79:$CA79, $T$1:$CA$1, CF$63)</f>
        <v>0</v>
      </c>
      <c r="CG79" s="79" t="n">
        <f aca="false">SUMIFS($T79:$CA79, $T$1:$CA$1, CG$63)</f>
        <v>0</v>
      </c>
      <c r="CI79" s="79" t="n">
        <f aca="false">CC79=L79</f>
        <v>1</v>
      </c>
      <c r="CJ79" s="79" t="n">
        <f aca="false">CD79=M79</f>
        <v>1</v>
      </c>
      <c r="CK79" s="79" t="n">
        <f aca="false">CE79=N79</f>
        <v>1</v>
      </c>
      <c r="CL79" s="79" t="n">
        <f aca="false">CF79=O79</f>
        <v>1</v>
      </c>
      <c r="CM79" s="79" t="n">
        <f aca="false">CG79=P79</f>
        <v>1</v>
      </c>
    </row>
    <row r="80" s="14" customFormat="true" ht="16.5" hidden="false" customHeight="true" outlineLevel="0" collapsed="false">
      <c r="E80" s="91"/>
      <c r="H80" s="71"/>
      <c r="I80" s="91" t="n">
        <v>0</v>
      </c>
      <c r="J80" s="91" t="n">
        <v>0</v>
      </c>
      <c r="K80" s="207" t="n">
        <f aca="false">I80-J80</f>
        <v>0</v>
      </c>
      <c r="L80" s="91"/>
      <c r="M80" s="91"/>
      <c r="N80" s="91"/>
      <c r="O80" s="91"/>
      <c r="P80" s="91"/>
      <c r="Q80" s="93"/>
      <c r="R80" s="16" t="str">
        <f aca="false">IF(K80=P80, "", "Error")</f>
        <v/>
      </c>
      <c r="T80" s="91"/>
      <c r="U80" s="91"/>
      <c r="V80" s="91"/>
      <c r="W80" s="91"/>
      <c r="X80" s="91"/>
      <c r="Y80" s="91"/>
      <c r="Z80" s="91"/>
      <c r="AA80" s="91"/>
      <c r="AB80" s="91"/>
      <c r="AC80" s="91"/>
      <c r="AD80" s="91"/>
      <c r="AE80" s="94"/>
      <c r="AF80" s="95"/>
      <c r="AG80" s="91"/>
      <c r="AH80" s="91"/>
      <c r="AI80" s="91"/>
      <c r="AJ80" s="91"/>
      <c r="AK80" s="91"/>
      <c r="AL80" s="91"/>
      <c r="AM80" s="91"/>
      <c r="AN80" s="91"/>
      <c r="AO80" s="91"/>
      <c r="AP80" s="91"/>
      <c r="AQ80" s="94"/>
      <c r="AR80" s="95"/>
      <c r="AS80" s="91"/>
      <c r="AT80" s="91"/>
      <c r="AU80" s="91"/>
      <c r="AV80" s="91"/>
      <c r="AW80" s="91"/>
      <c r="AX80" s="91"/>
      <c r="AY80" s="91"/>
      <c r="AZ80" s="91"/>
      <c r="BA80" s="91"/>
      <c r="BB80" s="91"/>
      <c r="BC80" s="94"/>
      <c r="BD80" s="95"/>
      <c r="BE80" s="91"/>
      <c r="BF80" s="91"/>
      <c r="BG80" s="91"/>
      <c r="BH80" s="91"/>
      <c r="BI80" s="91"/>
      <c r="BJ80" s="91"/>
      <c r="BK80" s="91"/>
      <c r="BL80" s="91"/>
      <c r="BM80" s="91"/>
      <c r="BN80" s="91"/>
      <c r="BO80" s="94"/>
      <c r="BP80" s="95"/>
      <c r="BQ80" s="91"/>
      <c r="BR80" s="91"/>
      <c r="BS80" s="91"/>
      <c r="BT80" s="91"/>
      <c r="BU80" s="91"/>
      <c r="BV80" s="91"/>
      <c r="BW80" s="91"/>
      <c r="BX80" s="91"/>
      <c r="BY80" s="91"/>
      <c r="BZ80" s="91"/>
      <c r="CA80" s="91"/>
      <c r="CC80" s="79" t="n">
        <f aca="false">SUMIFS($T80:$CA80, $T$1:$CA$1, CC$63)</f>
        <v>0</v>
      </c>
      <c r="CD80" s="79" t="n">
        <f aca="false">SUMIFS($T80:$CA80, $T$1:$CA$1, CD$63)</f>
        <v>0</v>
      </c>
      <c r="CE80" s="79" t="n">
        <f aca="false">SUMIFS($T80:$CA80, $T$1:$CA$1, CE$63)</f>
        <v>0</v>
      </c>
      <c r="CF80" s="79" t="n">
        <f aca="false">SUMIFS($T80:$CA80, $T$1:$CA$1, CF$63)</f>
        <v>0</v>
      </c>
      <c r="CG80" s="79" t="n">
        <f aca="false">SUMIFS($T80:$CA80, $T$1:$CA$1, CG$63)</f>
        <v>0</v>
      </c>
      <c r="CI80" s="79" t="n">
        <f aca="false">CC80=L80</f>
        <v>1</v>
      </c>
      <c r="CJ80" s="79" t="n">
        <f aca="false">CD80=M80</f>
        <v>1</v>
      </c>
      <c r="CK80" s="79" t="n">
        <f aca="false">CE80=N80</f>
        <v>1</v>
      </c>
      <c r="CL80" s="79" t="n">
        <f aca="false">CF80=O80</f>
        <v>1</v>
      </c>
      <c r="CM80" s="79" t="n">
        <f aca="false">CG80=P80</f>
        <v>1</v>
      </c>
    </row>
    <row r="81" s="14" customFormat="true" ht="16.5" hidden="false" customHeight="true" outlineLevel="0" collapsed="false">
      <c r="E81" s="91"/>
      <c r="H81" s="71"/>
      <c r="I81" s="91" t="n">
        <v>0</v>
      </c>
      <c r="J81" s="91" t="n">
        <v>0</v>
      </c>
      <c r="K81" s="207" t="n">
        <f aca="false">I81-J81</f>
        <v>0</v>
      </c>
      <c r="L81" s="91"/>
      <c r="M81" s="91"/>
      <c r="N81" s="91"/>
      <c r="O81" s="91"/>
      <c r="P81" s="91"/>
      <c r="Q81" s="93"/>
      <c r="R81" s="16" t="str">
        <f aca="false">IF(K81=P81, "", "Error")</f>
        <v/>
      </c>
      <c r="T81" s="91"/>
      <c r="U81" s="91"/>
      <c r="V81" s="91"/>
      <c r="W81" s="91"/>
      <c r="X81" s="91"/>
      <c r="Y81" s="91"/>
      <c r="Z81" s="91"/>
      <c r="AA81" s="91"/>
      <c r="AB81" s="91"/>
      <c r="AC81" s="91"/>
      <c r="AD81" s="91"/>
      <c r="AE81" s="94"/>
      <c r="AF81" s="95"/>
      <c r="AG81" s="91"/>
      <c r="AH81" s="91"/>
      <c r="AI81" s="91"/>
      <c r="AJ81" s="91"/>
      <c r="AK81" s="91"/>
      <c r="AL81" s="91"/>
      <c r="AM81" s="91"/>
      <c r="AN81" s="91"/>
      <c r="AO81" s="91"/>
      <c r="AP81" s="91"/>
      <c r="AQ81" s="94"/>
      <c r="AR81" s="95"/>
      <c r="AS81" s="91"/>
      <c r="AT81" s="91"/>
      <c r="AU81" s="91"/>
      <c r="AV81" s="91"/>
      <c r="AW81" s="91"/>
      <c r="AX81" s="91"/>
      <c r="AY81" s="91"/>
      <c r="AZ81" s="91"/>
      <c r="BA81" s="91"/>
      <c r="BB81" s="91"/>
      <c r="BC81" s="94"/>
      <c r="BD81" s="95"/>
      <c r="BE81" s="91"/>
      <c r="BF81" s="91"/>
      <c r="BG81" s="91"/>
      <c r="BH81" s="91"/>
      <c r="BI81" s="91"/>
      <c r="BJ81" s="91"/>
      <c r="BK81" s="91"/>
      <c r="BL81" s="91"/>
      <c r="BM81" s="91"/>
      <c r="BN81" s="91"/>
      <c r="BO81" s="94"/>
      <c r="BP81" s="95"/>
      <c r="BQ81" s="91"/>
      <c r="BR81" s="91"/>
      <c r="BS81" s="91"/>
      <c r="BT81" s="91"/>
      <c r="BU81" s="91"/>
      <c r="BV81" s="91"/>
      <c r="BW81" s="91"/>
      <c r="BX81" s="91"/>
      <c r="BY81" s="91"/>
      <c r="BZ81" s="91"/>
      <c r="CA81" s="91"/>
      <c r="CC81" s="79" t="n">
        <f aca="false">SUMIFS($T81:$CA81, $T$1:$CA$1, CC$63)</f>
        <v>0</v>
      </c>
      <c r="CD81" s="79" t="n">
        <f aca="false">SUMIFS($T81:$CA81, $T$1:$CA$1, CD$63)</f>
        <v>0</v>
      </c>
      <c r="CE81" s="79" t="n">
        <f aca="false">SUMIFS($T81:$CA81, $T$1:$CA$1, CE$63)</f>
        <v>0</v>
      </c>
      <c r="CF81" s="79" t="n">
        <f aca="false">SUMIFS($T81:$CA81, $T$1:$CA$1, CF$63)</f>
        <v>0</v>
      </c>
      <c r="CG81" s="79" t="n">
        <f aca="false">SUMIFS($T81:$CA81, $T$1:$CA$1, CG$63)</f>
        <v>0</v>
      </c>
      <c r="CI81" s="79" t="n">
        <f aca="false">CC81=L81</f>
        <v>1</v>
      </c>
      <c r="CJ81" s="79" t="n">
        <f aca="false">CD81=M81</f>
        <v>1</v>
      </c>
      <c r="CK81" s="79" t="n">
        <f aca="false">CE81=N81</f>
        <v>1</v>
      </c>
      <c r="CL81" s="79" t="n">
        <f aca="false">CF81=O81</f>
        <v>1</v>
      </c>
      <c r="CM81" s="79" t="n">
        <f aca="false">CG81=P81</f>
        <v>1</v>
      </c>
    </row>
    <row r="82" s="14" customFormat="true" ht="16.5" hidden="false" customHeight="true" outlineLevel="0" collapsed="false">
      <c r="E82" s="91"/>
      <c r="H82" s="71"/>
      <c r="I82" s="91" t="n">
        <v>0</v>
      </c>
      <c r="J82" s="91" t="n">
        <v>0</v>
      </c>
      <c r="K82" s="207" t="n">
        <f aca="false">I82-J82</f>
        <v>0</v>
      </c>
      <c r="L82" s="91"/>
      <c r="M82" s="91"/>
      <c r="N82" s="91"/>
      <c r="O82" s="91"/>
      <c r="P82" s="91"/>
      <c r="Q82" s="93"/>
      <c r="R82" s="16" t="str">
        <f aca="false">IF(K82=P82, "", "Error")</f>
        <v/>
      </c>
      <c r="T82" s="91"/>
      <c r="U82" s="91"/>
      <c r="V82" s="91"/>
      <c r="W82" s="91"/>
      <c r="X82" s="91"/>
      <c r="Y82" s="91"/>
      <c r="Z82" s="91"/>
      <c r="AA82" s="91"/>
      <c r="AB82" s="91"/>
      <c r="AC82" s="91"/>
      <c r="AD82" s="91"/>
      <c r="AE82" s="94"/>
      <c r="AF82" s="95"/>
      <c r="AG82" s="91"/>
      <c r="AH82" s="91"/>
      <c r="AI82" s="91"/>
      <c r="AJ82" s="91"/>
      <c r="AK82" s="91"/>
      <c r="AL82" s="91"/>
      <c r="AM82" s="91"/>
      <c r="AN82" s="91"/>
      <c r="AO82" s="91"/>
      <c r="AP82" s="91"/>
      <c r="AQ82" s="94"/>
      <c r="AR82" s="95"/>
      <c r="AS82" s="91"/>
      <c r="AT82" s="91"/>
      <c r="AU82" s="91"/>
      <c r="AV82" s="91"/>
      <c r="AW82" s="91"/>
      <c r="AX82" s="91"/>
      <c r="AY82" s="91"/>
      <c r="AZ82" s="91"/>
      <c r="BA82" s="91"/>
      <c r="BB82" s="91"/>
      <c r="BC82" s="94"/>
      <c r="BD82" s="95"/>
      <c r="BE82" s="91"/>
      <c r="BF82" s="91"/>
      <c r="BG82" s="91"/>
      <c r="BH82" s="91"/>
      <c r="BI82" s="91"/>
      <c r="BJ82" s="91"/>
      <c r="BK82" s="91"/>
      <c r="BL82" s="91"/>
      <c r="BM82" s="91"/>
      <c r="BN82" s="91"/>
      <c r="BO82" s="94"/>
      <c r="BP82" s="95"/>
      <c r="BQ82" s="91"/>
      <c r="BR82" s="91"/>
      <c r="BS82" s="91"/>
      <c r="BT82" s="91"/>
      <c r="BU82" s="91"/>
      <c r="BV82" s="91"/>
      <c r="BW82" s="91"/>
      <c r="BX82" s="91"/>
      <c r="BY82" s="91"/>
      <c r="BZ82" s="91"/>
      <c r="CA82" s="91"/>
      <c r="CC82" s="79" t="n">
        <f aca="false">SUMIFS($T82:$CA82, $T$1:$CA$1, CC$63)</f>
        <v>0</v>
      </c>
      <c r="CD82" s="79" t="n">
        <f aca="false">SUMIFS($T82:$CA82, $T$1:$CA$1, CD$63)</f>
        <v>0</v>
      </c>
      <c r="CE82" s="79" t="n">
        <f aca="false">SUMIFS($T82:$CA82, $T$1:$CA$1, CE$63)</f>
        <v>0</v>
      </c>
      <c r="CF82" s="79" t="n">
        <f aca="false">SUMIFS($T82:$CA82, $T$1:$CA$1, CF$63)</f>
        <v>0</v>
      </c>
      <c r="CG82" s="79" t="n">
        <f aca="false">SUMIFS($T82:$CA82, $T$1:$CA$1, CG$63)</f>
        <v>0</v>
      </c>
      <c r="CI82" s="79" t="n">
        <f aca="false">CC82=L82</f>
        <v>1</v>
      </c>
      <c r="CJ82" s="79" t="n">
        <f aca="false">CD82=M82</f>
        <v>1</v>
      </c>
      <c r="CK82" s="79" t="n">
        <f aca="false">CE82=N82</f>
        <v>1</v>
      </c>
      <c r="CL82" s="79" t="n">
        <f aca="false">CF82=O82</f>
        <v>1</v>
      </c>
      <c r="CM82" s="79" t="n">
        <f aca="false">CG82=P82</f>
        <v>1</v>
      </c>
    </row>
    <row r="83" s="14" customFormat="true" ht="16.5" hidden="false" customHeight="true" outlineLevel="0" collapsed="false">
      <c r="E83" s="91"/>
      <c r="H83" s="71"/>
      <c r="I83" s="91" t="n">
        <v>0</v>
      </c>
      <c r="J83" s="91" t="n">
        <v>0</v>
      </c>
      <c r="K83" s="207" t="n">
        <f aca="false">I83-J83</f>
        <v>0</v>
      </c>
      <c r="L83" s="91"/>
      <c r="M83" s="91"/>
      <c r="N83" s="91"/>
      <c r="O83" s="91"/>
      <c r="P83" s="91"/>
      <c r="Q83" s="93"/>
      <c r="R83" s="16" t="str">
        <f aca="false">IF(K83=P83, "", "Error")</f>
        <v/>
      </c>
      <c r="T83" s="91"/>
      <c r="U83" s="91"/>
      <c r="V83" s="91"/>
      <c r="W83" s="91"/>
      <c r="X83" s="91"/>
      <c r="Y83" s="91"/>
      <c r="Z83" s="91"/>
      <c r="AA83" s="91"/>
      <c r="AB83" s="91"/>
      <c r="AC83" s="91"/>
      <c r="AD83" s="91"/>
      <c r="AE83" s="94"/>
      <c r="AF83" s="95"/>
      <c r="AG83" s="91"/>
      <c r="AH83" s="91"/>
      <c r="AI83" s="91"/>
      <c r="AJ83" s="91"/>
      <c r="AK83" s="91"/>
      <c r="AL83" s="91"/>
      <c r="AM83" s="91"/>
      <c r="AN83" s="91"/>
      <c r="AO83" s="91"/>
      <c r="AP83" s="91"/>
      <c r="AQ83" s="94"/>
      <c r="AR83" s="95"/>
      <c r="AS83" s="91"/>
      <c r="AT83" s="91"/>
      <c r="AU83" s="91"/>
      <c r="AV83" s="91"/>
      <c r="AW83" s="91"/>
      <c r="AX83" s="91"/>
      <c r="AY83" s="91"/>
      <c r="AZ83" s="91"/>
      <c r="BA83" s="91"/>
      <c r="BB83" s="91"/>
      <c r="BC83" s="94"/>
      <c r="BD83" s="95"/>
      <c r="BE83" s="91"/>
      <c r="BF83" s="91"/>
      <c r="BG83" s="91"/>
      <c r="BH83" s="91"/>
      <c r="BI83" s="91"/>
      <c r="BJ83" s="91"/>
      <c r="BK83" s="91"/>
      <c r="BL83" s="91"/>
      <c r="BM83" s="91"/>
      <c r="BN83" s="91"/>
      <c r="BO83" s="94"/>
      <c r="BP83" s="95"/>
      <c r="BQ83" s="91"/>
      <c r="BR83" s="91"/>
      <c r="BS83" s="91"/>
      <c r="BT83" s="91"/>
      <c r="BU83" s="91"/>
      <c r="BV83" s="91"/>
      <c r="BW83" s="91"/>
      <c r="BX83" s="91"/>
      <c r="BY83" s="91"/>
      <c r="BZ83" s="91"/>
      <c r="CA83" s="91"/>
      <c r="CC83" s="79" t="n">
        <f aca="false">SUMIFS($T83:$CA83, $T$1:$CA$1, CC$63)</f>
        <v>0</v>
      </c>
      <c r="CD83" s="79" t="n">
        <f aca="false">SUMIFS($T83:$CA83, $T$1:$CA$1, CD$63)</f>
        <v>0</v>
      </c>
      <c r="CE83" s="79" t="n">
        <f aca="false">SUMIFS($T83:$CA83, $T$1:$CA$1, CE$63)</f>
        <v>0</v>
      </c>
      <c r="CF83" s="79" t="n">
        <f aca="false">SUMIFS($T83:$CA83, $T$1:$CA$1, CF$63)</f>
        <v>0</v>
      </c>
      <c r="CG83" s="79" t="n">
        <f aca="false">SUMIFS($T83:$CA83, $T$1:$CA$1, CG$63)</f>
        <v>0</v>
      </c>
      <c r="CI83" s="79" t="n">
        <f aca="false">CC83=L83</f>
        <v>1</v>
      </c>
      <c r="CJ83" s="79" t="n">
        <f aca="false">CD83=M83</f>
        <v>1</v>
      </c>
      <c r="CK83" s="79" t="n">
        <f aca="false">CE83=N83</f>
        <v>1</v>
      </c>
      <c r="CL83" s="79" t="n">
        <f aca="false">CF83=O83</f>
        <v>1</v>
      </c>
      <c r="CM83" s="79" t="n">
        <f aca="false">CG83=P83</f>
        <v>1</v>
      </c>
    </row>
    <row r="84" s="14" customFormat="true" ht="16.5" hidden="false" customHeight="true" outlineLevel="0" collapsed="false">
      <c r="E84" s="96" t="s">
        <v>133</v>
      </c>
      <c r="H84" s="71"/>
      <c r="I84" s="82" t="n">
        <f aca="false">SUM(I79:I83)</f>
        <v>0</v>
      </c>
      <c r="J84" s="82" t="n">
        <f aca="false">SUM(J79:J83)</f>
        <v>0</v>
      </c>
      <c r="K84" s="82" t="n">
        <f aca="false">SUM(K79:K83)</f>
        <v>0</v>
      </c>
      <c r="L84" s="82" t="n">
        <f aca="false">SUM(L79:L83)</f>
        <v>0</v>
      </c>
      <c r="M84" s="82" t="n">
        <f aca="false">SUM(M79:M83)</f>
        <v>0</v>
      </c>
      <c r="N84" s="82" t="n">
        <f aca="false">SUM(N79:N83)</f>
        <v>0</v>
      </c>
      <c r="O84" s="82" t="n">
        <f aca="false">SUM(O79:O83)</f>
        <v>0</v>
      </c>
      <c r="P84" s="82" t="n">
        <f aca="false">SUM(P79:P83)</f>
        <v>0</v>
      </c>
      <c r="Q84" s="103"/>
      <c r="R84" s="103"/>
      <c r="S84" s="104"/>
      <c r="T84" s="82" t="n">
        <f aca="false">SUM(T79:T83)</f>
        <v>0</v>
      </c>
      <c r="U84" s="82" t="n">
        <f aca="false">SUM(U79:U83)</f>
        <v>0</v>
      </c>
      <c r="V84" s="82" t="n">
        <f aca="false">SUM(V79:V83)</f>
        <v>0</v>
      </c>
      <c r="W84" s="82" t="n">
        <f aca="false">SUM(W79:W83)</f>
        <v>0</v>
      </c>
      <c r="X84" s="82" t="n">
        <f aca="false">SUM(X79:X83)</f>
        <v>0</v>
      </c>
      <c r="Y84" s="82" t="n">
        <f aca="false">SUM(Y79:Y83)</f>
        <v>0</v>
      </c>
      <c r="Z84" s="82" t="n">
        <f aca="false">SUM(Z79:Z83)</f>
        <v>0</v>
      </c>
      <c r="AA84" s="82" t="n">
        <f aca="false">SUM(AA79:AA83)</f>
        <v>0</v>
      </c>
      <c r="AB84" s="82" t="n">
        <f aca="false">SUM(AB79:AB83)</f>
        <v>0</v>
      </c>
      <c r="AC84" s="82" t="n">
        <f aca="false">SUM(AC79:AC83)</f>
        <v>0</v>
      </c>
      <c r="AD84" s="82" t="n">
        <f aca="false">SUM(AD79:AD83)</f>
        <v>0</v>
      </c>
      <c r="AE84" s="82" t="n">
        <f aca="false">SUM(AE79:AE83)</f>
        <v>0</v>
      </c>
      <c r="AF84" s="82" t="n">
        <f aca="false">SUM(AF79:AF83)</f>
        <v>0</v>
      </c>
      <c r="AG84" s="82" t="n">
        <f aca="false">SUM(AG79:AG83)</f>
        <v>0</v>
      </c>
      <c r="AH84" s="82" t="n">
        <f aca="false">SUM(AH79:AH83)</f>
        <v>0</v>
      </c>
      <c r="AI84" s="82" t="n">
        <f aca="false">SUM(AI79:AI83)</f>
        <v>0</v>
      </c>
      <c r="AJ84" s="82" t="n">
        <f aca="false">SUM(AJ79:AJ83)</f>
        <v>0</v>
      </c>
      <c r="AK84" s="82" t="n">
        <f aca="false">SUM(AK79:AK83)</f>
        <v>0</v>
      </c>
      <c r="AL84" s="82" t="n">
        <f aca="false">SUM(AL79:AL83)</f>
        <v>0</v>
      </c>
      <c r="AM84" s="82" t="n">
        <f aca="false">SUM(AM79:AM83)</f>
        <v>0</v>
      </c>
      <c r="AN84" s="82" t="n">
        <f aca="false">SUM(AN79:AN83)</f>
        <v>0</v>
      </c>
      <c r="AO84" s="82" t="n">
        <f aca="false">SUM(AO79:AO83)</f>
        <v>0</v>
      </c>
      <c r="AP84" s="82" t="n">
        <f aca="false">SUM(AP79:AP83)</f>
        <v>0</v>
      </c>
      <c r="AQ84" s="82" t="n">
        <f aca="false">SUM(AQ79:AQ83)</f>
        <v>0</v>
      </c>
      <c r="AR84" s="82" t="n">
        <f aca="false">SUM(AR79:AR83)</f>
        <v>0</v>
      </c>
      <c r="AS84" s="82" t="n">
        <f aca="false">SUM(AS79:AS83)</f>
        <v>0</v>
      </c>
      <c r="AT84" s="82" t="n">
        <f aca="false">SUM(AT79:AT83)</f>
        <v>0</v>
      </c>
      <c r="AU84" s="82" t="n">
        <f aca="false">SUM(AU79:AU83)</f>
        <v>0</v>
      </c>
      <c r="AV84" s="82" t="n">
        <f aca="false">SUM(AV79:AV83)</f>
        <v>0</v>
      </c>
      <c r="AW84" s="82" t="n">
        <f aca="false">SUM(AW79:AW83)</f>
        <v>0</v>
      </c>
      <c r="AX84" s="82" t="n">
        <f aca="false">SUM(AX79:AX83)</f>
        <v>0</v>
      </c>
      <c r="AY84" s="82" t="n">
        <f aca="false">SUM(AY79:AY83)</f>
        <v>0</v>
      </c>
      <c r="AZ84" s="82" t="n">
        <f aca="false">SUM(AZ79:AZ83)</f>
        <v>0</v>
      </c>
      <c r="BA84" s="82" t="n">
        <f aca="false">SUM(BA79:BA83)</f>
        <v>0</v>
      </c>
      <c r="BB84" s="82" t="n">
        <f aca="false">SUM(BB79:BB83)</f>
        <v>0</v>
      </c>
      <c r="BC84" s="82" t="n">
        <f aca="false">SUM(BC79:BC83)</f>
        <v>0</v>
      </c>
      <c r="BD84" s="82" t="n">
        <f aca="false">SUM(BD79:BD83)</f>
        <v>0</v>
      </c>
      <c r="BE84" s="82" t="n">
        <f aca="false">SUM(BE79:BE83)</f>
        <v>0</v>
      </c>
      <c r="BF84" s="82" t="n">
        <f aca="false">SUM(BF79:BF83)</f>
        <v>0</v>
      </c>
      <c r="BG84" s="82" t="n">
        <f aca="false">SUM(BG79:BG83)</f>
        <v>0</v>
      </c>
      <c r="BH84" s="82" t="n">
        <f aca="false">SUM(BH79:BH83)</f>
        <v>0</v>
      </c>
      <c r="BI84" s="82" t="n">
        <f aca="false">SUM(BI79:BI83)</f>
        <v>0</v>
      </c>
      <c r="BJ84" s="82" t="n">
        <f aca="false">SUM(BJ79:BJ83)</f>
        <v>0</v>
      </c>
      <c r="BK84" s="82" t="n">
        <f aca="false">SUM(BK79:BK83)</f>
        <v>0</v>
      </c>
      <c r="BL84" s="82" t="n">
        <f aca="false">SUM(BL79:BL83)</f>
        <v>0</v>
      </c>
      <c r="BM84" s="82" t="n">
        <f aca="false">SUM(BM79:BM83)</f>
        <v>0</v>
      </c>
      <c r="BN84" s="82" t="n">
        <f aca="false">SUM(BN79:BN83)</f>
        <v>0</v>
      </c>
      <c r="BO84" s="82" t="n">
        <f aca="false">SUM(BO79:BO83)</f>
        <v>0</v>
      </c>
      <c r="BP84" s="82" t="n">
        <f aca="false">SUM(BP79:BP83)</f>
        <v>0</v>
      </c>
      <c r="BQ84" s="82" t="n">
        <f aca="false">SUM(BQ79:BQ83)</f>
        <v>0</v>
      </c>
      <c r="BR84" s="82" t="n">
        <f aca="false">SUM(BR79:BR83)</f>
        <v>0</v>
      </c>
      <c r="BS84" s="82" t="n">
        <f aca="false">SUM(BS79:BS83)</f>
        <v>0</v>
      </c>
      <c r="BT84" s="82" t="n">
        <f aca="false">SUM(BT79:BT83)</f>
        <v>0</v>
      </c>
      <c r="BU84" s="82" t="n">
        <f aca="false">SUM(BU79:BU83)</f>
        <v>0</v>
      </c>
      <c r="BV84" s="82" t="n">
        <f aca="false">SUM(BV79:BV83)</f>
        <v>0</v>
      </c>
      <c r="BW84" s="82" t="n">
        <f aca="false">SUM(BW79:BW83)</f>
        <v>0</v>
      </c>
      <c r="BX84" s="82" t="n">
        <f aca="false">SUM(BX79:BX83)</f>
        <v>0</v>
      </c>
      <c r="BY84" s="82" t="n">
        <f aca="false">SUM(BY79:BY83)</f>
        <v>0</v>
      </c>
      <c r="BZ84" s="82" t="n">
        <f aca="false">SUM(BZ79:BZ83)</f>
        <v>0</v>
      </c>
      <c r="CA84" s="82" t="n">
        <f aca="false">SUM(CA79:CA83)</f>
        <v>0</v>
      </c>
      <c r="CB84" s="104"/>
      <c r="CC84" s="105" t="n">
        <f aca="false">SUM(CC79:CC83)</f>
        <v>0</v>
      </c>
      <c r="CD84" s="105" t="n">
        <f aca="false">SUM(CD79:CD83)</f>
        <v>0</v>
      </c>
      <c r="CE84" s="105" t="n">
        <f aca="false">SUM(CE79:CE83)</f>
        <v>0</v>
      </c>
      <c r="CF84" s="105" t="n">
        <f aca="false">SUM(CF79:CF83)</f>
        <v>0</v>
      </c>
      <c r="CG84" s="105" t="n">
        <f aca="false">SUM(CG79:CG83)</f>
        <v>0</v>
      </c>
      <c r="CI84" s="84" t="n">
        <f aca="false">CC84=L84</f>
        <v>1</v>
      </c>
      <c r="CJ84" s="84" t="n">
        <f aca="false">CD84=M84</f>
        <v>1</v>
      </c>
      <c r="CK84" s="84" t="n">
        <f aca="false">CE84=N84</f>
        <v>1</v>
      </c>
      <c r="CL84" s="84" t="n">
        <f aca="false">CF84=O84</f>
        <v>1</v>
      </c>
      <c r="CM84" s="84" t="n">
        <f aca="false">CG84=P84</f>
        <v>1</v>
      </c>
    </row>
    <row r="85" s="14" customFormat="true" ht="16.5" hidden="false" customHeight="true" outlineLevel="0" collapsed="false">
      <c r="E85" s="96"/>
      <c r="H85" s="71"/>
      <c r="I85" s="82"/>
      <c r="J85" s="82"/>
      <c r="K85" s="82"/>
      <c r="L85" s="82"/>
      <c r="M85" s="82"/>
      <c r="N85" s="82"/>
      <c r="O85" s="82"/>
      <c r="P85" s="82"/>
      <c r="Q85" s="16"/>
      <c r="R85" s="16"/>
      <c r="T85" s="82"/>
      <c r="U85" s="82"/>
      <c r="V85" s="82"/>
      <c r="W85" s="82"/>
      <c r="X85" s="82"/>
      <c r="Y85" s="82"/>
      <c r="Z85" s="82"/>
      <c r="AA85" s="82"/>
      <c r="AB85" s="82"/>
      <c r="AC85" s="82"/>
      <c r="AD85" s="82"/>
      <c r="AE85" s="82"/>
      <c r="AF85" s="83"/>
      <c r="AG85" s="82"/>
      <c r="AH85" s="82"/>
      <c r="AI85" s="82"/>
      <c r="AJ85" s="82"/>
      <c r="AK85" s="82"/>
      <c r="AL85" s="82"/>
      <c r="AM85" s="82"/>
      <c r="AN85" s="82"/>
      <c r="AO85" s="82"/>
      <c r="AP85" s="82"/>
      <c r="AQ85" s="82"/>
      <c r="AR85" s="83"/>
      <c r="AS85" s="82"/>
      <c r="AT85" s="82"/>
      <c r="AU85" s="82"/>
      <c r="AV85" s="82"/>
      <c r="AW85" s="82"/>
      <c r="AX85" s="82"/>
      <c r="AY85" s="82"/>
      <c r="AZ85" s="82"/>
      <c r="BA85" s="82"/>
      <c r="BB85" s="82"/>
      <c r="BC85" s="82"/>
      <c r="BD85" s="83"/>
      <c r="BE85" s="82"/>
      <c r="BF85" s="82"/>
      <c r="BG85" s="82"/>
      <c r="BH85" s="82"/>
      <c r="BI85" s="82"/>
      <c r="BJ85" s="82"/>
      <c r="BK85" s="82"/>
      <c r="BL85" s="82"/>
      <c r="BM85" s="82"/>
      <c r="BN85" s="82"/>
      <c r="BO85" s="82"/>
      <c r="BP85" s="83"/>
      <c r="BQ85" s="82"/>
      <c r="BR85" s="82"/>
      <c r="BS85" s="82"/>
      <c r="BT85" s="82"/>
      <c r="BU85" s="82"/>
      <c r="BV85" s="82"/>
      <c r="BW85" s="82"/>
      <c r="BX85" s="82"/>
      <c r="BY85" s="82"/>
      <c r="BZ85" s="82"/>
      <c r="CA85" s="82"/>
      <c r="CC85" s="84"/>
      <c r="CD85" s="84"/>
      <c r="CE85" s="84"/>
      <c r="CF85" s="84"/>
      <c r="CG85" s="84"/>
      <c r="CI85" s="84"/>
      <c r="CJ85" s="84"/>
      <c r="CK85" s="84"/>
      <c r="CL85" s="84"/>
      <c r="CM85" s="84"/>
    </row>
    <row r="86" s="14" customFormat="true" ht="16.5" hidden="false" customHeight="true" outlineLevel="0" collapsed="false">
      <c r="E86" s="96"/>
      <c r="H86" s="71"/>
      <c r="I86" s="82"/>
      <c r="J86" s="82"/>
      <c r="K86" s="82"/>
      <c r="L86" s="82"/>
      <c r="M86" s="82"/>
      <c r="N86" s="82"/>
      <c r="O86" s="82"/>
      <c r="P86" s="82"/>
      <c r="Q86" s="16"/>
      <c r="R86" s="16"/>
      <c r="T86" s="82"/>
      <c r="U86" s="82"/>
      <c r="V86" s="82"/>
      <c r="W86" s="82"/>
      <c r="X86" s="82"/>
      <c r="Y86" s="82"/>
      <c r="Z86" s="82"/>
      <c r="AA86" s="82"/>
      <c r="AB86" s="82"/>
      <c r="AC86" s="82"/>
      <c r="AD86" s="82"/>
      <c r="AE86" s="82"/>
      <c r="AF86" s="83"/>
      <c r="AG86" s="82"/>
      <c r="AH86" s="82"/>
      <c r="AI86" s="82"/>
      <c r="AJ86" s="82"/>
      <c r="AK86" s="82"/>
      <c r="AL86" s="82"/>
      <c r="AM86" s="82"/>
      <c r="AN86" s="82"/>
      <c r="AO86" s="82"/>
      <c r="AP86" s="82"/>
      <c r="AQ86" s="82"/>
      <c r="AR86" s="83"/>
      <c r="AS86" s="82"/>
      <c r="AT86" s="82"/>
      <c r="AU86" s="82"/>
      <c r="AV86" s="82"/>
      <c r="AW86" s="82"/>
      <c r="AX86" s="82"/>
      <c r="AY86" s="82"/>
      <c r="AZ86" s="82"/>
      <c r="BA86" s="82"/>
      <c r="BB86" s="82"/>
      <c r="BC86" s="82"/>
      <c r="BD86" s="83"/>
      <c r="BE86" s="82"/>
      <c r="BF86" s="82"/>
      <c r="BG86" s="82"/>
      <c r="BH86" s="82"/>
      <c r="BI86" s="82"/>
      <c r="BJ86" s="82"/>
      <c r="BK86" s="82"/>
      <c r="BL86" s="82"/>
      <c r="BM86" s="82"/>
      <c r="BN86" s="82"/>
      <c r="BO86" s="82"/>
      <c r="BP86" s="83"/>
      <c r="BQ86" s="82"/>
      <c r="BR86" s="82"/>
      <c r="BS86" s="82"/>
      <c r="BT86" s="82"/>
      <c r="BU86" s="82"/>
      <c r="BV86" s="82"/>
      <c r="BW86" s="82"/>
      <c r="BX86" s="82"/>
      <c r="BY86" s="82"/>
      <c r="BZ86" s="82"/>
      <c r="CA86" s="82"/>
      <c r="CC86" s="84"/>
      <c r="CD86" s="84"/>
      <c r="CE86" s="84"/>
      <c r="CF86" s="84"/>
      <c r="CG86" s="84"/>
      <c r="CI86" s="84"/>
      <c r="CJ86" s="84"/>
      <c r="CK86" s="84"/>
      <c r="CL86" s="84"/>
      <c r="CM86" s="84"/>
    </row>
    <row r="87" s="14" customFormat="true" ht="16.5" hidden="false" customHeight="true" outlineLevel="0" collapsed="false">
      <c r="E87" s="85"/>
      <c r="H87" s="71"/>
      <c r="I87" s="88"/>
      <c r="J87" s="88"/>
      <c r="K87" s="88"/>
      <c r="L87" s="88"/>
      <c r="M87" s="88"/>
      <c r="N87" s="88"/>
      <c r="O87" s="88"/>
      <c r="P87" s="88"/>
      <c r="Q87" s="16"/>
      <c r="R87" s="16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9"/>
      <c r="AG87" s="88"/>
      <c r="AH87" s="88"/>
      <c r="AI87" s="88"/>
      <c r="AJ87" s="88"/>
      <c r="AK87" s="88"/>
      <c r="AL87" s="88"/>
      <c r="AM87" s="88"/>
      <c r="AN87" s="88"/>
      <c r="AO87" s="88"/>
      <c r="AP87" s="88"/>
      <c r="AQ87" s="88"/>
      <c r="AR87" s="89"/>
      <c r="AS87" s="88"/>
      <c r="AT87" s="88"/>
      <c r="AU87" s="88"/>
      <c r="AV87" s="88"/>
      <c r="AW87" s="88"/>
      <c r="AX87" s="88"/>
      <c r="AY87" s="88"/>
      <c r="AZ87" s="88"/>
      <c r="BA87" s="88"/>
      <c r="BB87" s="88"/>
      <c r="BC87" s="88"/>
      <c r="BD87" s="89"/>
      <c r="BE87" s="88"/>
      <c r="BF87" s="88"/>
      <c r="BG87" s="88"/>
      <c r="BH87" s="88"/>
      <c r="BI87" s="88"/>
      <c r="BJ87" s="88"/>
      <c r="BK87" s="88"/>
      <c r="BL87" s="88"/>
      <c r="BM87" s="88"/>
      <c r="BN87" s="88"/>
      <c r="BO87" s="88"/>
      <c r="BP87" s="89"/>
      <c r="BQ87" s="88"/>
      <c r="BR87" s="88"/>
      <c r="BS87" s="88"/>
      <c r="BT87" s="88"/>
      <c r="BU87" s="88"/>
      <c r="BV87" s="88"/>
      <c r="BW87" s="88"/>
      <c r="BX87" s="88"/>
      <c r="BY87" s="88"/>
      <c r="BZ87" s="88"/>
      <c r="CA87" s="88"/>
      <c r="CC87" s="90"/>
      <c r="CD87" s="90"/>
      <c r="CE87" s="90"/>
      <c r="CF87" s="90"/>
      <c r="CG87" s="90"/>
      <c r="CI87" s="90"/>
      <c r="CJ87" s="90"/>
      <c r="CK87" s="90"/>
      <c r="CL87" s="90"/>
      <c r="CM87" s="90"/>
    </row>
    <row r="88" s="14" customFormat="true" ht="16.5" hidden="false" customHeight="true" outlineLevel="0" collapsed="false">
      <c r="E88" s="109" t="s">
        <v>134</v>
      </c>
      <c r="F88" s="109"/>
      <c r="G88" s="109"/>
      <c r="H88" s="110"/>
      <c r="I88" s="212" t="n">
        <f aca="false">SUM(I68, I76, I84)</f>
        <v>0</v>
      </c>
      <c r="J88" s="212" t="n">
        <f aca="false">SUM(J68, J76, J84)</f>
        <v>0</v>
      </c>
      <c r="K88" s="212" t="n">
        <f aca="false">SUM(K68, K76, K84)</f>
        <v>0</v>
      </c>
      <c r="L88" s="212" t="n">
        <f aca="false">SUM(L68, L76, L84)</f>
        <v>0</v>
      </c>
      <c r="M88" s="212" t="n">
        <f aca="false">SUM(M68, M76, M84)</f>
        <v>0</v>
      </c>
      <c r="N88" s="212" t="n">
        <f aca="false">SUM(N68, N76, N84)</f>
        <v>0</v>
      </c>
      <c r="O88" s="212" t="n">
        <f aca="false">SUM(O68, O76, O84)</f>
        <v>0</v>
      </c>
      <c r="P88" s="212" t="n">
        <f aca="false">SUM(P68, P76, P84)</f>
        <v>0</v>
      </c>
      <c r="Q88" s="16"/>
      <c r="R88" s="16"/>
      <c r="T88" s="213" t="n">
        <f aca="false">SUM(T68, T76, T84)</f>
        <v>0</v>
      </c>
      <c r="U88" s="213" t="n">
        <f aca="false">SUM(U68, U76, U84)</f>
        <v>0</v>
      </c>
      <c r="V88" s="213" t="n">
        <f aca="false">SUM(V68, V76, V84)</f>
        <v>0</v>
      </c>
      <c r="W88" s="213" t="n">
        <f aca="false">SUM(W68, W76, W84)</f>
        <v>0</v>
      </c>
      <c r="X88" s="213" t="n">
        <f aca="false">SUM(X68, X76, X84)</f>
        <v>0</v>
      </c>
      <c r="Y88" s="213" t="n">
        <f aca="false">SUM(Y68, Y76, Y84)</f>
        <v>0</v>
      </c>
      <c r="Z88" s="213" t="n">
        <f aca="false">SUM(Z68, Z76, Z84)</f>
        <v>0</v>
      </c>
      <c r="AA88" s="213" t="n">
        <f aca="false">SUM(AA68, AA76, AA84)</f>
        <v>0</v>
      </c>
      <c r="AB88" s="213" t="n">
        <f aca="false">SUM(AB68, AB76, AB84)</f>
        <v>0</v>
      </c>
      <c r="AC88" s="213" t="n">
        <f aca="false">SUM(AC68, AC76, AC84)</f>
        <v>0</v>
      </c>
      <c r="AD88" s="213" t="n">
        <f aca="false">SUM(AD68, AD76, AD84)</f>
        <v>0</v>
      </c>
      <c r="AE88" s="213" t="n">
        <f aca="false">SUM(AE68, AE76, AE84)</f>
        <v>0</v>
      </c>
      <c r="AF88" s="213" t="n">
        <f aca="false">SUM(AF68, AF76, AF84)</f>
        <v>0</v>
      </c>
      <c r="AG88" s="213" t="n">
        <f aca="false">SUM(AG68, AG76, AG84)</f>
        <v>0</v>
      </c>
      <c r="AH88" s="213" t="n">
        <f aca="false">SUM(AH68, AH76, AH84)</f>
        <v>0</v>
      </c>
      <c r="AI88" s="213" t="n">
        <f aca="false">SUM(AI68, AI76, AI84)</f>
        <v>0</v>
      </c>
      <c r="AJ88" s="213" t="n">
        <f aca="false">SUM(AJ68, AJ76, AJ84)</f>
        <v>0</v>
      </c>
      <c r="AK88" s="213" t="n">
        <f aca="false">SUM(AK68, AK76, AK84)</f>
        <v>0</v>
      </c>
      <c r="AL88" s="213" t="n">
        <f aca="false">SUM(AL68, AL76, AL84)</f>
        <v>0</v>
      </c>
      <c r="AM88" s="213" t="n">
        <f aca="false">SUM(AM68, AM76, AM84)</f>
        <v>0</v>
      </c>
      <c r="AN88" s="213" t="n">
        <f aca="false">SUM(AN68, AN76, AN84)</f>
        <v>0</v>
      </c>
      <c r="AO88" s="213" t="n">
        <f aca="false">SUM(AO68, AO76, AO84)</f>
        <v>0</v>
      </c>
      <c r="AP88" s="213" t="n">
        <f aca="false">SUM(AP68, AP76, AP84)</f>
        <v>0</v>
      </c>
      <c r="AQ88" s="213" t="n">
        <f aca="false">SUM(AQ68, AQ76, AQ84)</f>
        <v>0</v>
      </c>
      <c r="AR88" s="213" t="n">
        <f aca="false">SUM(AR68, AR76, AR84)</f>
        <v>0</v>
      </c>
      <c r="AS88" s="213" t="n">
        <f aca="false">SUM(AS68, AS76, AS84)</f>
        <v>0</v>
      </c>
      <c r="AT88" s="213" t="n">
        <f aca="false">SUM(AT68, AT76, AT84)</f>
        <v>0</v>
      </c>
      <c r="AU88" s="213" t="n">
        <f aca="false">SUM(AU68, AU76, AU84)</f>
        <v>0</v>
      </c>
      <c r="AV88" s="213" t="n">
        <f aca="false">SUM(AV68, AV76, AV84)</f>
        <v>0</v>
      </c>
      <c r="AW88" s="213" t="n">
        <f aca="false">SUM(AW68, AW76, AW84)</f>
        <v>0</v>
      </c>
      <c r="AX88" s="213" t="n">
        <f aca="false">SUM(AX68, AX76, AX84)</f>
        <v>0</v>
      </c>
      <c r="AY88" s="213" t="n">
        <f aca="false">SUM(AY68, AY76, AY84)</f>
        <v>0</v>
      </c>
      <c r="AZ88" s="213" t="n">
        <f aca="false">SUM(AZ68, AZ76, AZ84)</f>
        <v>0</v>
      </c>
      <c r="BA88" s="213" t="n">
        <f aca="false">SUM(BA68, BA76, BA84)</f>
        <v>0</v>
      </c>
      <c r="BB88" s="213" t="n">
        <f aca="false">SUM(BB68, BB76, BB84)</f>
        <v>0</v>
      </c>
      <c r="BC88" s="213" t="n">
        <f aca="false">SUM(BC68, BC76, BC84)</f>
        <v>0</v>
      </c>
      <c r="BD88" s="213" t="n">
        <f aca="false">SUM(BD68, BD76, BD84)</f>
        <v>0</v>
      </c>
      <c r="BE88" s="213" t="n">
        <f aca="false">SUM(BE68, BE76, BE84)</f>
        <v>0</v>
      </c>
      <c r="BF88" s="213" t="n">
        <f aca="false">SUM(BF68, BF76, BF84)</f>
        <v>0</v>
      </c>
      <c r="BG88" s="213" t="n">
        <f aca="false">SUM(BG68, BG76, BG84)</f>
        <v>0</v>
      </c>
      <c r="BH88" s="213" t="n">
        <f aca="false">SUM(BH68, BH76, BH84)</f>
        <v>0</v>
      </c>
      <c r="BI88" s="213" t="n">
        <f aca="false">SUM(BI68, BI76, BI84)</f>
        <v>0</v>
      </c>
      <c r="BJ88" s="213" t="n">
        <f aca="false">SUM(BJ68, BJ76, BJ84)</f>
        <v>0</v>
      </c>
      <c r="BK88" s="213" t="n">
        <f aca="false">SUM(BK68, BK76, BK84)</f>
        <v>0</v>
      </c>
      <c r="BL88" s="213" t="n">
        <f aca="false">SUM(BL68, BL76, BL84)</f>
        <v>0</v>
      </c>
      <c r="BM88" s="213" t="n">
        <f aca="false">SUM(BM68, BM76, BM84)</f>
        <v>0</v>
      </c>
      <c r="BN88" s="213" t="n">
        <f aca="false">SUM(BN68, BN76, BN84)</f>
        <v>0</v>
      </c>
      <c r="BO88" s="213" t="n">
        <f aca="false">SUM(BO68, BO76, BO84)</f>
        <v>0</v>
      </c>
      <c r="BP88" s="213" t="n">
        <f aca="false">SUM(BP68, BP76, BP84)</f>
        <v>0</v>
      </c>
      <c r="BQ88" s="213" t="n">
        <f aca="false">SUM(BQ68, BQ76, BQ84)</f>
        <v>0</v>
      </c>
      <c r="BR88" s="213" t="n">
        <f aca="false">SUM(BR68, BR76, BR84)</f>
        <v>0</v>
      </c>
      <c r="BS88" s="213" t="n">
        <f aca="false">SUM(BS68, BS76, BS84)</f>
        <v>0</v>
      </c>
      <c r="BT88" s="213" t="n">
        <f aca="false">SUM(BT68, BT76, BT84)</f>
        <v>0</v>
      </c>
      <c r="BU88" s="213" t="n">
        <f aca="false">SUM(BU68, BU76, BU84)</f>
        <v>0</v>
      </c>
      <c r="BV88" s="213" t="n">
        <f aca="false">SUM(BV68, BV76, BV84)</f>
        <v>0</v>
      </c>
      <c r="BW88" s="213" t="n">
        <f aca="false">SUM(BW68, BW76, BW84)</f>
        <v>0</v>
      </c>
      <c r="BX88" s="213" t="n">
        <f aca="false">SUM(BX68, BX76, BX84)</f>
        <v>0</v>
      </c>
      <c r="BY88" s="213" t="n">
        <f aca="false">SUM(BY68, BY76, BY84)</f>
        <v>0</v>
      </c>
      <c r="BZ88" s="213" t="n">
        <f aca="false">SUM(BZ68, BZ76, BZ84)</f>
        <v>0</v>
      </c>
      <c r="CA88" s="213" t="n">
        <f aca="false">SUM(CA68, CA76, CA84)</f>
        <v>0</v>
      </c>
      <c r="CC88" s="112" t="n">
        <f aca="false">SUM(CC68, CC76, CC84)</f>
        <v>0</v>
      </c>
      <c r="CD88" s="112" t="n">
        <f aca="false">SUM(CD68, CD76, CD84)</f>
        <v>0</v>
      </c>
      <c r="CE88" s="112" t="n">
        <f aca="false">SUM(CE68, CE76, CE84)</f>
        <v>0</v>
      </c>
      <c r="CF88" s="112" t="n">
        <f aca="false">SUM(CF68, CF76, CF84)</f>
        <v>0</v>
      </c>
      <c r="CG88" s="112" t="n">
        <f aca="false">SUM(CG68, CG76, CG84)</f>
        <v>0</v>
      </c>
      <c r="CH88" s="112" t="n">
        <f aca="false">SUM(CH68, CH76, CH84)</f>
        <v>0</v>
      </c>
      <c r="CI88" s="113" t="n">
        <f aca="false">CC88=L88</f>
        <v>1</v>
      </c>
      <c r="CJ88" s="113" t="n">
        <f aca="false">CD88=M88</f>
        <v>1</v>
      </c>
      <c r="CK88" s="113" t="n">
        <f aca="false">CE88=N88</f>
        <v>1</v>
      </c>
      <c r="CL88" s="113" t="n">
        <f aca="false">CF88=O88</f>
        <v>1</v>
      </c>
      <c r="CM88" s="113" t="n">
        <f aca="false">CG88=P88</f>
        <v>1</v>
      </c>
    </row>
    <row r="89" s="14" customFormat="true" ht="16.5" hidden="false" customHeight="true" outlineLevel="0" collapsed="false">
      <c r="H89" s="29"/>
      <c r="Q89" s="16"/>
      <c r="R89" s="16"/>
    </row>
    <row r="90" s="14" customFormat="true" ht="16.5" hidden="false" customHeight="true" outlineLevel="0" collapsed="false">
      <c r="H90" s="29"/>
      <c r="Q90" s="16"/>
      <c r="R90" s="16"/>
      <c r="T90" s="62" t="n">
        <v>2026</v>
      </c>
      <c r="U90" s="129"/>
      <c r="V90" s="129"/>
      <c r="W90" s="129"/>
      <c r="X90" s="129"/>
      <c r="Y90" s="129"/>
      <c r="Z90" s="129"/>
      <c r="AA90" s="129"/>
      <c r="AB90" s="129"/>
      <c r="AC90" s="129"/>
      <c r="AD90" s="129"/>
      <c r="AE90" s="129"/>
      <c r="AF90" s="62" t="n">
        <v>2027</v>
      </c>
      <c r="AG90" s="129"/>
      <c r="AH90" s="129"/>
      <c r="AI90" s="129"/>
      <c r="AJ90" s="129"/>
      <c r="AK90" s="129"/>
      <c r="AL90" s="129"/>
      <c r="AM90" s="129"/>
      <c r="AN90" s="129"/>
      <c r="AO90" s="129"/>
      <c r="AP90" s="129"/>
      <c r="AQ90" s="129"/>
      <c r="AR90" s="62" t="n">
        <v>2028</v>
      </c>
      <c r="AS90" s="129"/>
      <c r="AT90" s="129"/>
      <c r="AU90" s="129"/>
      <c r="AV90" s="129"/>
      <c r="AW90" s="129"/>
      <c r="AX90" s="129"/>
      <c r="AY90" s="129"/>
      <c r="AZ90" s="129"/>
      <c r="BA90" s="129"/>
      <c r="BB90" s="129"/>
      <c r="BC90" s="129"/>
      <c r="BD90" s="62" t="n">
        <v>2029</v>
      </c>
      <c r="BE90" s="129"/>
      <c r="BF90" s="129"/>
      <c r="BG90" s="129"/>
      <c r="BH90" s="129"/>
      <c r="BI90" s="129"/>
      <c r="BJ90" s="129"/>
      <c r="BK90" s="129"/>
      <c r="BL90" s="129"/>
      <c r="BM90" s="129"/>
      <c r="BN90" s="129"/>
      <c r="BO90" s="129"/>
      <c r="BP90" s="62" t="n">
        <v>2030</v>
      </c>
      <c r="BQ90" s="130"/>
      <c r="BR90" s="130"/>
      <c r="BS90" s="130"/>
      <c r="BT90" s="130"/>
      <c r="BU90" s="130"/>
      <c r="BV90" s="130"/>
      <c r="BW90" s="130"/>
      <c r="BX90" s="130"/>
      <c r="BY90" s="130"/>
      <c r="BZ90" s="130"/>
      <c r="CA90" s="130"/>
      <c r="CI90" s="206" t="s">
        <v>398</v>
      </c>
      <c r="CJ90" s="206"/>
      <c r="CK90" s="206"/>
      <c r="CL90" s="206"/>
      <c r="CM90" s="206"/>
    </row>
    <row r="91" s="14" customFormat="true" ht="16.5" hidden="false" customHeight="true" outlineLevel="0" collapsed="false">
      <c r="D91" s="30" t="s">
        <v>135</v>
      </c>
      <c r="E91" s="31"/>
      <c r="F91" s="31"/>
      <c r="G91" s="31"/>
      <c r="H91" s="214" t="s">
        <v>120</v>
      </c>
      <c r="I91" s="31" t="s">
        <v>67</v>
      </c>
      <c r="J91" s="31" t="s">
        <v>94</v>
      </c>
      <c r="K91" s="31" t="s">
        <v>121</v>
      </c>
      <c r="L91" s="31" t="n">
        <v>2026</v>
      </c>
      <c r="M91" s="31" t="n">
        <f aca="false">L91+1</f>
        <v>2027</v>
      </c>
      <c r="N91" s="31" t="n">
        <f aca="false">M91+1</f>
        <v>2028</v>
      </c>
      <c r="O91" s="31" t="n">
        <f aca="false">N91+1</f>
        <v>2029</v>
      </c>
      <c r="P91" s="31" t="n">
        <f aca="false">O91+1</f>
        <v>2030</v>
      </c>
      <c r="Q91" s="31" t="s">
        <v>122</v>
      </c>
      <c r="R91" s="31" t="s">
        <v>65</v>
      </c>
      <c r="T91" s="59" t="n">
        <v>46023</v>
      </c>
      <c r="U91" s="60" t="n">
        <f aca="false">EOMONTH(T91, 1)</f>
        <v>46081</v>
      </c>
      <c r="V91" s="60" t="n">
        <f aca="false">EOMONTH(U91, 1)</f>
        <v>46112</v>
      </c>
      <c r="W91" s="60" t="n">
        <f aca="false">EOMONTH(V91, 1)</f>
        <v>46142</v>
      </c>
      <c r="X91" s="60" t="n">
        <f aca="false">EOMONTH(W91, 1)</f>
        <v>46173</v>
      </c>
      <c r="Y91" s="60" t="n">
        <f aca="false">EOMONTH(X91, 1)</f>
        <v>46203</v>
      </c>
      <c r="Z91" s="60" t="n">
        <f aca="false">EOMONTH(Y91, 1)</f>
        <v>46234</v>
      </c>
      <c r="AA91" s="60" t="n">
        <f aca="false">EOMONTH(Z91, 1)</f>
        <v>46265</v>
      </c>
      <c r="AB91" s="60" t="n">
        <f aca="false">EOMONTH(AA91, 1)</f>
        <v>46295</v>
      </c>
      <c r="AC91" s="60" t="n">
        <f aca="false">EOMONTH(AB91, 1)</f>
        <v>46326</v>
      </c>
      <c r="AD91" s="60" t="n">
        <f aca="false">EOMONTH(AC91, 1)</f>
        <v>46356</v>
      </c>
      <c r="AE91" s="61" t="n">
        <f aca="false">EOMONTH(AD91, 1)</f>
        <v>46387</v>
      </c>
      <c r="AF91" s="59" t="n">
        <f aca="false">EOMONTH(AE91, 1)</f>
        <v>46418</v>
      </c>
      <c r="AG91" s="60" t="n">
        <f aca="false">EOMONTH(AF91, 1)</f>
        <v>46446</v>
      </c>
      <c r="AH91" s="60" t="n">
        <f aca="false">EOMONTH(AG91, 1)</f>
        <v>46477</v>
      </c>
      <c r="AI91" s="60" t="n">
        <f aca="false">EOMONTH(AH91, 1)</f>
        <v>46507</v>
      </c>
      <c r="AJ91" s="60" t="n">
        <f aca="false">EOMONTH(AI91, 1)</f>
        <v>46538</v>
      </c>
      <c r="AK91" s="60" t="n">
        <f aca="false">EOMONTH(AJ91, 1)</f>
        <v>46568</v>
      </c>
      <c r="AL91" s="60" t="n">
        <f aca="false">EOMONTH(AK91, 1)</f>
        <v>46599</v>
      </c>
      <c r="AM91" s="60" t="n">
        <f aca="false">EOMONTH(AL91, 1)</f>
        <v>46630</v>
      </c>
      <c r="AN91" s="60" t="n">
        <f aca="false">EOMONTH(AM91, 1)</f>
        <v>46660</v>
      </c>
      <c r="AO91" s="60" t="n">
        <f aca="false">EOMONTH(AN91, 1)</f>
        <v>46691</v>
      </c>
      <c r="AP91" s="60" t="n">
        <f aca="false">EOMONTH(AO91, 1)</f>
        <v>46721</v>
      </c>
      <c r="AQ91" s="61" t="n">
        <f aca="false">EOMONTH(AP91, 1)</f>
        <v>46752</v>
      </c>
      <c r="AR91" s="59" t="n">
        <f aca="false">EOMONTH(AQ91, 1)</f>
        <v>46783</v>
      </c>
      <c r="AS91" s="60" t="n">
        <f aca="false">EOMONTH(AR91, 1)</f>
        <v>46812</v>
      </c>
      <c r="AT91" s="60" t="n">
        <f aca="false">EOMONTH(AS91, 1)</f>
        <v>46843</v>
      </c>
      <c r="AU91" s="60" t="n">
        <f aca="false">EOMONTH(AT91, 1)</f>
        <v>46873</v>
      </c>
      <c r="AV91" s="60" t="n">
        <f aca="false">EOMONTH(AU91, 1)</f>
        <v>46904</v>
      </c>
      <c r="AW91" s="60" t="n">
        <f aca="false">EOMONTH(AV91, 1)</f>
        <v>46934</v>
      </c>
      <c r="AX91" s="60" t="n">
        <f aca="false">EOMONTH(AW91, 1)</f>
        <v>46965</v>
      </c>
      <c r="AY91" s="60" t="n">
        <f aca="false">EOMONTH(AX91, 1)</f>
        <v>46996</v>
      </c>
      <c r="AZ91" s="60" t="n">
        <f aca="false">EOMONTH(AY91, 1)</f>
        <v>47026</v>
      </c>
      <c r="BA91" s="60" t="n">
        <f aca="false">EOMONTH(AZ91, 1)</f>
        <v>47057</v>
      </c>
      <c r="BB91" s="60" t="n">
        <f aca="false">EOMONTH(BA91, 1)</f>
        <v>47087</v>
      </c>
      <c r="BC91" s="61" t="n">
        <f aca="false">EOMONTH(BB91, 1)</f>
        <v>47118</v>
      </c>
      <c r="BD91" s="59" t="n">
        <f aca="false">EOMONTH(BC91, 1)</f>
        <v>47149</v>
      </c>
      <c r="BE91" s="60" t="n">
        <f aca="false">EOMONTH(BD91, 1)</f>
        <v>47177</v>
      </c>
      <c r="BF91" s="60" t="n">
        <f aca="false">EOMONTH(BE91, 1)</f>
        <v>47208</v>
      </c>
      <c r="BG91" s="60" t="n">
        <f aca="false">EOMONTH(BF91, 1)</f>
        <v>47238</v>
      </c>
      <c r="BH91" s="60" t="n">
        <f aca="false">EOMONTH(BG91, 1)</f>
        <v>47269</v>
      </c>
      <c r="BI91" s="60" t="n">
        <f aca="false">EOMONTH(BH91, 1)</f>
        <v>47299</v>
      </c>
      <c r="BJ91" s="60" t="n">
        <f aca="false">EOMONTH(BI91, 1)</f>
        <v>47330</v>
      </c>
      <c r="BK91" s="60" t="n">
        <f aca="false">EOMONTH(BJ91, 1)</f>
        <v>47361</v>
      </c>
      <c r="BL91" s="60" t="n">
        <f aca="false">EOMONTH(BK91, 1)</f>
        <v>47391</v>
      </c>
      <c r="BM91" s="60" t="n">
        <f aca="false">EOMONTH(BL91, 1)</f>
        <v>47422</v>
      </c>
      <c r="BN91" s="60" t="n">
        <f aca="false">EOMONTH(BM91, 1)</f>
        <v>47452</v>
      </c>
      <c r="BO91" s="61" t="n">
        <f aca="false">EOMONTH(BN91, 1)</f>
        <v>47483</v>
      </c>
      <c r="BP91" s="59" t="n">
        <f aca="false">EOMONTH(BO91, 1)</f>
        <v>47514</v>
      </c>
      <c r="BQ91" s="60" t="n">
        <f aca="false">EOMONTH(BP91, 1)</f>
        <v>47542</v>
      </c>
      <c r="BR91" s="60" t="n">
        <f aca="false">EOMONTH(BQ91, 1)</f>
        <v>47573</v>
      </c>
      <c r="BS91" s="60" t="n">
        <f aca="false">EOMONTH(BR91, 1)</f>
        <v>47603</v>
      </c>
      <c r="BT91" s="60" t="n">
        <f aca="false">EOMONTH(BS91, 1)</f>
        <v>47634</v>
      </c>
      <c r="BU91" s="60" t="n">
        <f aca="false">EOMONTH(BT91, 1)</f>
        <v>47664</v>
      </c>
      <c r="BV91" s="60" t="n">
        <f aca="false">EOMONTH(BU91, 1)</f>
        <v>47695</v>
      </c>
      <c r="BW91" s="60" t="n">
        <f aca="false">EOMONTH(BV91, 1)</f>
        <v>47726</v>
      </c>
      <c r="BX91" s="60" t="n">
        <f aca="false">EOMONTH(BW91, 1)</f>
        <v>47756</v>
      </c>
      <c r="BY91" s="60" t="n">
        <f aca="false">EOMONTH(BX91, 1)</f>
        <v>47787</v>
      </c>
      <c r="BZ91" s="60" t="n">
        <f aca="false">EOMONTH(BY91, 1)</f>
        <v>47817</v>
      </c>
      <c r="CA91" s="60" t="n">
        <f aca="false">EOMONTH(BZ91, 1)</f>
        <v>47848</v>
      </c>
      <c r="CC91" s="62" t="n">
        <v>2026</v>
      </c>
      <c r="CD91" s="62" t="n">
        <f aca="false">CC91+1</f>
        <v>2027</v>
      </c>
      <c r="CE91" s="62" t="n">
        <f aca="false">CD91+1</f>
        <v>2028</v>
      </c>
      <c r="CF91" s="62" t="n">
        <f aca="false">CE91+1</f>
        <v>2029</v>
      </c>
      <c r="CG91" s="62" t="n">
        <f aca="false">CF91+1</f>
        <v>2030</v>
      </c>
      <c r="CI91" s="62" t="n">
        <v>2026</v>
      </c>
      <c r="CJ91" s="62" t="n">
        <f aca="false">CI91+1</f>
        <v>2027</v>
      </c>
      <c r="CK91" s="62" t="n">
        <f aca="false">CJ91+1</f>
        <v>2028</v>
      </c>
      <c r="CL91" s="62" t="n">
        <f aca="false">CK91+1</f>
        <v>2029</v>
      </c>
      <c r="CM91" s="62" t="n">
        <f aca="false">CL91+1</f>
        <v>2030</v>
      </c>
    </row>
    <row r="92" s="14" customFormat="true" ht="16.5" hidden="false" customHeight="true" outlineLevel="0" collapsed="false">
      <c r="D92" s="63"/>
      <c r="E92" s="64" t="s">
        <v>92</v>
      </c>
      <c r="H92" s="29"/>
      <c r="I92" s="65" t="str">
        <f aca="false">$H$18</f>
        <v>TTM 6/1/26</v>
      </c>
      <c r="J92" s="65" t="s">
        <v>124</v>
      </c>
      <c r="K92" s="65" t="s">
        <v>125</v>
      </c>
      <c r="L92" s="66"/>
      <c r="M92" s="66"/>
      <c r="N92" s="66"/>
      <c r="O92" s="66"/>
      <c r="P92" s="66"/>
      <c r="Q92" s="16"/>
      <c r="R92" s="16"/>
      <c r="T92" s="66"/>
      <c r="U92" s="66"/>
      <c r="V92" s="66"/>
      <c r="W92" s="66"/>
      <c r="X92" s="66"/>
      <c r="Y92" s="66"/>
      <c r="Z92" s="66"/>
      <c r="AA92" s="66"/>
      <c r="AB92" s="66"/>
      <c r="AC92" s="66"/>
      <c r="AD92" s="66"/>
      <c r="AE92" s="66"/>
      <c r="AF92" s="67"/>
      <c r="AG92" s="66"/>
      <c r="AH92" s="66"/>
      <c r="AI92" s="66"/>
      <c r="AJ92" s="66"/>
      <c r="AK92" s="66"/>
      <c r="AL92" s="66"/>
      <c r="AM92" s="66"/>
      <c r="AN92" s="66"/>
      <c r="AO92" s="66"/>
      <c r="AP92" s="66"/>
      <c r="AQ92" s="66"/>
      <c r="AR92" s="67"/>
      <c r="AS92" s="66"/>
      <c r="AT92" s="66"/>
      <c r="AU92" s="66"/>
      <c r="AV92" s="66"/>
      <c r="AW92" s="66"/>
      <c r="AX92" s="66"/>
      <c r="AY92" s="66"/>
      <c r="AZ92" s="66"/>
      <c r="BA92" s="66"/>
      <c r="BB92" s="66"/>
      <c r="BC92" s="66"/>
      <c r="BD92" s="67"/>
      <c r="BE92" s="66"/>
      <c r="BF92" s="66"/>
      <c r="BG92" s="66"/>
      <c r="BH92" s="66"/>
      <c r="BI92" s="66"/>
      <c r="BJ92" s="66"/>
      <c r="BK92" s="66"/>
      <c r="BL92" s="66"/>
      <c r="BM92" s="66"/>
      <c r="BN92" s="66"/>
      <c r="BO92" s="66"/>
      <c r="BP92" s="67"/>
      <c r="BQ92" s="66"/>
      <c r="BR92" s="66"/>
      <c r="BS92" s="66"/>
      <c r="BT92" s="66"/>
      <c r="BU92" s="66"/>
      <c r="BV92" s="66"/>
      <c r="BW92" s="66"/>
      <c r="BX92" s="66"/>
      <c r="BY92" s="66"/>
      <c r="BZ92" s="66"/>
      <c r="CA92" s="66"/>
    </row>
    <row r="93" s="14" customFormat="true" ht="16.5" hidden="false" customHeight="true" outlineLevel="0" collapsed="false">
      <c r="E93" s="68" t="s">
        <v>126</v>
      </c>
      <c r="F93" s="21"/>
      <c r="G93" s="21"/>
      <c r="H93" s="29"/>
      <c r="I93" s="65"/>
      <c r="J93" s="65"/>
      <c r="K93" s="65"/>
      <c r="Q93" s="16"/>
      <c r="R93" s="16"/>
      <c r="AF93" s="69"/>
      <c r="AR93" s="69"/>
      <c r="BD93" s="69"/>
      <c r="BP93" s="69"/>
    </row>
    <row r="94" s="14" customFormat="true" ht="16.5" hidden="false" customHeight="true" outlineLevel="0" collapsed="false">
      <c r="E94" s="70"/>
      <c r="H94" s="71"/>
      <c r="I94" s="76" t="n">
        <v>0</v>
      </c>
      <c r="J94" s="76" t="n">
        <v>0</v>
      </c>
      <c r="K94" s="207" t="n">
        <f aca="false">J94-I94</f>
        <v>0</v>
      </c>
      <c r="L94" s="76"/>
      <c r="M94" s="76"/>
      <c r="N94" s="76"/>
      <c r="O94" s="76"/>
      <c r="P94" s="77"/>
      <c r="Q94" s="75"/>
      <c r="R94" s="16" t="str">
        <f aca="false">IF(K94=P94, "", "Error")</f>
        <v/>
      </c>
      <c r="T94" s="76"/>
      <c r="U94" s="76"/>
      <c r="V94" s="76"/>
      <c r="W94" s="76"/>
      <c r="X94" s="76"/>
      <c r="Y94" s="76"/>
      <c r="Z94" s="76"/>
      <c r="AA94" s="76"/>
      <c r="AB94" s="76"/>
      <c r="AC94" s="76"/>
      <c r="AD94" s="76"/>
      <c r="AE94" s="77"/>
      <c r="AF94" s="78"/>
      <c r="AG94" s="76"/>
      <c r="AH94" s="76"/>
      <c r="AI94" s="76"/>
      <c r="AJ94" s="76"/>
      <c r="AK94" s="76"/>
      <c r="AL94" s="76"/>
      <c r="AM94" s="76"/>
      <c r="AN94" s="76"/>
      <c r="AO94" s="76"/>
      <c r="AP94" s="76"/>
      <c r="AQ94" s="77"/>
      <c r="AR94" s="78"/>
      <c r="AS94" s="76"/>
      <c r="AT94" s="76"/>
      <c r="AU94" s="76"/>
      <c r="AV94" s="76"/>
      <c r="AW94" s="76"/>
      <c r="AX94" s="76"/>
      <c r="AY94" s="76"/>
      <c r="AZ94" s="76"/>
      <c r="BA94" s="76"/>
      <c r="BB94" s="76"/>
      <c r="BC94" s="77"/>
      <c r="BD94" s="78"/>
      <c r="BE94" s="76"/>
      <c r="BF94" s="76"/>
      <c r="BG94" s="76"/>
      <c r="BH94" s="76"/>
      <c r="BI94" s="76"/>
      <c r="BJ94" s="76"/>
      <c r="BK94" s="76"/>
      <c r="BL94" s="76"/>
      <c r="BM94" s="76"/>
      <c r="BN94" s="76"/>
      <c r="BO94" s="77"/>
      <c r="BP94" s="78"/>
      <c r="BQ94" s="76"/>
      <c r="BR94" s="76"/>
      <c r="BS94" s="76"/>
      <c r="BT94" s="76"/>
      <c r="BU94" s="76"/>
      <c r="BV94" s="76"/>
      <c r="BW94" s="76"/>
      <c r="BX94" s="76"/>
      <c r="BY94" s="76"/>
      <c r="BZ94" s="76"/>
      <c r="CA94" s="76"/>
      <c r="CC94" s="79" t="n">
        <f aca="false">SUMIFS($T94:$CA94, $T$1:$CA$1, CC$63)</f>
        <v>0</v>
      </c>
      <c r="CD94" s="79" t="n">
        <f aca="false">SUMIFS($T94:$CA94, $T$1:$CA$1, CD$63)</f>
        <v>0</v>
      </c>
      <c r="CE94" s="79" t="n">
        <f aca="false">SUMIFS($T94:$CA94, $T$1:$CA$1, CE$63)</f>
        <v>0</v>
      </c>
      <c r="CF94" s="79" t="n">
        <f aca="false">SUMIFS($T94:$CA94, $T$1:$CA$1, CF$63)</f>
        <v>0</v>
      </c>
      <c r="CG94" s="79" t="n">
        <f aca="false">SUMIFS($T94:$CA94, $T$1:$CA$1, CG$63)</f>
        <v>0</v>
      </c>
      <c r="CI94" s="79" t="n">
        <f aca="false">CC94=L94</f>
        <v>1</v>
      </c>
      <c r="CJ94" s="79" t="n">
        <f aca="false">CD94=M94</f>
        <v>1</v>
      </c>
      <c r="CK94" s="79" t="n">
        <f aca="false">CE94=N94</f>
        <v>1</v>
      </c>
      <c r="CL94" s="79" t="n">
        <f aca="false">CF94=O94</f>
        <v>1</v>
      </c>
      <c r="CM94" s="79" t="n">
        <f aca="false">CG94=P94</f>
        <v>1</v>
      </c>
    </row>
    <row r="95" s="14" customFormat="true" ht="16.5" hidden="false" customHeight="true" outlineLevel="0" collapsed="false">
      <c r="E95" s="70"/>
      <c r="H95" s="71"/>
      <c r="I95" s="76" t="n">
        <v>0</v>
      </c>
      <c r="J95" s="76" t="n">
        <v>0</v>
      </c>
      <c r="K95" s="207" t="n">
        <f aca="false">J95-I95</f>
        <v>0</v>
      </c>
      <c r="L95" s="76"/>
      <c r="M95" s="76"/>
      <c r="N95" s="76"/>
      <c r="O95" s="76"/>
      <c r="P95" s="77"/>
      <c r="Q95" s="75"/>
      <c r="R95" s="16" t="str">
        <f aca="false">IF(K95=P95, "", "Error")</f>
        <v/>
      </c>
      <c r="T95" s="76"/>
      <c r="U95" s="76"/>
      <c r="V95" s="76"/>
      <c r="W95" s="76"/>
      <c r="X95" s="76"/>
      <c r="Y95" s="76"/>
      <c r="Z95" s="76"/>
      <c r="AA95" s="76"/>
      <c r="AB95" s="76"/>
      <c r="AC95" s="76"/>
      <c r="AD95" s="76"/>
      <c r="AE95" s="77"/>
      <c r="AF95" s="78"/>
      <c r="AG95" s="76"/>
      <c r="AH95" s="76"/>
      <c r="AI95" s="76"/>
      <c r="AJ95" s="76"/>
      <c r="AK95" s="76"/>
      <c r="AL95" s="76"/>
      <c r="AM95" s="76"/>
      <c r="AN95" s="76"/>
      <c r="AO95" s="76"/>
      <c r="AP95" s="76"/>
      <c r="AQ95" s="77"/>
      <c r="AR95" s="78"/>
      <c r="AS95" s="76"/>
      <c r="AT95" s="76"/>
      <c r="AU95" s="76"/>
      <c r="AV95" s="76"/>
      <c r="AW95" s="76"/>
      <c r="AX95" s="76"/>
      <c r="AY95" s="76"/>
      <c r="AZ95" s="76"/>
      <c r="BA95" s="76"/>
      <c r="BB95" s="76"/>
      <c r="BC95" s="77"/>
      <c r="BD95" s="78"/>
      <c r="BE95" s="76"/>
      <c r="BF95" s="76"/>
      <c r="BG95" s="76"/>
      <c r="BH95" s="76"/>
      <c r="BI95" s="76"/>
      <c r="BJ95" s="76"/>
      <c r="BK95" s="76"/>
      <c r="BL95" s="76"/>
      <c r="BM95" s="76"/>
      <c r="BN95" s="76"/>
      <c r="BO95" s="77"/>
      <c r="BP95" s="78"/>
      <c r="BQ95" s="76"/>
      <c r="BR95" s="76"/>
      <c r="BS95" s="76"/>
      <c r="BT95" s="76"/>
      <c r="BU95" s="76"/>
      <c r="BV95" s="76"/>
      <c r="BW95" s="76"/>
      <c r="BX95" s="76"/>
      <c r="BY95" s="76"/>
      <c r="BZ95" s="76"/>
      <c r="CA95" s="76"/>
      <c r="CC95" s="79" t="n">
        <f aca="false">SUMIFS($T95:$CA95, $T$1:$CA$1, CC$63)</f>
        <v>0</v>
      </c>
      <c r="CD95" s="79" t="n">
        <f aca="false">SUMIFS($T95:$CA95, $T$1:$CA$1, CD$63)</f>
        <v>0</v>
      </c>
      <c r="CE95" s="79" t="n">
        <f aca="false">SUMIFS($T95:$CA95, $T$1:$CA$1, CE$63)</f>
        <v>0</v>
      </c>
      <c r="CF95" s="79" t="n">
        <f aca="false">SUMIFS($T95:$CA95, $T$1:$CA$1, CF$63)</f>
        <v>0</v>
      </c>
      <c r="CG95" s="79" t="n">
        <f aca="false">SUMIFS($T95:$CA95, $T$1:$CA$1, CG$63)</f>
        <v>0</v>
      </c>
      <c r="CI95" s="79" t="n">
        <f aca="false">CC95=L95</f>
        <v>1</v>
      </c>
      <c r="CJ95" s="79" t="n">
        <f aca="false">CD95=M95</f>
        <v>1</v>
      </c>
      <c r="CK95" s="79" t="n">
        <f aca="false">CE95=N95</f>
        <v>1</v>
      </c>
      <c r="CL95" s="79" t="n">
        <f aca="false">CF95=O95</f>
        <v>1</v>
      </c>
      <c r="CM95" s="79" t="n">
        <f aca="false">CG95=P95</f>
        <v>1</v>
      </c>
    </row>
    <row r="96" s="14" customFormat="true" ht="16.5" hidden="false" customHeight="true" outlineLevel="0" collapsed="false">
      <c r="E96" s="80" t="s">
        <v>127</v>
      </c>
      <c r="H96" s="29"/>
      <c r="I96" s="82" t="n">
        <f aca="false">SUM(I94:I95)</f>
        <v>0</v>
      </c>
      <c r="J96" s="82" t="n">
        <f aca="false">SUM(J94:J95)</f>
        <v>0</v>
      </c>
      <c r="K96" s="82" t="n">
        <f aca="false">SUM(K94:K95)</f>
        <v>0</v>
      </c>
      <c r="L96" s="82" t="n">
        <f aca="false">SUM(L94:L95)</f>
        <v>0</v>
      </c>
      <c r="M96" s="82" t="n">
        <f aca="false">SUM(M94:M95)</f>
        <v>0</v>
      </c>
      <c r="N96" s="82" t="n">
        <f aca="false">SUM(N94:N95)</f>
        <v>0</v>
      </c>
      <c r="O96" s="82" t="n">
        <f aca="false">SUM(O94:O95)</f>
        <v>0</v>
      </c>
      <c r="P96" s="82" t="n">
        <f aca="false">SUM(P94:P95)</f>
        <v>0</v>
      </c>
      <c r="Q96" s="16"/>
      <c r="R96" s="16"/>
      <c r="T96" s="82" t="n">
        <f aca="false">SUM(T94:T95)</f>
        <v>0</v>
      </c>
      <c r="U96" s="82" t="n">
        <f aca="false">SUM(U94:U95)</f>
        <v>0</v>
      </c>
      <c r="V96" s="82" t="n">
        <f aca="false">SUM(V94:V95)</f>
        <v>0</v>
      </c>
      <c r="W96" s="82" t="n">
        <f aca="false">SUM(W94:W95)</f>
        <v>0</v>
      </c>
      <c r="X96" s="82" t="n">
        <f aca="false">SUM(X94:X95)</f>
        <v>0</v>
      </c>
      <c r="Y96" s="82" t="n">
        <f aca="false">SUM(Y94:Y95)</f>
        <v>0</v>
      </c>
      <c r="Z96" s="82" t="n">
        <f aca="false">SUM(Z94:Z95)</f>
        <v>0</v>
      </c>
      <c r="AA96" s="82" t="n">
        <f aca="false">SUM(AA94:AA95)</f>
        <v>0</v>
      </c>
      <c r="AB96" s="82" t="n">
        <f aca="false">SUM(AB94:AB95)</f>
        <v>0</v>
      </c>
      <c r="AC96" s="82" t="n">
        <f aca="false">SUM(AC94:AC95)</f>
        <v>0</v>
      </c>
      <c r="AD96" s="82" t="n">
        <f aca="false">SUM(AD94:AD95)</f>
        <v>0</v>
      </c>
      <c r="AE96" s="82" t="n">
        <f aca="false">SUM(AE94:AE95)</f>
        <v>0</v>
      </c>
      <c r="AF96" s="83" t="n">
        <f aca="false">SUM(AF94:AF95)</f>
        <v>0</v>
      </c>
      <c r="AG96" s="82" t="n">
        <f aca="false">SUM(AG94:AG95)</f>
        <v>0</v>
      </c>
      <c r="AH96" s="82" t="n">
        <f aca="false">SUM(AH94:AH95)</f>
        <v>0</v>
      </c>
      <c r="AI96" s="82" t="n">
        <f aca="false">SUM(AI94:AI95)</f>
        <v>0</v>
      </c>
      <c r="AJ96" s="82" t="n">
        <f aca="false">SUM(AJ94:AJ95)</f>
        <v>0</v>
      </c>
      <c r="AK96" s="82" t="n">
        <f aca="false">SUM(AK94:AK95)</f>
        <v>0</v>
      </c>
      <c r="AL96" s="82" t="n">
        <f aca="false">SUM(AL94:AL95)</f>
        <v>0</v>
      </c>
      <c r="AM96" s="82" t="n">
        <f aca="false">SUM(AM94:AM95)</f>
        <v>0</v>
      </c>
      <c r="AN96" s="82" t="n">
        <f aca="false">SUM(AN94:AN95)</f>
        <v>0</v>
      </c>
      <c r="AO96" s="82" t="n">
        <f aca="false">SUM(AO94:AO95)</f>
        <v>0</v>
      </c>
      <c r="AP96" s="82" t="n">
        <f aca="false">SUM(AP94:AP95)</f>
        <v>0</v>
      </c>
      <c r="AQ96" s="82" t="n">
        <f aca="false">SUM(AQ94:AQ95)</f>
        <v>0</v>
      </c>
      <c r="AR96" s="83" t="n">
        <f aca="false">SUM(AR94:AR95)</f>
        <v>0</v>
      </c>
      <c r="AS96" s="82" t="n">
        <f aca="false">SUM(AS94:AS95)</f>
        <v>0</v>
      </c>
      <c r="AT96" s="82" t="n">
        <f aca="false">SUM(AT94:AT95)</f>
        <v>0</v>
      </c>
      <c r="AU96" s="82" t="n">
        <f aca="false">SUM(AU94:AU95)</f>
        <v>0</v>
      </c>
      <c r="AV96" s="82" t="n">
        <f aca="false">SUM(AV94:AV95)</f>
        <v>0</v>
      </c>
      <c r="AW96" s="82" t="n">
        <f aca="false">SUM(AW94:AW95)</f>
        <v>0</v>
      </c>
      <c r="AX96" s="82" t="n">
        <f aca="false">SUM(AX94:AX95)</f>
        <v>0</v>
      </c>
      <c r="AY96" s="82" t="n">
        <f aca="false">SUM(AY94:AY95)</f>
        <v>0</v>
      </c>
      <c r="AZ96" s="82" t="n">
        <f aca="false">SUM(AZ94:AZ95)</f>
        <v>0</v>
      </c>
      <c r="BA96" s="82" t="n">
        <f aca="false">SUM(BA94:BA95)</f>
        <v>0</v>
      </c>
      <c r="BB96" s="82" t="n">
        <f aca="false">SUM(BB94:BB95)</f>
        <v>0</v>
      </c>
      <c r="BC96" s="82" t="n">
        <f aca="false">SUM(BC94:BC95)</f>
        <v>0</v>
      </c>
      <c r="BD96" s="83" t="n">
        <f aca="false">SUM(BD94:BD95)</f>
        <v>0</v>
      </c>
      <c r="BE96" s="82" t="n">
        <f aca="false">SUM(BE94:BE95)</f>
        <v>0</v>
      </c>
      <c r="BF96" s="82" t="n">
        <f aca="false">SUM(BF94:BF95)</f>
        <v>0</v>
      </c>
      <c r="BG96" s="82" t="n">
        <f aca="false">SUM(BG94:BG95)</f>
        <v>0</v>
      </c>
      <c r="BH96" s="82" t="n">
        <f aca="false">SUM(BH94:BH95)</f>
        <v>0</v>
      </c>
      <c r="BI96" s="82" t="n">
        <f aca="false">SUM(BI94:BI95)</f>
        <v>0</v>
      </c>
      <c r="BJ96" s="82" t="n">
        <f aca="false">SUM(BJ94:BJ95)</f>
        <v>0</v>
      </c>
      <c r="BK96" s="82" t="n">
        <f aca="false">SUM(BK94:BK95)</f>
        <v>0</v>
      </c>
      <c r="BL96" s="82" t="n">
        <f aca="false">SUM(BL94:BL95)</f>
        <v>0</v>
      </c>
      <c r="BM96" s="82" t="n">
        <f aca="false">SUM(BM94:BM95)</f>
        <v>0</v>
      </c>
      <c r="BN96" s="82" t="n">
        <f aca="false">SUM(BN94:BN95)</f>
        <v>0</v>
      </c>
      <c r="BO96" s="82" t="n">
        <f aca="false">SUM(BO94:BO95)</f>
        <v>0</v>
      </c>
      <c r="BP96" s="83" t="n">
        <f aca="false">SUM(BP94:BP95)</f>
        <v>0</v>
      </c>
      <c r="BQ96" s="82" t="n">
        <f aca="false">SUM(BQ94:BQ95)</f>
        <v>0</v>
      </c>
      <c r="BR96" s="82" t="n">
        <f aca="false">SUM(BR94:BR95)</f>
        <v>0</v>
      </c>
      <c r="BS96" s="82" t="n">
        <f aca="false">SUM(BS94:BS95)</f>
        <v>0</v>
      </c>
      <c r="BT96" s="82" t="n">
        <f aca="false">SUM(BT94:BT95)</f>
        <v>0</v>
      </c>
      <c r="BU96" s="82" t="n">
        <f aca="false">SUM(BU94:BU95)</f>
        <v>0</v>
      </c>
      <c r="BV96" s="82" t="n">
        <f aca="false">SUM(BV94:BV95)</f>
        <v>0</v>
      </c>
      <c r="BW96" s="82" t="n">
        <f aca="false">SUM(BW94:BW95)</f>
        <v>0</v>
      </c>
      <c r="BX96" s="82" t="n">
        <f aca="false">SUM(BX94:BX95)</f>
        <v>0</v>
      </c>
      <c r="BY96" s="82" t="n">
        <f aca="false">SUM(BY94:BY95)</f>
        <v>0</v>
      </c>
      <c r="BZ96" s="82" t="n">
        <f aca="false">SUM(BZ94:BZ95)</f>
        <v>0</v>
      </c>
      <c r="CA96" s="84" t="n">
        <f aca="false">SUM(CA94:CA95)</f>
        <v>0</v>
      </c>
      <c r="CC96" s="84" t="n">
        <f aca="false">SUM(CC94:CC95)</f>
        <v>0</v>
      </c>
      <c r="CD96" s="84" t="n">
        <f aca="false">SUM(CD94:CD95)</f>
        <v>0</v>
      </c>
      <c r="CE96" s="84" t="n">
        <f aca="false">SUM(CE94:CE95)</f>
        <v>0</v>
      </c>
      <c r="CF96" s="84" t="n">
        <f aca="false">SUM(CF94:CF95)</f>
        <v>0</v>
      </c>
      <c r="CG96" s="84" t="n">
        <f aca="false">SUM(CG94:CG95)</f>
        <v>0</v>
      </c>
      <c r="CI96" s="84" t="n">
        <f aca="false">CC96=L96</f>
        <v>1</v>
      </c>
      <c r="CJ96" s="84" t="n">
        <f aca="false">CD96=M96</f>
        <v>1</v>
      </c>
      <c r="CK96" s="84" t="n">
        <f aca="false">CE96=N96</f>
        <v>1</v>
      </c>
      <c r="CL96" s="84" t="n">
        <f aca="false">CF96=O96</f>
        <v>1</v>
      </c>
      <c r="CM96" s="84" t="n">
        <f aca="false">CG96=P96</f>
        <v>1</v>
      </c>
    </row>
    <row r="97" s="14" customFormat="true" ht="16.5" hidden="false" customHeight="true" outlineLevel="0" collapsed="false">
      <c r="E97" s="85"/>
      <c r="H97" s="29"/>
      <c r="I97" s="88"/>
      <c r="J97" s="88"/>
      <c r="K97" s="88"/>
      <c r="L97" s="88"/>
      <c r="M97" s="88"/>
      <c r="N97" s="88"/>
      <c r="O97" s="88"/>
      <c r="P97" s="88"/>
      <c r="Q97" s="16"/>
      <c r="R97" s="16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9"/>
      <c r="AG97" s="88"/>
      <c r="AH97" s="88"/>
      <c r="AI97" s="88"/>
      <c r="AJ97" s="88"/>
      <c r="AK97" s="88"/>
      <c r="AL97" s="88"/>
      <c r="AM97" s="88"/>
      <c r="AN97" s="88"/>
      <c r="AO97" s="88"/>
      <c r="AP97" s="88"/>
      <c r="AQ97" s="88"/>
      <c r="AR97" s="89"/>
      <c r="AS97" s="88"/>
      <c r="AT97" s="88"/>
      <c r="AU97" s="88"/>
      <c r="AV97" s="88"/>
      <c r="AW97" s="88"/>
      <c r="AX97" s="88"/>
      <c r="AY97" s="88"/>
      <c r="AZ97" s="88"/>
      <c r="BA97" s="88"/>
      <c r="BB97" s="88"/>
      <c r="BC97" s="88"/>
      <c r="BD97" s="89"/>
      <c r="BE97" s="88"/>
      <c r="BF97" s="88"/>
      <c r="BG97" s="88"/>
      <c r="BH97" s="88"/>
      <c r="BI97" s="88"/>
      <c r="BJ97" s="88"/>
      <c r="BK97" s="88"/>
      <c r="BL97" s="88"/>
      <c r="BM97" s="88"/>
      <c r="BN97" s="88"/>
      <c r="BO97" s="88"/>
      <c r="BP97" s="89"/>
      <c r="BQ97" s="88"/>
      <c r="BR97" s="88"/>
      <c r="BS97" s="88"/>
      <c r="BT97" s="88"/>
      <c r="BU97" s="88"/>
      <c r="BV97" s="88"/>
      <c r="BW97" s="88"/>
      <c r="BX97" s="88"/>
      <c r="BY97" s="88"/>
      <c r="BZ97" s="88"/>
      <c r="CA97" s="90"/>
      <c r="CC97" s="90"/>
      <c r="CD97" s="90"/>
      <c r="CE97" s="90"/>
      <c r="CF97" s="90"/>
      <c r="CG97" s="90"/>
      <c r="CI97" s="90"/>
      <c r="CJ97" s="90"/>
      <c r="CK97" s="90"/>
      <c r="CL97" s="90"/>
      <c r="CM97" s="90"/>
    </row>
    <row r="98" s="14" customFormat="true" ht="16.5" hidden="false" customHeight="true" outlineLevel="0" collapsed="false">
      <c r="E98" s="21" t="s">
        <v>128</v>
      </c>
      <c r="H98" s="29"/>
      <c r="I98" s="88"/>
      <c r="K98" s="88"/>
      <c r="L98" s="88"/>
      <c r="M98" s="88"/>
      <c r="N98" s="88"/>
      <c r="O98" s="88"/>
      <c r="P98" s="88"/>
      <c r="Q98" s="16"/>
      <c r="R98" s="16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9"/>
      <c r="AG98" s="88"/>
      <c r="AH98" s="88"/>
      <c r="AI98" s="88"/>
      <c r="AJ98" s="88"/>
      <c r="AK98" s="88"/>
      <c r="AL98" s="88"/>
      <c r="AM98" s="88"/>
      <c r="AN98" s="88"/>
      <c r="AO98" s="88"/>
      <c r="AP98" s="88"/>
      <c r="AQ98" s="88"/>
      <c r="AR98" s="89"/>
      <c r="AS98" s="88"/>
      <c r="AT98" s="88"/>
      <c r="AU98" s="88"/>
      <c r="AV98" s="88"/>
      <c r="AW98" s="88"/>
      <c r="AX98" s="88"/>
      <c r="AY98" s="88"/>
      <c r="AZ98" s="88"/>
      <c r="BA98" s="88"/>
      <c r="BB98" s="88"/>
      <c r="BC98" s="88"/>
      <c r="BD98" s="89"/>
      <c r="BE98" s="88"/>
      <c r="BF98" s="88"/>
      <c r="BG98" s="88"/>
      <c r="BH98" s="88"/>
      <c r="BI98" s="88"/>
      <c r="BJ98" s="88"/>
      <c r="BK98" s="88"/>
      <c r="BL98" s="88"/>
      <c r="BM98" s="88"/>
      <c r="BN98" s="88"/>
      <c r="BO98" s="88"/>
      <c r="BP98" s="89"/>
      <c r="BQ98" s="88"/>
      <c r="BR98" s="88"/>
      <c r="BS98" s="88"/>
      <c r="BT98" s="88"/>
      <c r="BU98" s="88"/>
      <c r="BV98" s="88"/>
      <c r="BW98" s="88"/>
      <c r="BX98" s="88"/>
      <c r="BY98" s="88"/>
      <c r="BZ98" s="88"/>
      <c r="CA98" s="90"/>
      <c r="CC98" s="90"/>
      <c r="CD98" s="90"/>
      <c r="CE98" s="90"/>
      <c r="CF98" s="90"/>
      <c r="CG98" s="90"/>
      <c r="CI98" s="90"/>
      <c r="CJ98" s="90"/>
      <c r="CK98" s="90"/>
      <c r="CL98" s="90"/>
      <c r="CM98" s="90"/>
    </row>
    <row r="99" s="14" customFormat="true" ht="16.5" hidden="false" customHeight="true" outlineLevel="0" collapsed="false">
      <c r="E99" s="91"/>
      <c r="H99" s="29"/>
      <c r="I99" s="91" t="n">
        <v>0</v>
      </c>
      <c r="J99" s="91" t="n">
        <v>0</v>
      </c>
      <c r="K99" s="207" t="n">
        <f aca="false">J99-I99</f>
        <v>0</v>
      </c>
      <c r="L99" s="91" t="n">
        <v>0</v>
      </c>
      <c r="M99" s="91" t="n">
        <v>0</v>
      </c>
      <c r="N99" s="91" t="n">
        <v>0</v>
      </c>
      <c r="O99" s="91" t="n">
        <v>0</v>
      </c>
      <c r="P99" s="91" t="n">
        <v>0</v>
      </c>
      <c r="Q99" s="93"/>
      <c r="R99" s="16" t="str">
        <f aca="false">IF(K99=P99, "", "Error")</f>
        <v/>
      </c>
      <c r="T99" s="91"/>
      <c r="U99" s="91"/>
      <c r="V99" s="91"/>
      <c r="W99" s="91"/>
      <c r="X99" s="91"/>
      <c r="Y99" s="91"/>
      <c r="Z99" s="91"/>
      <c r="AA99" s="91"/>
      <c r="AB99" s="91"/>
      <c r="AC99" s="91"/>
      <c r="AD99" s="91"/>
      <c r="AE99" s="94"/>
      <c r="AF99" s="95"/>
      <c r="AG99" s="91"/>
      <c r="AH99" s="91"/>
      <c r="AI99" s="91"/>
      <c r="AJ99" s="91"/>
      <c r="AK99" s="91"/>
      <c r="AL99" s="91"/>
      <c r="AM99" s="91"/>
      <c r="AN99" s="91"/>
      <c r="AO99" s="91"/>
      <c r="AP99" s="91"/>
      <c r="AQ99" s="94"/>
      <c r="AR99" s="95"/>
      <c r="AS99" s="91"/>
      <c r="AT99" s="91"/>
      <c r="AU99" s="91"/>
      <c r="AV99" s="91"/>
      <c r="AW99" s="91"/>
      <c r="AX99" s="91"/>
      <c r="AY99" s="91"/>
      <c r="AZ99" s="91"/>
      <c r="BA99" s="91"/>
      <c r="BB99" s="91"/>
      <c r="BC99" s="94"/>
      <c r="BD99" s="95"/>
      <c r="BE99" s="91"/>
      <c r="BF99" s="91"/>
      <c r="BG99" s="91"/>
      <c r="BH99" s="91"/>
      <c r="BI99" s="91"/>
      <c r="BJ99" s="91"/>
      <c r="BK99" s="91"/>
      <c r="BL99" s="91"/>
      <c r="BM99" s="91"/>
      <c r="BN99" s="91"/>
      <c r="BO99" s="94"/>
      <c r="BP99" s="95"/>
      <c r="BQ99" s="91"/>
      <c r="BR99" s="91"/>
      <c r="BS99" s="91"/>
      <c r="BT99" s="91"/>
      <c r="BU99" s="91"/>
      <c r="BV99" s="91"/>
      <c r="BW99" s="91"/>
      <c r="BX99" s="91"/>
      <c r="BY99" s="91"/>
      <c r="BZ99" s="91"/>
      <c r="CA99" s="119"/>
      <c r="CC99" s="79" t="n">
        <f aca="false">SUMIFS($T99:$CA99, $T$1:$CA$1, CC$63)</f>
        <v>0</v>
      </c>
      <c r="CD99" s="79" t="n">
        <f aca="false">SUMIFS($T99:$CA99, $T$1:$CA$1, CD$63)</f>
        <v>0</v>
      </c>
      <c r="CE99" s="79" t="n">
        <f aca="false">SUMIFS($T99:$CA99, $T$1:$CA$1, CE$63)</f>
        <v>0</v>
      </c>
      <c r="CF99" s="79" t="n">
        <f aca="false">SUMIFS($T99:$CA99, $T$1:$CA$1, CF$63)</f>
        <v>0</v>
      </c>
      <c r="CG99" s="79" t="n">
        <f aca="false">SUMIFS($T99:$CA99, $T$1:$CA$1, CG$63)</f>
        <v>0</v>
      </c>
      <c r="CI99" s="79" t="n">
        <f aca="false">CC99=L99</f>
        <v>1</v>
      </c>
      <c r="CJ99" s="79" t="n">
        <f aca="false">CD99=M99</f>
        <v>1</v>
      </c>
      <c r="CK99" s="79" t="n">
        <f aca="false">CE99=N99</f>
        <v>1</v>
      </c>
      <c r="CL99" s="79" t="n">
        <f aca="false">CF99=O99</f>
        <v>1</v>
      </c>
      <c r="CM99" s="79" t="n">
        <f aca="false">CG99=P99</f>
        <v>1</v>
      </c>
    </row>
    <row r="100" s="14" customFormat="true" ht="16.5" hidden="false" customHeight="true" outlineLevel="0" collapsed="false">
      <c r="E100" s="91"/>
      <c r="H100" s="29"/>
      <c r="I100" s="91" t="n">
        <v>0</v>
      </c>
      <c r="J100" s="91" t="n">
        <v>0</v>
      </c>
      <c r="K100" s="207" t="n">
        <f aca="false">J100-I100</f>
        <v>0</v>
      </c>
      <c r="L100" s="91" t="n">
        <v>0</v>
      </c>
      <c r="M100" s="91" t="n">
        <v>0</v>
      </c>
      <c r="N100" s="91" t="n">
        <v>0</v>
      </c>
      <c r="O100" s="91" t="n">
        <v>0</v>
      </c>
      <c r="P100" s="91" t="n">
        <v>0</v>
      </c>
      <c r="Q100" s="93"/>
      <c r="R100" s="16" t="str">
        <f aca="false">IF(K100=P100, "", "Error")</f>
        <v/>
      </c>
      <c r="T100" s="91"/>
      <c r="U100" s="91"/>
      <c r="V100" s="91"/>
      <c r="W100" s="91"/>
      <c r="X100" s="91"/>
      <c r="Y100" s="91"/>
      <c r="Z100" s="91"/>
      <c r="AA100" s="91"/>
      <c r="AB100" s="91"/>
      <c r="AC100" s="91"/>
      <c r="AD100" s="91"/>
      <c r="AE100" s="94"/>
      <c r="AF100" s="95"/>
      <c r="AG100" s="91"/>
      <c r="AH100" s="91"/>
      <c r="AI100" s="91"/>
      <c r="AJ100" s="91"/>
      <c r="AK100" s="91"/>
      <c r="AL100" s="91"/>
      <c r="AM100" s="91"/>
      <c r="AN100" s="91"/>
      <c r="AO100" s="91"/>
      <c r="AP100" s="91"/>
      <c r="AQ100" s="94"/>
      <c r="AR100" s="95"/>
      <c r="AS100" s="91"/>
      <c r="AT100" s="91"/>
      <c r="AU100" s="91"/>
      <c r="AV100" s="91"/>
      <c r="AW100" s="91"/>
      <c r="AX100" s="91"/>
      <c r="AY100" s="91"/>
      <c r="AZ100" s="91"/>
      <c r="BA100" s="91"/>
      <c r="BB100" s="91"/>
      <c r="BC100" s="94"/>
      <c r="BD100" s="95"/>
      <c r="BE100" s="91"/>
      <c r="BF100" s="91"/>
      <c r="BG100" s="91"/>
      <c r="BH100" s="91"/>
      <c r="BI100" s="91"/>
      <c r="BJ100" s="91"/>
      <c r="BK100" s="91"/>
      <c r="BL100" s="91"/>
      <c r="BM100" s="91"/>
      <c r="BN100" s="91"/>
      <c r="BO100" s="94"/>
      <c r="BP100" s="95"/>
      <c r="BQ100" s="91"/>
      <c r="BR100" s="91"/>
      <c r="BS100" s="91"/>
      <c r="BT100" s="91"/>
      <c r="BU100" s="91"/>
      <c r="BV100" s="91"/>
      <c r="BW100" s="91"/>
      <c r="BX100" s="91"/>
      <c r="BY100" s="91"/>
      <c r="BZ100" s="91"/>
      <c r="CA100" s="119"/>
      <c r="CC100" s="79" t="n">
        <f aca="false">SUMIFS($T100:$CA100, $T$1:$CA$1, CC$63)</f>
        <v>0</v>
      </c>
      <c r="CD100" s="79" t="n">
        <f aca="false">SUMIFS($T100:$CA100, $T$1:$CA$1, CD$63)</f>
        <v>0</v>
      </c>
      <c r="CE100" s="79" t="n">
        <f aca="false">SUMIFS($T100:$CA100, $T$1:$CA$1, CE$63)</f>
        <v>0</v>
      </c>
      <c r="CF100" s="79" t="n">
        <f aca="false">SUMIFS($T100:$CA100, $T$1:$CA$1, CF$63)</f>
        <v>0</v>
      </c>
      <c r="CG100" s="79" t="n">
        <f aca="false">SUMIFS($T100:$CA100, $T$1:$CA$1, CG$63)</f>
        <v>0</v>
      </c>
      <c r="CI100" s="79" t="n">
        <f aca="false">CC100=L100</f>
        <v>1</v>
      </c>
      <c r="CJ100" s="79" t="n">
        <f aca="false">CD100=M100</f>
        <v>1</v>
      </c>
      <c r="CK100" s="79" t="n">
        <f aca="false">CE100=N100</f>
        <v>1</v>
      </c>
      <c r="CL100" s="79" t="n">
        <f aca="false">CF100=O100</f>
        <v>1</v>
      </c>
      <c r="CM100" s="79" t="n">
        <f aca="false">CG100=P100</f>
        <v>1</v>
      </c>
    </row>
    <row r="101" s="14" customFormat="true" ht="16.5" hidden="false" customHeight="true" outlineLevel="0" collapsed="false">
      <c r="E101" s="91"/>
      <c r="H101" s="29"/>
      <c r="I101" s="91" t="n">
        <v>0</v>
      </c>
      <c r="J101" s="91" t="n">
        <v>0</v>
      </c>
      <c r="K101" s="207" t="n">
        <f aca="false">J101-I101</f>
        <v>0</v>
      </c>
      <c r="L101" s="91" t="n">
        <v>0</v>
      </c>
      <c r="M101" s="91" t="n">
        <v>0</v>
      </c>
      <c r="N101" s="91" t="n">
        <v>0</v>
      </c>
      <c r="O101" s="91" t="n">
        <v>0</v>
      </c>
      <c r="P101" s="91" t="n">
        <v>0</v>
      </c>
      <c r="Q101" s="93"/>
      <c r="R101" s="16" t="str">
        <f aca="false">IF(K101=P101, "", "Error")</f>
        <v/>
      </c>
      <c r="T101" s="91"/>
      <c r="U101" s="91"/>
      <c r="V101" s="91"/>
      <c r="W101" s="91"/>
      <c r="X101" s="91"/>
      <c r="Y101" s="91"/>
      <c r="Z101" s="91"/>
      <c r="AA101" s="91"/>
      <c r="AB101" s="91"/>
      <c r="AC101" s="91"/>
      <c r="AD101" s="91"/>
      <c r="AE101" s="94"/>
      <c r="AF101" s="95"/>
      <c r="AG101" s="91"/>
      <c r="AH101" s="91"/>
      <c r="AI101" s="91"/>
      <c r="AJ101" s="91"/>
      <c r="AK101" s="91"/>
      <c r="AL101" s="91"/>
      <c r="AM101" s="91"/>
      <c r="AN101" s="91"/>
      <c r="AO101" s="91"/>
      <c r="AP101" s="91"/>
      <c r="AQ101" s="94"/>
      <c r="AR101" s="95"/>
      <c r="AS101" s="91"/>
      <c r="AT101" s="91"/>
      <c r="AU101" s="91"/>
      <c r="AV101" s="91"/>
      <c r="AW101" s="91"/>
      <c r="AX101" s="91"/>
      <c r="AY101" s="91"/>
      <c r="AZ101" s="91"/>
      <c r="BA101" s="91"/>
      <c r="BB101" s="91"/>
      <c r="BC101" s="94"/>
      <c r="BD101" s="95"/>
      <c r="BE101" s="91"/>
      <c r="BF101" s="91"/>
      <c r="BG101" s="91"/>
      <c r="BH101" s="91"/>
      <c r="BI101" s="91"/>
      <c r="BJ101" s="91"/>
      <c r="BK101" s="91"/>
      <c r="BL101" s="91"/>
      <c r="BM101" s="91"/>
      <c r="BN101" s="91"/>
      <c r="BO101" s="94"/>
      <c r="BP101" s="95"/>
      <c r="BQ101" s="91"/>
      <c r="BR101" s="91"/>
      <c r="BS101" s="91"/>
      <c r="BT101" s="91"/>
      <c r="BU101" s="91"/>
      <c r="BV101" s="91"/>
      <c r="BW101" s="91"/>
      <c r="BX101" s="91"/>
      <c r="BY101" s="91"/>
      <c r="BZ101" s="91"/>
      <c r="CA101" s="119"/>
      <c r="CC101" s="79" t="n">
        <f aca="false">SUMIFS($T101:$CA101, $T$1:$CA$1, CC$63)</f>
        <v>0</v>
      </c>
      <c r="CD101" s="79" t="n">
        <f aca="false">SUMIFS($T101:$CA101, $T$1:$CA$1, CD$63)</f>
        <v>0</v>
      </c>
      <c r="CE101" s="79" t="n">
        <f aca="false">SUMIFS($T101:$CA101, $T$1:$CA$1, CE$63)</f>
        <v>0</v>
      </c>
      <c r="CF101" s="79" t="n">
        <f aca="false">SUMIFS($T101:$CA101, $T$1:$CA$1, CF$63)</f>
        <v>0</v>
      </c>
      <c r="CG101" s="79" t="n">
        <f aca="false">SUMIFS($T101:$CA101, $T$1:$CA$1, CG$63)</f>
        <v>0</v>
      </c>
      <c r="CI101" s="79" t="n">
        <f aca="false">CC101=L101</f>
        <v>1</v>
      </c>
      <c r="CJ101" s="79" t="n">
        <f aca="false">CD101=M101</f>
        <v>1</v>
      </c>
      <c r="CK101" s="79" t="n">
        <f aca="false">CE101=N101</f>
        <v>1</v>
      </c>
      <c r="CL101" s="79" t="n">
        <f aca="false">CF101=O101</f>
        <v>1</v>
      </c>
      <c r="CM101" s="79" t="n">
        <f aca="false">CG101=P101</f>
        <v>1</v>
      </c>
    </row>
    <row r="102" s="14" customFormat="true" ht="16.5" hidden="false" customHeight="true" outlineLevel="0" collapsed="false">
      <c r="E102" s="91"/>
      <c r="H102" s="29"/>
      <c r="I102" s="91" t="n">
        <v>0</v>
      </c>
      <c r="J102" s="91" t="n">
        <v>0</v>
      </c>
      <c r="K102" s="207" t="n">
        <f aca="false">J102-I102</f>
        <v>0</v>
      </c>
      <c r="L102" s="91" t="n">
        <v>0</v>
      </c>
      <c r="M102" s="91" t="n">
        <v>0</v>
      </c>
      <c r="N102" s="91" t="n">
        <v>0</v>
      </c>
      <c r="O102" s="91" t="n">
        <v>0</v>
      </c>
      <c r="P102" s="91" t="n">
        <v>0</v>
      </c>
      <c r="Q102" s="93"/>
      <c r="R102" s="16" t="str">
        <f aca="false">IF(K102=P102, "", "Error")</f>
        <v/>
      </c>
      <c r="T102" s="91"/>
      <c r="U102" s="91"/>
      <c r="V102" s="91"/>
      <c r="W102" s="91"/>
      <c r="X102" s="91"/>
      <c r="Y102" s="91"/>
      <c r="Z102" s="91"/>
      <c r="AA102" s="91"/>
      <c r="AB102" s="91"/>
      <c r="AC102" s="91"/>
      <c r="AD102" s="91"/>
      <c r="AE102" s="94"/>
      <c r="AF102" s="95"/>
      <c r="AG102" s="91"/>
      <c r="AH102" s="91"/>
      <c r="AI102" s="91"/>
      <c r="AJ102" s="91"/>
      <c r="AK102" s="91"/>
      <c r="AL102" s="91"/>
      <c r="AM102" s="91"/>
      <c r="AN102" s="91"/>
      <c r="AO102" s="91"/>
      <c r="AP102" s="91"/>
      <c r="AQ102" s="94"/>
      <c r="AR102" s="95"/>
      <c r="AS102" s="91"/>
      <c r="AT102" s="91"/>
      <c r="AU102" s="91"/>
      <c r="AV102" s="91"/>
      <c r="AW102" s="91"/>
      <c r="AX102" s="91"/>
      <c r="AY102" s="91"/>
      <c r="AZ102" s="91"/>
      <c r="BA102" s="91"/>
      <c r="BB102" s="91"/>
      <c r="BC102" s="94"/>
      <c r="BD102" s="95"/>
      <c r="BE102" s="91"/>
      <c r="BF102" s="91"/>
      <c r="BG102" s="91"/>
      <c r="BH102" s="91"/>
      <c r="BI102" s="91"/>
      <c r="BJ102" s="91"/>
      <c r="BK102" s="91"/>
      <c r="BL102" s="91"/>
      <c r="BM102" s="91"/>
      <c r="BN102" s="91"/>
      <c r="BO102" s="94"/>
      <c r="BP102" s="95"/>
      <c r="BQ102" s="91"/>
      <c r="BR102" s="91"/>
      <c r="BS102" s="91"/>
      <c r="BT102" s="91"/>
      <c r="BU102" s="91"/>
      <c r="BV102" s="91"/>
      <c r="BW102" s="91"/>
      <c r="BX102" s="91"/>
      <c r="BY102" s="91"/>
      <c r="BZ102" s="91"/>
      <c r="CA102" s="119"/>
      <c r="CC102" s="79" t="n">
        <f aca="false">SUMIFS($T102:$CA102, $T$1:$CA$1, CC$63)</f>
        <v>0</v>
      </c>
      <c r="CD102" s="79" t="n">
        <f aca="false">SUMIFS($T102:$CA102, $T$1:$CA$1, CD$63)</f>
        <v>0</v>
      </c>
      <c r="CE102" s="79" t="n">
        <f aca="false">SUMIFS($T102:$CA102, $T$1:$CA$1, CE$63)</f>
        <v>0</v>
      </c>
      <c r="CF102" s="79" t="n">
        <f aca="false">SUMIFS($T102:$CA102, $T$1:$CA$1, CF$63)</f>
        <v>0</v>
      </c>
      <c r="CG102" s="79" t="n">
        <f aca="false">SUMIFS($T102:$CA102, $T$1:$CA$1, CG$63)</f>
        <v>0</v>
      </c>
      <c r="CI102" s="79" t="n">
        <f aca="false">CC102=L102</f>
        <v>1</v>
      </c>
      <c r="CJ102" s="79" t="n">
        <f aca="false">CD102=M102</f>
        <v>1</v>
      </c>
      <c r="CK102" s="79" t="n">
        <f aca="false">CE102=N102</f>
        <v>1</v>
      </c>
      <c r="CL102" s="79" t="n">
        <f aca="false">CF102=O102</f>
        <v>1</v>
      </c>
      <c r="CM102" s="79" t="n">
        <f aca="false">CG102=P102</f>
        <v>1</v>
      </c>
    </row>
    <row r="103" s="14" customFormat="true" ht="16.5" hidden="false" customHeight="true" outlineLevel="0" collapsed="false">
      <c r="E103" s="91"/>
      <c r="H103" s="29"/>
      <c r="I103" s="91"/>
      <c r="J103" s="91"/>
      <c r="K103" s="207" t="n">
        <f aca="false">J103-I103</f>
        <v>0</v>
      </c>
      <c r="L103" s="91" t="n">
        <v>0</v>
      </c>
      <c r="M103" s="91" t="n">
        <v>0</v>
      </c>
      <c r="N103" s="91" t="n">
        <v>0</v>
      </c>
      <c r="O103" s="91" t="n">
        <v>0</v>
      </c>
      <c r="P103" s="91" t="n">
        <v>0</v>
      </c>
      <c r="Q103" s="93"/>
      <c r="R103" s="16"/>
      <c r="T103" s="91"/>
      <c r="U103" s="91"/>
      <c r="V103" s="91"/>
      <c r="W103" s="91"/>
      <c r="X103" s="91"/>
      <c r="Y103" s="91"/>
      <c r="Z103" s="91"/>
      <c r="AA103" s="91"/>
      <c r="AB103" s="91"/>
      <c r="AC103" s="91"/>
      <c r="AD103" s="91"/>
      <c r="AE103" s="94"/>
      <c r="AF103" s="95"/>
      <c r="AG103" s="91"/>
      <c r="AH103" s="91"/>
      <c r="AI103" s="91"/>
      <c r="AJ103" s="91"/>
      <c r="AK103" s="91"/>
      <c r="AL103" s="91"/>
      <c r="AM103" s="91"/>
      <c r="AN103" s="91"/>
      <c r="AO103" s="91"/>
      <c r="AP103" s="91"/>
      <c r="AQ103" s="94"/>
      <c r="AR103" s="95"/>
      <c r="AS103" s="91"/>
      <c r="AT103" s="91"/>
      <c r="AU103" s="91"/>
      <c r="AV103" s="91"/>
      <c r="AW103" s="91"/>
      <c r="AX103" s="91"/>
      <c r="AY103" s="91"/>
      <c r="AZ103" s="91"/>
      <c r="BA103" s="91"/>
      <c r="BB103" s="91"/>
      <c r="BC103" s="94"/>
      <c r="BD103" s="95"/>
      <c r="BE103" s="91"/>
      <c r="BF103" s="91"/>
      <c r="BG103" s="91"/>
      <c r="BH103" s="91"/>
      <c r="BI103" s="91"/>
      <c r="BJ103" s="91"/>
      <c r="BK103" s="91"/>
      <c r="BL103" s="91"/>
      <c r="BM103" s="91"/>
      <c r="BN103" s="91"/>
      <c r="BO103" s="94"/>
      <c r="BP103" s="95"/>
      <c r="BQ103" s="91"/>
      <c r="BR103" s="91"/>
      <c r="BS103" s="91"/>
      <c r="BT103" s="91"/>
      <c r="BU103" s="91"/>
      <c r="BV103" s="91"/>
      <c r="BW103" s="91"/>
      <c r="BX103" s="91"/>
      <c r="BY103" s="91"/>
      <c r="BZ103" s="91"/>
      <c r="CA103" s="119"/>
      <c r="CC103" s="79"/>
      <c r="CD103" s="79"/>
      <c r="CE103" s="79"/>
      <c r="CF103" s="79"/>
      <c r="CG103" s="79"/>
      <c r="CI103" s="79"/>
      <c r="CJ103" s="79"/>
      <c r="CK103" s="79"/>
      <c r="CL103" s="79"/>
      <c r="CM103" s="79"/>
    </row>
    <row r="104" s="14" customFormat="true" ht="16.5" hidden="false" customHeight="true" outlineLevel="0" collapsed="false">
      <c r="E104" s="96" t="s">
        <v>129</v>
      </c>
      <c r="H104" s="29"/>
      <c r="I104" s="82" t="n">
        <f aca="false">SUM(I99:I103)</f>
        <v>0</v>
      </c>
      <c r="J104" s="82" t="n">
        <f aca="false">SUM(J99:J103)</f>
        <v>0</v>
      </c>
      <c r="K104" s="82" t="n">
        <f aca="false">SUM(K99:K103)</f>
        <v>0</v>
      </c>
      <c r="L104" s="82" t="n">
        <f aca="false">SUM(L99:L103)</f>
        <v>0</v>
      </c>
      <c r="M104" s="82" t="n">
        <f aca="false">SUM(M99:M103)</f>
        <v>0</v>
      </c>
      <c r="N104" s="82" t="n">
        <f aca="false">SUM(N99:N103)</f>
        <v>0</v>
      </c>
      <c r="O104" s="82" t="n">
        <f aca="false">SUM(O99:O103)</f>
        <v>0</v>
      </c>
      <c r="P104" s="82" t="n">
        <f aca="false">SUM(P99:P103)</f>
        <v>0</v>
      </c>
      <c r="Q104" s="16"/>
      <c r="R104" s="16"/>
      <c r="T104" s="82" t="n">
        <f aca="false">SUM(T99:T103)</f>
        <v>0</v>
      </c>
      <c r="U104" s="82" t="n">
        <f aca="false">SUM(U99:U103)</f>
        <v>0</v>
      </c>
      <c r="V104" s="82" t="n">
        <f aca="false">SUM(V99:V103)</f>
        <v>0</v>
      </c>
      <c r="W104" s="82" t="n">
        <f aca="false">SUM(W99:W103)</f>
        <v>0</v>
      </c>
      <c r="X104" s="82" t="n">
        <f aca="false">SUM(X99:X103)</f>
        <v>0</v>
      </c>
      <c r="Y104" s="82" t="n">
        <f aca="false">SUM(Y99:Y103)</f>
        <v>0</v>
      </c>
      <c r="Z104" s="82" t="n">
        <f aca="false">SUM(Z99:Z103)</f>
        <v>0</v>
      </c>
      <c r="AA104" s="82" t="n">
        <f aca="false">SUM(AA99:AA103)</f>
        <v>0</v>
      </c>
      <c r="AB104" s="82" t="n">
        <f aca="false">SUM(AB99:AB103)</f>
        <v>0</v>
      </c>
      <c r="AC104" s="82" t="n">
        <f aca="false">SUM(AC99:AC103)</f>
        <v>0</v>
      </c>
      <c r="AD104" s="82" t="n">
        <f aca="false">SUM(AD99:AD103)</f>
        <v>0</v>
      </c>
      <c r="AE104" s="82" t="n">
        <f aca="false">SUM(AE99:AE103)</f>
        <v>0</v>
      </c>
      <c r="AF104" s="83" t="n">
        <f aca="false">SUM(AF99:AF103)</f>
        <v>0</v>
      </c>
      <c r="AG104" s="82" t="n">
        <f aca="false">SUM(AG99:AG103)</f>
        <v>0</v>
      </c>
      <c r="AH104" s="82" t="n">
        <f aca="false">SUM(AH99:AH103)</f>
        <v>0</v>
      </c>
      <c r="AI104" s="82" t="n">
        <f aca="false">SUM(AI99:AI103)</f>
        <v>0</v>
      </c>
      <c r="AJ104" s="82" t="n">
        <f aca="false">SUM(AJ99:AJ103)</f>
        <v>0</v>
      </c>
      <c r="AK104" s="82" t="n">
        <f aca="false">SUM(AK99:AK103)</f>
        <v>0</v>
      </c>
      <c r="AL104" s="82" t="n">
        <f aca="false">SUM(AL99:AL103)</f>
        <v>0</v>
      </c>
      <c r="AM104" s="82" t="n">
        <f aca="false">SUM(AM99:AM103)</f>
        <v>0</v>
      </c>
      <c r="AN104" s="82" t="n">
        <f aca="false">SUM(AN99:AN103)</f>
        <v>0</v>
      </c>
      <c r="AO104" s="82" t="n">
        <f aca="false">SUM(AO99:AO103)</f>
        <v>0</v>
      </c>
      <c r="AP104" s="82" t="n">
        <f aca="false">SUM(AP99:AP103)</f>
        <v>0</v>
      </c>
      <c r="AQ104" s="82" t="n">
        <f aca="false">SUM(AQ99:AQ103)</f>
        <v>0</v>
      </c>
      <c r="AR104" s="83" t="n">
        <f aca="false">SUM(AR99:AR103)</f>
        <v>0</v>
      </c>
      <c r="AS104" s="82" t="n">
        <f aca="false">SUM(AS99:AS103)</f>
        <v>0</v>
      </c>
      <c r="AT104" s="82" t="n">
        <f aca="false">SUM(AT99:AT103)</f>
        <v>0</v>
      </c>
      <c r="AU104" s="82" t="n">
        <f aca="false">SUM(AU99:AU103)</f>
        <v>0</v>
      </c>
      <c r="AV104" s="82" t="n">
        <f aca="false">SUM(AV99:AV103)</f>
        <v>0</v>
      </c>
      <c r="AW104" s="82" t="n">
        <f aca="false">SUM(AW99:AW103)</f>
        <v>0</v>
      </c>
      <c r="AX104" s="82" t="n">
        <f aca="false">SUM(AX99:AX103)</f>
        <v>0</v>
      </c>
      <c r="AY104" s="82" t="n">
        <f aca="false">SUM(AY99:AY103)</f>
        <v>0</v>
      </c>
      <c r="AZ104" s="82" t="n">
        <f aca="false">SUM(AZ99:AZ103)</f>
        <v>0</v>
      </c>
      <c r="BA104" s="82" t="n">
        <f aca="false">SUM(BA99:BA103)</f>
        <v>0</v>
      </c>
      <c r="BB104" s="82" t="n">
        <f aca="false">SUM(BB99:BB103)</f>
        <v>0</v>
      </c>
      <c r="BC104" s="82" t="n">
        <f aca="false">SUM(BC99:BC103)</f>
        <v>0</v>
      </c>
      <c r="BD104" s="83" t="n">
        <f aca="false">SUM(BD99:BD103)</f>
        <v>0</v>
      </c>
      <c r="BE104" s="82" t="n">
        <f aca="false">SUM(BE99:BE103)</f>
        <v>0</v>
      </c>
      <c r="BF104" s="82" t="n">
        <f aca="false">SUM(BF99:BF103)</f>
        <v>0</v>
      </c>
      <c r="BG104" s="82" t="n">
        <f aca="false">SUM(BG99:BG103)</f>
        <v>0</v>
      </c>
      <c r="BH104" s="82" t="n">
        <f aca="false">SUM(BH99:BH103)</f>
        <v>0</v>
      </c>
      <c r="BI104" s="82" t="n">
        <f aca="false">SUM(BI99:BI103)</f>
        <v>0</v>
      </c>
      <c r="BJ104" s="82" t="n">
        <f aca="false">SUM(BJ99:BJ103)</f>
        <v>0</v>
      </c>
      <c r="BK104" s="82" t="n">
        <f aca="false">SUM(BK99:BK103)</f>
        <v>0</v>
      </c>
      <c r="BL104" s="82" t="n">
        <f aca="false">SUM(BL99:BL103)</f>
        <v>0</v>
      </c>
      <c r="BM104" s="82" t="n">
        <f aca="false">SUM(BM99:BM103)</f>
        <v>0</v>
      </c>
      <c r="BN104" s="82" t="n">
        <f aca="false">SUM(BN99:BN103)</f>
        <v>0</v>
      </c>
      <c r="BO104" s="82" t="n">
        <f aca="false">SUM(BO99:BO103)</f>
        <v>0</v>
      </c>
      <c r="BP104" s="83" t="n">
        <f aca="false">SUM(BP99:BP103)</f>
        <v>0</v>
      </c>
      <c r="BQ104" s="82" t="n">
        <f aca="false">SUM(BQ99:BQ103)</f>
        <v>0</v>
      </c>
      <c r="BR104" s="82" t="n">
        <f aca="false">SUM(BR99:BR103)</f>
        <v>0</v>
      </c>
      <c r="BS104" s="82" t="n">
        <f aca="false">SUM(BS99:BS103)</f>
        <v>0</v>
      </c>
      <c r="BT104" s="82" t="n">
        <f aca="false">SUM(BT99:BT103)</f>
        <v>0</v>
      </c>
      <c r="BU104" s="82" t="n">
        <f aca="false">SUM(BU99:BU103)</f>
        <v>0</v>
      </c>
      <c r="BV104" s="82" t="n">
        <f aca="false">SUM(BV99:BV103)</f>
        <v>0</v>
      </c>
      <c r="BW104" s="82" t="n">
        <f aca="false">SUM(BW99:BW103)</f>
        <v>0</v>
      </c>
      <c r="BX104" s="82" t="n">
        <f aca="false">SUM(BX99:BX103)</f>
        <v>0</v>
      </c>
      <c r="BY104" s="82" t="n">
        <f aca="false">SUM(BY99:BY103)</f>
        <v>0</v>
      </c>
      <c r="BZ104" s="82" t="n">
        <f aca="false">SUM(BZ99:BZ103)</f>
        <v>0</v>
      </c>
      <c r="CA104" s="84" t="n">
        <f aca="false">SUM(CA99:CA103)</f>
        <v>0</v>
      </c>
      <c r="CC104" s="84" t="n">
        <f aca="false">SUM(CC99:CC103)</f>
        <v>0</v>
      </c>
      <c r="CD104" s="84" t="n">
        <f aca="false">SUM(CD99:CD103)</f>
        <v>0</v>
      </c>
      <c r="CE104" s="84" t="n">
        <f aca="false">SUM(CE99:CE103)</f>
        <v>0</v>
      </c>
      <c r="CF104" s="84" t="n">
        <f aca="false">SUM(CF99:CF103)</f>
        <v>0</v>
      </c>
      <c r="CG104" s="84" t="n">
        <f aca="false">SUM(CG99:CG103)</f>
        <v>0</v>
      </c>
      <c r="CI104" s="84" t="n">
        <f aca="false">CC104=L104</f>
        <v>1</v>
      </c>
      <c r="CJ104" s="84" t="n">
        <f aca="false">CD104=M104</f>
        <v>1</v>
      </c>
      <c r="CK104" s="84" t="n">
        <f aca="false">CE104=N104</f>
        <v>1</v>
      </c>
      <c r="CL104" s="84" t="n">
        <f aca="false">CF104=O104</f>
        <v>1</v>
      </c>
      <c r="CM104" s="84" t="n">
        <f aca="false">CG104=P104</f>
        <v>1</v>
      </c>
    </row>
    <row r="105" s="14" customFormat="true" ht="16.5" hidden="false" customHeight="true" outlineLevel="0" collapsed="false">
      <c r="H105" s="29"/>
      <c r="I105" s="88"/>
      <c r="J105" s="88"/>
      <c r="K105" s="88"/>
      <c r="L105" s="88"/>
      <c r="M105" s="88"/>
      <c r="N105" s="88"/>
      <c r="O105" s="88"/>
      <c r="P105" s="88"/>
      <c r="Q105" s="16"/>
      <c r="R105" s="16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9"/>
      <c r="AG105" s="88"/>
      <c r="AH105" s="88"/>
      <c r="AI105" s="88"/>
      <c r="AJ105" s="88"/>
      <c r="AK105" s="88"/>
      <c r="AL105" s="88"/>
      <c r="AM105" s="88"/>
      <c r="AN105" s="88"/>
      <c r="AO105" s="88"/>
      <c r="AP105" s="88"/>
      <c r="AQ105" s="88"/>
      <c r="AR105" s="89"/>
      <c r="AS105" s="88"/>
      <c r="AT105" s="88"/>
      <c r="AU105" s="88"/>
      <c r="AV105" s="88"/>
      <c r="AW105" s="88"/>
      <c r="AX105" s="88"/>
      <c r="AY105" s="88"/>
      <c r="AZ105" s="88"/>
      <c r="BA105" s="88"/>
      <c r="BB105" s="88"/>
      <c r="BC105" s="88"/>
      <c r="BD105" s="89"/>
      <c r="BE105" s="88"/>
      <c r="BF105" s="88"/>
      <c r="BG105" s="88"/>
      <c r="BH105" s="88"/>
      <c r="BI105" s="88"/>
      <c r="BJ105" s="88"/>
      <c r="BK105" s="88"/>
      <c r="BL105" s="88"/>
      <c r="BM105" s="88"/>
      <c r="BN105" s="88"/>
      <c r="BO105" s="88"/>
      <c r="BP105" s="89"/>
      <c r="BQ105" s="88"/>
      <c r="BR105" s="88"/>
      <c r="BS105" s="88"/>
      <c r="BT105" s="88"/>
      <c r="BU105" s="88"/>
      <c r="BV105" s="88"/>
      <c r="BW105" s="88"/>
      <c r="BX105" s="88"/>
      <c r="BY105" s="88"/>
      <c r="BZ105" s="88"/>
      <c r="CA105" s="90"/>
      <c r="CC105" s="90"/>
      <c r="CD105" s="90"/>
      <c r="CE105" s="90"/>
      <c r="CF105" s="90"/>
      <c r="CG105" s="90"/>
      <c r="CI105" s="90"/>
      <c r="CJ105" s="90"/>
      <c r="CK105" s="90"/>
      <c r="CL105" s="90"/>
      <c r="CM105" s="90"/>
    </row>
    <row r="106" s="14" customFormat="true" ht="16.5" hidden="false" customHeight="true" outlineLevel="0" collapsed="false">
      <c r="E106" s="21" t="s">
        <v>130</v>
      </c>
      <c r="H106" s="29"/>
      <c r="I106" s="88"/>
      <c r="J106" s="88"/>
      <c r="K106" s="88"/>
      <c r="L106" s="88"/>
      <c r="M106" s="88"/>
      <c r="N106" s="88"/>
      <c r="O106" s="88"/>
      <c r="P106" s="88"/>
      <c r="Q106" s="16"/>
      <c r="R106" s="16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9"/>
      <c r="AG106" s="88"/>
      <c r="AH106" s="88"/>
      <c r="AI106" s="88"/>
      <c r="AJ106" s="88"/>
      <c r="AK106" s="88"/>
      <c r="AL106" s="88"/>
      <c r="AM106" s="88"/>
      <c r="AN106" s="88"/>
      <c r="AO106" s="88"/>
      <c r="AP106" s="88"/>
      <c r="AQ106" s="88"/>
      <c r="AR106" s="89"/>
      <c r="AS106" s="88"/>
      <c r="AT106" s="88"/>
      <c r="AU106" s="88"/>
      <c r="AV106" s="88"/>
      <c r="AW106" s="88"/>
      <c r="AX106" s="88"/>
      <c r="AY106" s="88"/>
      <c r="AZ106" s="88"/>
      <c r="BA106" s="88"/>
      <c r="BB106" s="88"/>
      <c r="BC106" s="88"/>
      <c r="BD106" s="89"/>
      <c r="BE106" s="88"/>
      <c r="BF106" s="88"/>
      <c r="BG106" s="88"/>
      <c r="BH106" s="88"/>
      <c r="BI106" s="88"/>
      <c r="BJ106" s="88"/>
      <c r="BK106" s="88"/>
      <c r="BL106" s="88"/>
      <c r="BM106" s="88"/>
      <c r="BN106" s="88"/>
      <c r="BO106" s="88"/>
      <c r="BP106" s="89"/>
      <c r="BQ106" s="88"/>
      <c r="BR106" s="88"/>
      <c r="BS106" s="88"/>
      <c r="BT106" s="88"/>
      <c r="BU106" s="88"/>
      <c r="BV106" s="88"/>
      <c r="BW106" s="88"/>
      <c r="BX106" s="88"/>
      <c r="BY106" s="88"/>
      <c r="BZ106" s="88"/>
      <c r="CA106" s="90"/>
      <c r="CC106" s="90"/>
      <c r="CD106" s="90"/>
      <c r="CE106" s="90"/>
      <c r="CF106" s="90"/>
      <c r="CG106" s="90"/>
      <c r="CI106" s="90"/>
      <c r="CJ106" s="90"/>
      <c r="CK106" s="90"/>
      <c r="CL106" s="90"/>
      <c r="CM106" s="90"/>
    </row>
    <row r="107" s="14" customFormat="true" ht="16.5" hidden="false" customHeight="true" outlineLevel="0" collapsed="false">
      <c r="E107" s="91" t="s">
        <v>434</v>
      </c>
      <c r="H107" s="29" t="s">
        <v>435</v>
      </c>
      <c r="I107" s="91" t="n">
        <v>0</v>
      </c>
      <c r="J107" s="208" t="n">
        <f aca="false">I107+'SDLC-2 Model'!$K$99</f>
        <v>0</v>
      </c>
      <c r="K107" s="209" t="n">
        <f aca="false">'SDLC-2 Model'!$K$99</f>
        <v>0</v>
      </c>
      <c r="L107" s="208" t="n">
        <f aca="false">'SDLC-2 Model'!L99</f>
        <v>0</v>
      </c>
      <c r="M107" s="208" t="n">
        <f aca="false">'SDLC-2 Model'!M99</f>
        <v>0</v>
      </c>
      <c r="N107" s="208" t="n">
        <f aca="false">'SDLC-2 Model'!N99</f>
        <v>0</v>
      </c>
      <c r="O107" s="208" t="n">
        <f aca="false">'SDLC-2 Model'!O99</f>
        <v>0</v>
      </c>
      <c r="P107" s="208" t="n">
        <f aca="false">'SDLC-2 Model'!P99</f>
        <v>0</v>
      </c>
      <c r="Q107" s="93" t="s">
        <v>251</v>
      </c>
      <c r="R107" s="16" t="str">
        <f aca="false">IF(K107=P107, "", "Error")</f>
        <v/>
      </c>
      <c r="T107" s="208" t="n">
        <f aca="false">'SDLC-2 Model'!T99</f>
        <v>0</v>
      </c>
      <c r="U107" s="208" t="n">
        <f aca="false">'SDLC-2 Model'!U99</f>
        <v>0</v>
      </c>
      <c r="V107" s="208" t="n">
        <f aca="false">'SDLC-2 Model'!V99</f>
        <v>0</v>
      </c>
      <c r="W107" s="208" t="n">
        <f aca="false">'SDLC-2 Model'!W99</f>
        <v>0</v>
      </c>
      <c r="X107" s="208" t="n">
        <f aca="false">'SDLC-2 Model'!X99</f>
        <v>0</v>
      </c>
      <c r="Y107" s="208" t="n">
        <f aca="false">'SDLC-2 Model'!Y99</f>
        <v>0</v>
      </c>
      <c r="Z107" s="208" t="n">
        <f aca="false">'SDLC-2 Model'!Z99</f>
        <v>0</v>
      </c>
      <c r="AA107" s="208" t="n">
        <f aca="false">'SDLC-2 Model'!AA99</f>
        <v>0</v>
      </c>
      <c r="AB107" s="208" t="n">
        <f aca="false">'SDLC-2 Model'!AB99</f>
        <v>0</v>
      </c>
      <c r="AC107" s="208" t="n">
        <f aca="false">'SDLC-2 Model'!AC99</f>
        <v>0</v>
      </c>
      <c r="AD107" s="208" t="n">
        <f aca="false">'SDLC-2 Model'!AD99</f>
        <v>0</v>
      </c>
      <c r="AE107" s="210" t="n">
        <f aca="false">'SDLC-2 Model'!AE99</f>
        <v>0</v>
      </c>
      <c r="AF107" s="211" t="n">
        <f aca="false">'SDLC-2 Model'!AF99</f>
        <v>0</v>
      </c>
      <c r="AG107" s="211" t="n">
        <f aca="false">'SDLC-2 Model'!AG99</f>
        <v>0</v>
      </c>
      <c r="AH107" s="211" t="n">
        <f aca="false">'SDLC-2 Model'!AH99</f>
        <v>0</v>
      </c>
      <c r="AI107" s="211" t="n">
        <f aca="false">'SDLC-2 Model'!AI99</f>
        <v>0</v>
      </c>
      <c r="AJ107" s="211" t="n">
        <f aca="false">'SDLC-2 Model'!AJ99</f>
        <v>0</v>
      </c>
      <c r="AK107" s="211" t="n">
        <f aca="false">'SDLC-2 Model'!AK99</f>
        <v>0</v>
      </c>
      <c r="AL107" s="211" t="n">
        <f aca="false">'SDLC-2 Model'!AL99</f>
        <v>0</v>
      </c>
      <c r="AM107" s="211" t="n">
        <f aca="false">'SDLC-2 Model'!AM99</f>
        <v>0</v>
      </c>
      <c r="AN107" s="211" t="n">
        <f aca="false">'SDLC-2 Model'!AN99</f>
        <v>0</v>
      </c>
      <c r="AO107" s="211" t="n">
        <f aca="false">'SDLC-2 Model'!AO99</f>
        <v>0</v>
      </c>
      <c r="AP107" s="211" t="n">
        <f aca="false">'SDLC-2 Model'!AP99</f>
        <v>0</v>
      </c>
      <c r="AQ107" s="211" t="n">
        <f aca="false">'SDLC-2 Model'!AQ99</f>
        <v>0</v>
      </c>
      <c r="AR107" s="211" t="n">
        <f aca="false">'SDLC-2 Model'!AR99</f>
        <v>0</v>
      </c>
      <c r="AS107" s="211" t="n">
        <f aca="false">'SDLC-2 Model'!AS99</f>
        <v>0</v>
      </c>
      <c r="AT107" s="211" t="n">
        <f aca="false">'SDLC-2 Model'!AT99</f>
        <v>0</v>
      </c>
      <c r="AU107" s="211" t="n">
        <f aca="false">'SDLC-2 Model'!AU99</f>
        <v>0</v>
      </c>
      <c r="AV107" s="211" t="n">
        <f aca="false">'SDLC-2 Model'!AV99</f>
        <v>0</v>
      </c>
      <c r="AW107" s="211" t="n">
        <f aca="false">'SDLC-2 Model'!AW99</f>
        <v>0</v>
      </c>
      <c r="AX107" s="211" t="n">
        <f aca="false">'SDLC-2 Model'!AX99</f>
        <v>0</v>
      </c>
      <c r="AY107" s="211" t="n">
        <f aca="false">'SDLC-2 Model'!AY99</f>
        <v>0</v>
      </c>
      <c r="AZ107" s="211" t="n">
        <f aca="false">'SDLC-2 Model'!AZ99</f>
        <v>0</v>
      </c>
      <c r="BA107" s="211" t="n">
        <f aca="false">'SDLC-2 Model'!BA99</f>
        <v>0</v>
      </c>
      <c r="BB107" s="211" t="n">
        <f aca="false">'SDLC-2 Model'!BB99</f>
        <v>0</v>
      </c>
      <c r="BC107" s="211" t="n">
        <f aca="false">'SDLC-2 Model'!BC99</f>
        <v>0</v>
      </c>
      <c r="BD107" s="211" t="n">
        <f aca="false">'SDLC-2 Model'!BD99</f>
        <v>0</v>
      </c>
      <c r="BE107" s="211" t="n">
        <f aca="false">'SDLC-2 Model'!BE99</f>
        <v>0</v>
      </c>
      <c r="BF107" s="211" t="n">
        <f aca="false">'SDLC-2 Model'!BF99</f>
        <v>0</v>
      </c>
      <c r="BG107" s="211" t="n">
        <f aca="false">'SDLC-2 Model'!BG99</f>
        <v>0</v>
      </c>
      <c r="BH107" s="211" t="n">
        <f aca="false">'SDLC-2 Model'!BH99</f>
        <v>0</v>
      </c>
      <c r="BI107" s="211" t="n">
        <f aca="false">'SDLC-2 Model'!BI99</f>
        <v>0</v>
      </c>
      <c r="BJ107" s="211" t="n">
        <f aca="false">'SDLC-2 Model'!BJ99</f>
        <v>0</v>
      </c>
      <c r="BK107" s="211" t="n">
        <f aca="false">'SDLC-2 Model'!BK99</f>
        <v>0</v>
      </c>
      <c r="BL107" s="211" t="n">
        <f aca="false">'SDLC-2 Model'!BL99</f>
        <v>0</v>
      </c>
      <c r="BM107" s="211" t="n">
        <f aca="false">'SDLC-2 Model'!BM99</f>
        <v>0</v>
      </c>
      <c r="BN107" s="211" t="n">
        <f aca="false">'SDLC-2 Model'!BN99</f>
        <v>0</v>
      </c>
      <c r="BO107" s="211" t="n">
        <f aca="false">'SDLC-2 Model'!BO99</f>
        <v>0</v>
      </c>
      <c r="BP107" s="211" t="n">
        <f aca="false">'SDLC-2 Model'!BP99</f>
        <v>0</v>
      </c>
      <c r="BQ107" s="211" t="n">
        <f aca="false">'SDLC-2 Model'!BQ99</f>
        <v>0</v>
      </c>
      <c r="BR107" s="211" t="n">
        <f aca="false">'SDLC-2 Model'!BR99</f>
        <v>0</v>
      </c>
      <c r="BS107" s="211" t="n">
        <f aca="false">'SDLC-2 Model'!BS99</f>
        <v>0</v>
      </c>
      <c r="BT107" s="211" t="n">
        <f aca="false">'SDLC-2 Model'!BT99</f>
        <v>0</v>
      </c>
      <c r="BU107" s="211" t="n">
        <f aca="false">'SDLC-2 Model'!BU99</f>
        <v>0</v>
      </c>
      <c r="BV107" s="211" t="n">
        <f aca="false">'SDLC-2 Model'!BV99</f>
        <v>0</v>
      </c>
      <c r="BW107" s="211" t="n">
        <f aca="false">'SDLC-2 Model'!BW99</f>
        <v>0</v>
      </c>
      <c r="BX107" s="211" t="n">
        <f aca="false">'SDLC-2 Model'!BX99</f>
        <v>0</v>
      </c>
      <c r="BY107" s="211" t="n">
        <f aca="false">'SDLC-2 Model'!BY99</f>
        <v>0</v>
      </c>
      <c r="BZ107" s="211" t="n">
        <f aca="false">'SDLC-2 Model'!BZ99</f>
        <v>0</v>
      </c>
      <c r="CA107" s="211" t="n">
        <f aca="false">'SDLC-2 Model'!CA99</f>
        <v>0</v>
      </c>
      <c r="CC107" s="79" t="n">
        <f aca="false">SUMIFS($T107:$CA107, $T$1:$CA$1, CC$63)</f>
        <v>0</v>
      </c>
      <c r="CD107" s="79" t="n">
        <f aca="false">SUMIFS($T107:$CA107, $T$1:$CA$1, CD$63)</f>
        <v>0</v>
      </c>
      <c r="CE107" s="79" t="n">
        <f aca="false">SUMIFS($T107:$CA107, $T$1:$CA$1, CE$63)</f>
        <v>0</v>
      </c>
      <c r="CF107" s="79" t="n">
        <f aca="false">SUMIFS($T107:$CA107, $T$1:$CA$1, CF$63)</f>
        <v>0</v>
      </c>
      <c r="CG107" s="79" t="n">
        <f aca="false">SUMIFS($T107:$CA107, $T$1:$CA$1, CG$63)</f>
        <v>0</v>
      </c>
      <c r="CI107" s="79" t="n">
        <f aca="false">CC107=L107</f>
        <v>1</v>
      </c>
      <c r="CJ107" s="79" t="n">
        <f aca="false">CD107=M107</f>
        <v>1</v>
      </c>
      <c r="CK107" s="79" t="n">
        <f aca="false">CE107=N107</f>
        <v>1</v>
      </c>
      <c r="CL107" s="79" t="n">
        <f aca="false">CF107=O107</f>
        <v>1</v>
      </c>
      <c r="CM107" s="79" t="n">
        <f aca="false">CG107=P107</f>
        <v>1</v>
      </c>
    </row>
    <row r="108" s="14" customFormat="true" ht="16.5" hidden="false" customHeight="true" outlineLevel="0" collapsed="false">
      <c r="E108" s="91" t="s">
        <v>358</v>
      </c>
      <c r="H108" s="29" t="s">
        <v>436</v>
      </c>
      <c r="I108" s="91" t="n">
        <v>0</v>
      </c>
      <c r="J108" s="208" t="n">
        <f aca="false">I108+'SDLC-2 Model'!$K$100</f>
        <v>0</v>
      </c>
      <c r="K108" s="209" t="n">
        <f aca="false">'SDLC-2 Model'!$K$100</f>
        <v>0</v>
      </c>
      <c r="L108" s="208" t="n">
        <f aca="false">'SDLC-2 Model'!L100</f>
        <v>0</v>
      </c>
      <c r="M108" s="208" t="n">
        <f aca="false">'SDLC-2 Model'!M100</f>
        <v>0</v>
      </c>
      <c r="N108" s="208" t="n">
        <f aca="false">'SDLC-2 Model'!N100</f>
        <v>0</v>
      </c>
      <c r="O108" s="208" t="n">
        <f aca="false">'SDLC-2 Model'!O100</f>
        <v>0</v>
      </c>
      <c r="P108" s="208" t="n">
        <f aca="false">'SDLC-2 Model'!P100</f>
        <v>0</v>
      </c>
      <c r="Q108" s="93" t="s">
        <v>251</v>
      </c>
      <c r="R108" s="16" t="str">
        <f aca="false">IF(K108=P108, "", "Error")</f>
        <v/>
      </c>
      <c r="T108" s="208" t="n">
        <f aca="false">'SDLC-2 Model'!T100</f>
        <v>0</v>
      </c>
      <c r="U108" s="208" t="n">
        <f aca="false">'SDLC-2 Model'!U100</f>
        <v>0</v>
      </c>
      <c r="V108" s="208" t="n">
        <f aca="false">'SDLC-2 Model'!V100</f>
        <v>0</v>
      </c>
      <c r="W108" s="208" t="n">
        <f aca="false">'SDLC-2 Model'!W100</f>
        <v>0</v>
      </c>
      <c r="X108" s="208" t="n">
        <f aca="false">'SDLC-2 Model'!X100</f>
        <v>0</v>
      </c>
      <c r="Y108" s="208" t="n">
        <f aca="false">'SDLC-2 Model'!Y100</f>
        <v>0</v>
      </c>
      <c r="Z108" s="208" t="n">
        <f aca="false">'SDLC-2 Model'!Z100</f>
        <v>0</v>
      </c>
      <c r="AA108" s="208" t="n">
        <f aca="false">'SDLC-2 Model'!AA100</f>
        <v>0</v>
      </c>
      <c r="AB108" s="208" t="n">
        <f aca="false">'SDLC-2 Model'!AB100</f>
        <v>0</v>
      </c>
      <c r="AC108" s="208" t="n">
        <f aca="false">'SDLC-2 Model'!AC100</f>
        <v>0</v>
      </c>
      <c r="AD108" s="208" t="n">
        <f aca="false">'SDLC-2 Model'!AD100</f>
        <v>0</v>
      </c>
      <c r="AE108" s="210" t="n">
        <f aca="false">'SDLC-2 Model'!AE100</f>
        <v>0</v>
      </c>
      <c r="AF108" s="210" t="n">
        <f aca="false">'SDLC-2 Model'!AF100</f>
        <v>0</v>
      </c>
      <c r="AG108" s="210" t="n">
        <f aca="false">'SDLC-2 Model'!AG100</f>
        <v>0</v>
      </c>
      <c r="AH108" s="210" t="n">
        <f aca="false">'SDLC-2 Model'!AH100</f>
        <v>0</v>
      </c>
      <c r="AI108" s="210" t="n">
        <f aca="false">'SDLC-2 Model'!AI100</f>
        <v>0</v>
      </c>
      <c r="AJ108" s="210" t="n">
        <f aca="false">'SDLC-2 Model'!AJ100</f>
        <v>0</v>
      </c>
      <c r="AK108" s="210" t="n">
        <f aca="false">'SDLC-2 Model'!AK100</f>
        <v>0</v>
      </c>
      <c r="AL108" s="210" t="n">
        <f aca="false">'SDLC-2 Model'!AL100</f>
        <v>0</v>
      </c>
      <c r="AM108" s="210" t="n">
        <f aca="false">'SDLC-2 Model'!AM100</f>
        <v>0</v>
      </c>
      <c r="AN108" s="210" t="n">
        <f aca="false">'SDLC-2 Model'!AN100</f>
        <v>0</v>
      </c>
      <c r="AO108" s="210" t="n">
        <f aca="false">'SDLC-2 Model'!AO100</f>
        <v>0</v>
      </c>
      <c r="AP108" s="210" t="n">
        <f aca="false">'SDLC-2 Model'!AP100</f>
        <v>0</v>
      </c>
      <c r="AQ108" s="210" t="n">
        <f aca="false">'SDLC-2 Model'!AQ100</f>
        <v>0</v>
      </c>
      <c r="AR108" s="210" t="n">
        <f aca="false">'SDLC-2 Model'!AR100</f>
        <v>0</v>
      </c>
      <c r="AS108" s="210" t="n">
        <f aca="false">'SDLC-2 Model'!AS100</f>
        <v>0</v>
      </c>
      <c r="AT108" s="210" t="n">
        <f aca="false">'SDLC-2 Model'!AT100</f>
        <v>0</v>
      </c>
      <c r="AU108" s="210" t="n">
        <f aca="false">'SDLC-2 Model'!AU100</f>
        <v>0</v>
      </c>
      <c r="AV108" s="210" t="n">
        <f aca="false">'SDLC-2 Model'!AV100</f>
        <v>0</v>
      </c>
      <c r="AW108" s="210" t="n">
        <f aca="false">'SDLC-2 Model'!AW100</f>
        <v>0</v>
      </c>
      <c r="AX108" s="210" t="n">
        <f aca="false">'SDLC-2 Model'!AX100</f>
        <v>0</v>
      </c>
      <c r="AY108" s="210" t="n">
        <f aca="false">'SDLC-2 Model'!AY100</f>
        <v>0</v>
      </c>
      <c r="AZ108" s="210" t="n">
        <f aca="false">'SDLC-2 Model'!AZ100</f>
        <v>0</v>
      </c>
      <c r="BA108" s="210" t="n">
        <f aca="false">'SDLC-2 Model'!BA100</f>
        <v>0</v>
      </c>
      <c r="BB108" s="210" t="n">
        <f aca="false">'SDLC-2 Model'!BB100</f>
        <v>0</v>
      </c>
      <c r="BC108" s="210" t="n">
        <f aca="false">'SDLC-2 Model'!BC100</f>
        <v>0</v>
      </c>
      <c r="BD108" s="210" t="n">
        <f aca="false">'SDLC-2 Model'!BD100</f>
        <v>0</v>
      </c>
      <c r="BE108" s="210" t="n">
        <f aca="false">'SDLC-2 Model'!BE100</f>
        <v>0</v>
      </c>
      <c r="BF108" s="210" t="n">
        <f aca="false">'SDLC-2 Model'!BF100</f>
        <v>0</v>
      </c>
      <c r="BG108" s="210" t="n">
        <f aca="false">'SDLC-2 Model'!BG100</f>
        <v>0</v>
      </c>
      <c r="BH108" s="210" t="n">
        <f aca="false">'SDLC-2 Model'!BH100</f>
        <v>0</v>
      </c>
      <c r="BI108" s="210" t="n">
        <f aca="false">'SDLC-2 Model'!BI100</f>
        <v>0</v>
      </c>
      <c r="BJ108" s="210" t="n">
        <f aca="false">'SDLC-2 Model'!BJ100</f>
        <v>0</v>
      </c>
      <c r="BK108" s="210" t="n">
        <f aca="false">'SDLC-2 Model'!BK100</f>
        <v>0</v>
      </c>
      <c r="BL108" s="210" t="n">
        <f aca="false">'SDLC-2 Model'!BL100</f>
        <v>0</v>
      </c>
      <c r="BM108" s="210" t="n">
        <f aca="false">'SDLC-2 Model'!BM100</f>
        <v>0</v>
      </c>
      <c r="BN108" s="210" t="n">
        <f aca="false">'SDLC-2 Model'!BN100</f>
        <v>0</v>
      </c>
      <c r="BO108" s="210" t="n">
        <f aca="false">'SDLC-2 Model'!BO100</f>
        <v>0</v>
      </c>
      <c r="BP108" s="210" t="n">
        <f aca="false">'SDLC-2 Model'!BP100</f>
        <v>0</v>
      </c>
      <c r="BQ108" s="210" t="n">
        <f aca="false">'SDLC-2 Model'!BQ100</f>
        <v>0</v>
      </c>
      <c r="BR108" s="210" t="n">
        <f aca="false">'SDLC-2 Model'!BR100</f>
        <v>0</v>
      </c>
      <c r="BS108" s="210" t="n">
        <f aca="false">'SDLC-2 Model'!BS100</f>
        <v>0</v>
      </c>
      <c r="BT108" s="210" t="n">
        <f aca="false">'SDLC-2 Model'!BT100</f>
        <v>0</v>
      </c>
      <c r="BU108" s="210" t="n">
        <f aca="false">'SDLC-2 Model'!BU100</f>
        <v>0</v>
      </c>
      <c r="BV108" s="210" t="n">
        <f aca="false">'SDLC-2 Model'!BV100</f>
        <v>0</v>
      </c>
      <c r="BW108" s="210" t="n">
        <f aca="false">'SDLC-2 Model'!BW100</f>
        <v>0</v>
      </c>
      <c r="BX108" s="210" t="n">
        <f aca="false">'SDLC-2 Model'!BX100</f>
        <v>0</v>
      </c>
      <c r="BY108" s="210" t="n">
        <f aca="false">'SDLC-2 Model'!BY100</f>
        <v>0</v>
      </c>
      <c r="BZ108" s="210" t="n">
        <f aca="false">'SDLC-2 Model'!BZ100</f>
        <v>0</v>
      </c>
      <c r="CA108" s="210" t="n">
        <f aca="false">'SDLC-2 Model'!CA100</f>
        <v>0</v>
      </c>
      <c r="CC108" s="79" t="n">
        <f aca="false">SUMIFS($T108:$CA108, $T$1:$CA$1, CC$63)</f>
        <v>0</v>
      </c>
      <c r="CD108" s="79" t="n">
        <f aca="false">SUMIFS($T108:$CA108, $T$1:$CA$1, CD$63)</f>
        <v>0</v>
      </c>
      <c r="CE108" s="79" t="n">
        <f aca="false">SUMIFS($T108:$CA108, $T$1:$CA$1, CE$63)</f>
        <v>0</v>
      </c>
      <c r="CF108" s="79" t="n">
        <f aca="false">SUMIFS($T108:$CA108, $T$1:$CA$1, CF$63)</f>
        <v>0</v>
      </c>
      <c r="CG108" s="79" t="n">
        <f aca="false">SUMIFS($T108:$CA108, $T$1:$CA$1, CG$63)</f>
        <v>0</v>
      </c>
      <c r="CI108" s="79" t="n">
        <f aca="false">CC108=L108</f>
        <v>1</v>
      </c>
      <c r="CJ108" s="79" t="n">
        <f aca="false">CD108=M108</f>
        <v>1</v>
      </c>
      <c r="CK108" s="79" t="n">
        <f aca="false">CE108=N108</f>
        <v>1</v>
      </c>
      <c r="CL108" s="79" t="n">
        <f aca="false">CF108=O108</f>
        <v>1</v>
      </c>
      <c r="CM108" s="79" t="n">
        <f aca="false">CG108=P108</f>
        <v>1</v>
      </c>
    </row>
    <row r="109" s="14" customFormat="true" ht="16.5" hidden="false" customHeight="true" outlineLevel="0" collapsed="false">
      <c r="E109" s="91"/>
      <c r="H109" s="29"/>
      <c r="I109" s="91" t="n">
        <v>0</v>
      </c>
      <c r="J109" s="91" t="n">
        <v>0</v>
      </c>
      <c r="K109" s="207" t="n">
        <f aca="false">J109-I109</f>
        <v>0</v>
      </c>
      <c r="L109" s="91" t="n">
        <v>0</v>
      </c>
      <c r="M109" s="91" t="n">
        <v>0</v>
      </c>
      <c r="N109" s="91" t="n">
        <v>0</v>
      </c>
      <c r="O109" s="91" t="n">
        <v>0</v>
      </c>
      <c r="P109" s="91" t="n">
        <v>0</v>
      </c>
      <c r="Q109" s="93"/>
      <c r="R109" s="16" t="str">
        <f aca="false">IF(K109=P109, "", "Error")</f>
        <v/>
      </c>
      <c r="T109" s="91"/>
      <c r="U109" s="91"/>
      <c r="V109" s="91"/>
      <c r="W109" s="91"/>
      <c r="X109" s="91"/>
      <c r="Y109" s="91"/>
      <c r="Z109" s="91"/>
      <c r="AA109" s="91"/>
      <c r="AB109" s="91"/>
      <c r="AC109" s="91"/>
      <c r="AD109" s="91"/>
      <c r="AE109" s="94"/>
      <c r="AF109" s="94"/>
      <c r="AG109" s="94"/>
      <c r="AH109" s="94"/>
      <c r="AI109" s="94"/>
      <c r="AJ109" s="94"/>
      <c r="AK109" s="94"/>
      <c r="AL109" s="94"/>
      <c r="AM109" s="94"/>
      <c r="AN109" s="94"/>
      <c r="AO109" s="94"/>
      <c r="AP109" s="94"/>
      <c r="AQ109" s="94"/>
      <c r="AR109" s="94"/>
      <c r="AS109" s="94"/>
      <c r="AT109" s="94"/>
      <c r="AU109" s="94"/>
      <c r="AV109" s="94"/>
      <c r="AW109" s="94"/>
      <c r="AX109" s="94"/>
      <c r="AY109" s="94"/>
      <c r="AZ109" s="94"/>
      <c r="BA109" s="94"/>
      <c r="BB109" s="94"/>
      <c r="BC109" s="94"/>
      <c r="BD109" s="94"/>
      <c r="BE109" s="94"/>
      <c r="BF109" s="94"/>
      <c r="BG109" s="94"/>
      <c r="BH109" s="94"/>
      <c r="BI109" s="94"/>
      <c r="BJ109" s="94"/>
      <c r="BK109" s="94"/>
      <c r="BL109" s="94"/>
      <c r="BM109" s="94"/>
      <c r="BN109" s="94"/>
      <c r="BO109" s="94"/>
      <c r="BP109" s="94"/>
      <c r="BQ109" s="94"/>
      <c r="BR109" s="94"/>
      <c r="BS109" s="94"/>
      <c r="BT109" s="94"/>
      <c r="BU109" s="94"/>
      <c r="BV109" s="94"/>
      <c r="BW109" s="94"/>
      <c r="BX109" s="94"/>
      <c r="BY109" s="94"/>
      <c r="BZ109" s="94"/>
      <c r="CA109" s="94"/>
      <c r="CC109" s="79" t="n">
        <f aca="false">SUMIFS($T109:$CA109, $T$1:$CA$1, CC$63)</f>
        <v>0</v>
      </c>
      <c r="CD109" s="79" t="n">
        <f aca="false">SUMIFS($T109:$CA109, $T$1:$CA$1, CD$63)</f>
        <v>0</v>
      </c>
      <c r="CE109" s="79" t="n">
        <f aca="false">SUMIFS($T109:$CA109, $T$1:$CA$1, CE$63)</f>
        <v>0</v>
      </c>
      <c r="CF109" s="79" t="n">
        <f aca="false">SUMIFS($T109:$CA109, $T$1:$CA$1, CF$63)</f>
        <v>0</v>
      </c>
      <c r="CG109" s="79" t="n">
        <f aca="false">SUMIFS($T109:$CA109, $T$1:$CA$1, CG$63)</f>
        <v>0</v>
      </c>
      <c r="CI109" s="79" t="n">
        <f aca="false">CC109=L109</f>
        <v>1</v>
      </c>
      <c r="CJ109" s="79" t="n">
        <f aca="false">CD109=M109</f>
        <v>1</v>
      </c>
      <c r="CK109" s="79" t="n">
        <f aca="false">CE109=N109</f>
        <v>1</v>
      </c>
      <c r="CL109" s="79" t="n">
        <f aca="false">CF109=O109</f>
        <v>1</v>
      </c>
      <c r="CM109" s="79" t="n">
        <f aca="false">CG109=P109</f>
        <v>1</v>
      </c>
    </row>
    <row r="110" s="14" customFormat="true" ht="16.5" hidden="false" customHeight="true" outlineLevel="0" collapsed="false">
      <c r="E110" s="91"/>
      <c r="H110" s="29"/>
      <c r="I110" s="91" t="n">
        <v>0</v>
      </c>
      <c r="J110" s="91" t="n">
        <v>0</v>
      </c>
      <c r="K110" s="207" t="n">
        <f aca="false">J110-I110</f>
        <v>0</v>
      </c>
      <c r="L110" s="91" t="n">
        <v>0</v>
      </c>
      <c r="M110" s="91" t="n">
        <v>0</v>
      </c>
      <c r="N110" s="91" t="n">
        <v>0</v>
      </c>
      <c r="O110" s="91" t="n">
        <v>0</v>
      </c>
      <c r="P110" s="91" t="n">
        <v>0</v>
      </c>
      <c r="Q110" s="93"/>
      <c r="R110" s="16" t="str">
        <f aca="false">IF(K110=P110, "", "Error")</f>
        <v/>
      </c>
      <c r="T110" s="91"/>
      <c r="U110" s="91"/>
      <c r="V110" s="91"/>
      <c r="W110" s="91"/>
      <c r="X110" s="91"/>
      <c r="Y110" s="91"/>
      <c r="Z110" s="91"/>
      <c r="AA110" s="91"/>
      <c r="AB110" s="91"/>
      <c r="AC110" s="91"/>
      <c r="AD110" s="91"/>
      <c r="AE110" s="94"/>
      <c r="AF110" s="95"/>
      <c r="AG110" s="91"/>
      <c r="AH110" s="91"/>
      <c r="AI110" s="91"/>
      <c r="AJ110" s="91"/>
      <c r="AK110" s="91"/>
      <c r="AL110" s="91"/>
      <c r="AM110" s="91"/>
      <c r="AN110" s="91"/>
      <c r="AO110" s="91"/>
      <c r="AP110" s="91"/>
      <c r="AQ110" s="94"/>
      <c r="AR110" s="95"/>
      <c r="AS110" s="91"/>
      <c r="AT110" s="91"/>
      <c r="AU110" s="91"/>
      <c r="AV110" s="91"/>
      <c r="AW110" s="91"/>
      <c r="AX110" s="91"/>
      <c r="AY110" s="91"/>
      <c r="AZ110" s="91"/>
      <c r="BA110" s="91"/>
      <c r="BB110" s="91"/>
      <c r="BC110" s="94"/>
      <c r="BD110" s="95"/>
      <c r="BE110" s="91"/>
      <c r="BF110" s="91"/>
      <c r="BG110" s="91"/>
      <c r="BH110" s="91"/>
      <c r="BI110" s="91"/>
      <c r="BJ110" s="91"/>
      <c r="BK110" s="91"/>
      <c r="BL110" s="91"/>
      <c r="BM110" s="91"/>
      <c r="BN110" s="91"/>
      <c r="BO110" s="94"/>
      <c r="BP110" s="95"/>
      <c r="BQ110" s="91"/>
      <c r="BR110" s="91"/>
      <c r="BS110" s="91"/>
      <c r="BT110" s="91"/>
      <c r="BU110" s="91"/>
      <c r="BV110" s="91"/>
      <c r="BW110" s="91"/>
      <c r="BX110" s="91"/>
      <c r="BY110" s="91"/>
      <c r="BZ110" s="91"/>
      <c r="CA110" s="119"/>
      <c r="CC110" s="79" t="n">
        <f aca="false">SUMIFS($T110:$CA110, $T$1:$CA$1, CC$63)</f>
        <v>0</v>
      </c>
      <c r="CD110" s="79" t="n">
        <f aca="false">SUMIFS($T110:$CA110, $T$1:$CA$1, CD$63)</f>
        <v>0</v>
      </c>
      <c r="CE110" s="79" t="n">
        <f aca="false">SUMIFS($T110:$CA110, $T$1:$CA$1, CE$63)</f>
        <v>0</v>
      </c>
      <c r="CF110" s="79" t="n">
        <f aca="false">SUMIFS($T110:$CA110, $T$1:$CA$1, CF$63)</f>
        <v>0</v>
      </c>
      <c r="CG110" s="79" t="n">
        <f aca="false">SUMIFS($T110:$CA110, $T$1:$CA$1, CG$63)</f>
        <v>0</v>
      </c>
      <c r="CI110" s="79" t="n">
        <f aca="false">CC110=L110</f>
        <v>1</v>
      </c>
      <c r="CJ110" s="79" t="n">
        <f aca="false">CD110=M110</f>
        <v>1</v>
      </c>
      <c r="CK110" s="79" t="n">
        <f aca="false">CE110=N110</f>
        <v>1</v>
      </c>
      <c r="CL110" s="79" t="n">
        <f aca="false">CF110=O110</f>
        <v>1</v>
      </c>
      <c r="CM110" s="79" t="n">
        <f aca="false">CG110=P110</f>
        <v>1</v>
      </c>
    </row>
    <row r="111" s="14" customFormat="true" ht="16.5" hidden="false" customHeight="true" outlineLevel="0" collapsed="false">
      <c r="E111" s="91"/>
      <c r="H111" s="29"/>
      <c r="I111" s="91" t="n">
        <v>0</v>
      </c>
      <c r="J111" s="91" t="n">
        <v>0</v>
      </c>
      <c r="K111" s="207" t="n">
        <f aca="false">J111-I111</f>
        <v>0</v>
      </c>
      <c r="L111" s="91" t="n">
        <v>0</v>
      </c>
      <c r="M111" s="91" t="n">
        <v>0</v>
      </c>
      <c r="N111" s="91" t="n">
        <v>0</v>
      </c>
      <c r="O111" s="91" t="n">
        <v>0</v>
      </c>
      <c r="P111" s="91" t="n">
        <v>0</v>
      </c>
      <c r="Q111" s="93"/>
      <c r="R111" s="16" t="str">
        <f aca="false">IF(K111=P111, "", "Error")</f>
        <v/>
      </c>
      <c r="T111" s="91"/>
      <c r="U111" s="91"/>
      <c r="V111" s="91"/>
      <c r="W111" s="91"/>
      <c r="X111" s="91"/>
      <c r="Y111" s="91"/>
      <c r="Z111" s="91"/>
      <c r="AA111" s="91"/>
      <c r="AB111" s="91"/>
      <c r="AC111" s="91"/>
      <c r="AD111" s="91"/>
      <c r="AE111" s="94"/>
      <c r="AF111" s="95"/>
      <c r="AG111" s="91"/>
      <c r="AH111" s="91"/>
      <c r="AI111" s="91"/>
      <c r="AJ111" s="91"/>
      <c r="AK111" s="91"/>
      <c r="AL111" s="91"/>
      <c r="AM111" s="91"/>
      <c r="AN111" s="91"/>
      <c r="AO111" s="91"/>
      <c r="AP111" s="91"/>
      <c r="AQ111" s="94"/>
      <c r="AR111" s="95"/>
      <c r="AS111" s="91"/>
      <c r="AT111" s="91"/>
      <c r="AU111" s="91"/>
      <c r="AV111" s="91"/>
      <c r="AW111" s="91"/>
      <c r="AX111" s="91"/>
      <c r="AY111" s="91"/>
      <c r="AZ111" s="91"/>
      <c r="BA111" s="91"/>
      <c r="BB111" s="91"/>
      <c r="BC111" s="94"/>
      <c r="BD111" s="95"/>
      <c r="BE111" s="91"/>
      <c r="BF111" s="91"/>
      <c r="BG111" s="91"/>
      <c r="BH111" s="91"/>
      <c r="BI111" s="91"/>
      <c r="BJ111" s="91"/>
      <c r="BK111" s="91"/>
      <c r="BL111" s="91"/>
      <c r="BM111" s="91"/>
      <c r="BN111" s="91"/>
      <c r="BO111" s="94"/>
      <c r="BP111" s="95"/>
      <c r="BQ111" s="91"/>
      <c r="BR111" s="91"/>
      <c r="BS111" s="91"/>
      <c r="BT111" s="91"/>
      <c r="BU111" s="91"/>
      <c r="BV111" s="91"/>
      <c r="BW111" s="91"/>
      <c r="BX111" s="91"/>
      <c r="BY111" s="91"/>
      <c r="BZ111" s="91"/>
      <c r="CA111" s="119"/>
      <c r="CC111" s="79" t="n">
        <f aca="false">SUMIFS($T111:$CA111, $T$1:$CA$1, CC$63)</f>
        <v>0</v>
      </c>
      <c r="CD111" s="79" t="n">
        <f aca="false">SUMIFS($T111:$CA111, $T$1:$CA$1, CD$63)</f>
        <v>0</v>
      </c>
      <c r="CE111" s="79" t="n">
        <f aca="false">SUMIFS($T111:$CA111, $T$1:$CA$1, CE$63)</f>
        <v>0</v>
      </c>
      <c r="CF111" s="79" t="n">
        <f aca="false">SUMIFS($T111:$CA111, $T$1:$CA$1, CF$63)</f>
        <v>0</v>
      </c>
      <c r="CG111" s="79" t="n">
        <f aca="false">SUMIFS($T111:$CA111, $T$1:$CA$1, CG$63)</f>
        <v>0</v>
      </c>
      <c r="CI111" s="79" t="n">
        <f aca="false">CC111=L111</f>
        <v>1</v>
      </c>
      <c r="CJ111" s="79" t="n">
        <f aca="false">CD111=M111</f>
        <v>1</v>
      </c>
      <c r="CK111" s="79" t="n">
        <f aca="false">CE111=N111</f>
        <v>1</v>
      </c>
      <c r="CL111" s="79" t="n">
        <f aca="false">CF111=O111</f>
        <v>1</v>
      </c>
      <c r="CM111" s="79" t="n">
        <f aca="false">CG111=P111</f>
        <v>1</v>
      </c>
    </row>
    <row r="112" s="14" customFormat="true" ht="16.5" hidden="false" customHeight="true" outlineLevel="0" collapsed="false">
      <c r="E112" s="96" t="s">
        <v>133</v>
      </c>
      <c r="H112" s="29"/>
      <c r="I112" s="82" t="n">
        <f aca="false">SUM(I107:I111)</f>
        <v>0</v>
      </c>
      <c r="J112" s="82" t="n">
        <f aca="false">SUM(J107:J111)</f>
        <v>0</v>
      </c>
      <c r="K112" s="82" t="n">
        <f aca="false">SUM(K107:K111)</f>
        <v>0</v>
      </c>
      <c r="L112" s="82" t="n">
        <f aca="false">SUM(L107:L111)</f>
        <v>0</v>
      </c>
      <c r="M112" s="82" t="n">
        <f aca="false">SUM(M107:M111)</f>
        <v>0</v>
      </c>
      <c r="N112" s="82" t="n">
        <f aca="false">SUM(N107:N111)</f>
        <v>0</v>
      </c>
      <c r="O112" s="82" t="n">
        <f aca="false">SUM(O107:O111)</f>
        <v>0</v>
      </c>
      <c r="P112" s="82" t="n">
        <f aca="false">SUM(P107:P111)</f>
        <v>0</v>
      </c>
      <c r="Q112" s="16"/>
      <c r="R112" s="16"/>
      <c r="T112" s="82" t="n">
        <f aca="false">SUM(T107:T111)</f>
        <v>0</v>
      </c>
      <c r="U112" s="82" t="n">
        <f aca="false">SUM(U107:U111)</f>
        <v>0</v>
      </c>
      <c r="V112" s="82" t="n">
        <f aca="false">SUM(V107:V111)</f>
        <v>0</v>
      </c>
      <c r="W112" s="82" t="n">
        <f aca="false">SUM(W107:W111)</f>
        <v>0</v>
      </c>
      <c r="X112" s="82" t="n">
        <f aca="false">SUM(X107:X111)</f>
        <v>0</v>
      </c>
      <c r="Y112" s="82" t="n">
        <f aca="false">SUM(Y107:Y111)</f>
        <v>0</v>
      </c>
      <c r="Z112" s="82" t="n">
        <f aca="false">SUM(Z107:Z111)</f>
        <v>0</v>
      </c>
      <c r="AA112" s="82" t="n">
        <f aca="false">SUM(AA107:AA111)</f>
        <v>0</v>
      </c>
      <c r="AB112" s="82" t="n">
        <f aca="false">SUM(AB107:AB111)</f>
        <v>0</v>
      </c>
      <c r="AC112" s="82" t="n">
        <f aca="false">SUM(AC107:AC111)</f>
        <v>0</v>
      </c>
      <c r="AD112" s="82" t="n">
        <f aca="false">SUM(AD107:AD111)</f>
        <v>0</v>
      </c>
      <c r="AE112" s="82" t="n">
        <f aca="false">SUM(AE107:AE111)</f>
        <v>0</v>
      </c>
      <c r="AF112" s="83" t="n">
        <f aca="false">SUM(AF107:AF111)</f>
        <v>0</v>
      </c>
      <c r="AG112" s="82" t="n">
        <f aca="false">SUM(AG107:AG111)</f>
        <v>0</v>
      </c>
      <c r="AH112" s="82" t="n">
        <f aca="false">SUM(AH107:AH111)</f>
        <v>0</v>
      </c>
      <c r="AI112" s="82" t="n">
        <f aca="false">SUM(AI107:AI111)</f>
        <v>0</v>
      </c>
      <c r="AJ112" s="82" t="n">
        <f aca="false">SUM(AJ107:AJ111)</f>
        <v>0</v>
      </c>
      <c r="AK112" s="82" t="n">
        <f aca="false">SUM(AK107:AK111)</f>
        <v>0</v>
      </c>
      <c r="AL112" s="82" t="n">
        <f aca="false">SUM(AL107:AL111)</f>
        <v>0</v>
      </c>
      <c r="AM112" s="82" t="n">
        <f aca="false">SUM(AM107:AM111)</f>
        <v>0</v>
      </c>
      <c r="AN112" s="82" t="n">
        <f aca="false">SUM(AN107:AN111)</f>
        <v>0</v>
      </c>
      <c r="AO112" s="82" t="n">
        <f aca="false">SUM(AO107:AO111)</f>
        <v>0</v>
      </c>
      <c r="AP112" s="82" t="n">
        <f aca="false">SUM(AP107:AP111)</f>
        <v>0</v>
      </c>
      <c r="AQ112" s="82" t="n">
        <f aca="false">SUM(AQ107:AQ111)</f>
        <v>0</v>
      </c>
      <c r="AR112" s="83" t="n">
        <f aca="false">SUM(AR107:AR111)</f>
        <v>0</v>
      </c>
      <c r="AS112" s="82" t="n">
        <f aca="false">SUM(AS107:AS111)</f>
        <v>0</v>
      </c>
      <c r="AT112" s="82" t="n">
        <f aca="false">SUM(AT107:AT111)</f>
        <v>0</v>
      </c>
      <c r="AU112" s="82" t="n">
        <f aca="false">SUM(AU107:AU111)</f>
        <v>0</v>
      </c>
      <c r="AV112" s="82" t="n">
        <f aca="false">SUM(AV107:AV111)</f>
        <v>0</v>
      </c>
      <c r="AW112" s="82" t="n">
        <f aca="false">SUM(AW107:AW111)</f>
        <v>0</v>
      </c>
      <c r="AX112" s="82" t="n">
        <f aca="false">SUM(AX107:AX111)</f>
        <v>0</v>
      </c>
      <c r="AY112" s="82" t="n">
        <f aca="false">SUM(AY107:AY111)</f>
        <v>0</v>
      </c>
      <c r="AZ112" s="82" t="n">
        <f aca="false">SUM(AZ107:AZ111)</f>
        <v>0</v>
      </c>
      <c r="BA112" s="82" t="n">
        <f aca="false">SUM(BA107:BA111)</f>
        <v>0</v>
      </c>
      <c r="BB112" s="82" t="n">
        <f aca="false">SUM(BB107:BB111)</f>
        <v>0</v>
      </c>
      <c r="BC112" s="82" t="n">
        <f aca="false">SUM(BC107:BC111)</f>
        <v>0</v>
      </c>
      <c r="BD112" s="83" t="n">
        <f aca="false">SUM(BD107:BD111)</f>
        <v>0</v>
      </c>
      <c r="BE112" s="82" t="n">
        <f aca="false">SUM(BE107:BE111)</f>
        <v>0</v>
      </c>
      <c r="BF112" s="82" t="n">
        <f aca="false">SUM(BF107:BF111)</f>
        <v>0</v>
      </c>
      <c r="BG112" s="82" t="n">
        <f aca="false">SUM(BG107:BG111)</f>
        <v>0</v>
      </c>
      <c r="BH112" s="82" t="n">
        <f aca="false">SUM(BH107:BH111)</f>
        <v>0</v>
      </c>
      <c r="BI112" s="82" t="n">
        <f aca="false">SUM(BI107:BI111)</f>
        <v>0</v>
      </c>
      <c r="BJ112" s="82" t="n">
        <f aca="false">SUM(BJ107:BJ111)</f>
        <v>0</v>
      </c>
      <c r="BK112" s="82" t="n">
        <f aca="false">SUM(BK107:BK111)</f>
        <v>0</v>
      </c>
      <c r="BL112" s="82" t="n">
        <f aca="false">SUM(BL107:BL111)</f>
        <v>0</v>
      </c>
      <c r="BM112" s="82" t="n">
        <f aca="false">SUM(BM107:BM111)</f>
        <v>0</v>
      </c>
      <c r="BN112" s="82" t="n">
        <f aca="false">SUM(BN107:BN111)</f>
        <v>0</v>
      </c>
      <c r="BO112" s="82" t="n">
        <f aca="false">SUM(BO107:BO111)</f>
        <v>0</v>
      </c>
      <c r="BP112" s="83" t="n">
        <f aca="false">SUM(BP107:BP111)</f>
        <v>0</v>
      </c>
      <c r="BQ112" s="82" t="n">
        <f aca="false">SUM(BQ107:BQ111)</f>
        <v>0</v>
      </c>
      <c r="BR112" s="82" t="n">
        <f aca="false">SUM(BR107:BR111)</f>
        <v>0</v>
      </c>
      <c r="BS112" s="82" t="n">
        <f aca="false">SUM(BS107:BS111)</f>
        <v>0</v>
      </c>
      <c r="BT112" s="82" t="n">
        <f aca="false">SUM(BT107:BT111)</f>
        <v>0</v>
      </c>
      <c r="BU112" s="82" t="n">
        <f aca="false">SUM(BU107:BU111)</f>
        <v>0</v>
      </c>
      <c r="BV112" s="82" t="n">
        <f aca="false">SUM(BV107:BV111)</f>
        <v>0</v>
      </c>
      <c r="BW112" s="82" t="n">
        <f aca="false">SUM(BW107:BW111)</f>
        <v>0</v>
      </c>
      <c r="BX112" s="82" t="n">
        <f aca="false">SUM(BX107:BX111)</f>
        <v>0</v>
      </c>
      <c r="BY112" s="82" t="n">
        <f aca="false">SUM(BY107:BY111)</f>
        <v>0</v>
      </c>
      <c r="BZ112" s="82" t="n">
        <f aca="false">SUM(BZ107:BZ111)</f>
        <v>0</v>
      </c>
      <c r="CA112" s="84" t="n">
        <f aca="false">SUM(CA107:CA111)</f>
        <v>0</v>
      </c>
      <c r="CC112" s="84" t="n">
        <f aca="false">SUM(CC107:CC111)</f>
        <v>0</v>
      </c>
      <c r="CD112" s="84" t="n">
        <f aca="false">SUM(CD107:CD111)</f>
        <v>0</v>
      </c>
      <c r="CE112" s="84" t="n">
        <f aca="false">SUM(CE107:CE111)</f>
        <v>0</v>
      </c>
      <c r="CF112" s="84" t="n">
        <f aca="false">SUM(CF107:CF111)</f>
        <v>0</v>
      </c>
      <c r="CG112" s="84" t="n">
        <f aca="false">SUM(CG107:CG111)</f>
        <v>0</v>
      </c>
      <c r="CI112" s="84" t="n">
        <f aca="false">CC112=L112</f>
        <v>1</v>
      </c>
      <c r="CJ112" s="84" t="n">
        <f aca="false">CD112=M112</f>
        <v>1</v>
      </c>
      <c r="CK112" s="84" t="n">
        <f aca="false">CE112=N112</f>
        <v>1</v>
      </c>
      <c r="CL112" s="84" t="n">
        <f aca="false">CF112=O112</f>
        <v>1</v>
      </c>
      <c r="CM112" s="84" t="n">
        <f aca="false">CG112=P112</f>
        <v>1</v>
      </c>
    </row>
    <row r="113" s="14" customFormat="true" ht="16.5" hidden="false" customHeight="true" outlineLevel="0" collapsed="false">
      <c r="E113" s="96"/>
      <c r="H113" s="29"/>
      <c r="I113" s="105"/>
      <c r="J113" s="105"/>
      <c r="K113" s="105"/>
      <c r="L113" s="105"/>
      <c r="M113" s="105"/>
      <c r="N113" s="105"/>
      <c r="O113" s="105"/>
      <c r="P113" s="105"/>
      <c r="Q113" s="16"/>
      <c r="R113" s="16"/>
      <c r="T113" s="82"/>
      <c r="U113" s="82"/>
      <c r="V113" s="82"/>
      <c r="W113" s="82"/>
      <c r="X113" s="82"/>
      <c r="Y113" s="82"/>
      <c r="Z113" s="82"/>
      <c r="AA113" s="82"/>
      <c r="AB113" s="82"/>
      <c r="AC113" s="82"/>
      <c r="AD113" s="82"/>
      <c r="AE113" s="82"/>
      <c r="AF113" s="83"/>
      <c r="AG113" s="82"/>
      <c r="AH113" s="82"/>
      <c r="AI113" s="82"/>
      <c r="AJ113" s="82"/>
      <c r="AK113" s="82"/>
      <c r="AL113" s="82"/>
      <c r="AM113" s="82"/>
      <c r="AN113" s="82"/>
      <c r="AO113" s="82"/>
      <c r="AP113" s="82"/>
      <c r="AQ113" s="82"/>
      <c r="AR113" s="83"/>
      <c r="AS113" s="82"/>
      <c r="AT113" s="82"/>
      <c r="AU113" s="82"/>
      <c r="AV113" s="82"/>
      <c r="AW113" s="82"/>
      <c r="AX113" s="82"/>
      <c r="AY113" s="82"/>
      <c r="AZ113" s="82"/>
      <c r="BA113" s="82"/>
      <c r="BB113" s="82"/>
      <c r="BC113" s="82"/>
      <c r="BD113" s="83"/>
      <c r="BE113" s="82"/>
      <c r="BF113" s="82"/>
      <c r="BG113" s="82"/>
      <c r="BH113" s="82"/>
      <c r="BI113" s="82"/>
      <c r="BJ113" s="82"/>
      <c r="BK113" s="82"/>
      <c r="BL113" s="82"/>
      <c r="BM113" s="82"/>
      <c r="BN113" s="82"/>
      <c r="BO113" s="82"/>
      <c r="BP113" s="83"/>
      <c r="BQ113" s="82"/>
      <c r="BR113" s="82"/>
      <c r="BS113" s="82"/>
      <c r="BT113" s="82"/>
      <c r="BU113" s="82"/>
      <c r="BV113" s="82"/>
      <c r="BW113" s="82"/>
      <c r="BX113" s="82"/>
      <c r="BY113" s="82"/>
      <c r="BZ113" s="82"/>
      <c r="CA113" s="84"/>
      <c r="CC113" s="84"/>
      <c r="CD113" s="84"/>
      <c r="CE113" s="84"/>
      <c r="CF113" s="84"/>
      <c r="CG113" s="84"/>
      <c r="CI113" s="84"/>
      <c r="CJ113" s="84"/>
      <c r="CK113" s="84"/>
      <c r="CL113" s="84"/>
      <c r="CM113" s="84"/>
    </row>
    <row r="114" s="14" customFormat="true" ht="16.5" hidden="false" customHeight="true" outlineLevel="0" collapsed="false">
      <c r="E114" s="85"/>
      <c r="I114" s="104"/>
      <c r="J114" s="104"/>
      <c r="K114" s="104"/>
      <c r="L114" s="104"/>
      <c r="M114" s="104"/>
      <c r="N114" s="104"/>
      <c r="O114" s="104"/>
      <c r="P114" s="104"/>
      <c r="Q114" s="16"/>
      <c r="R114" s="16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9"/>
      <c r="AG114" s="88"/>
      <c r="AH114" s="88"/>
      <c r="AI114" s="88"/>
      <c r="AJ114" s="88"/>
      <c r="AK114" s="88"/>
      <c r="AL114" s="88"/>
      <c r="AM114" s="88"/>
      <c r="AN114" s="88"/>
      <c r="AO114" s="88"/>
      <c r="AP114" s="88"/>
      <c r="AQ114" s="88"/>
      <c r="AR114" s="89"/>
      <c r="AS114" s="88"/>
      <c r="AT114" s="88"/>
      <c r="AU114" s="88"/>
      <c r="AV114" s="88"/>
      <c r="AW114" s="88"/>
      <c r="AX114" s="88"/>
      <c r="AY114" s="88"/>
      <c r="AZ114" s="88"/>
      <c r="BA114" s="88"/>
      <c r="BB114" s="88"/>
      <c r="BC114" s="88"/>
      <c r="BD114" s="89"/>
      <c r="BE114" s="88"/>
      <c r="BF114" s="88"/>
      <c r="BG114" s="88"/>
      <c r="BH114" s="88"/>
      <c r="BI114" s="88"/>
      <c r="BJ114" s="88"/>
      <c r="BK114" s="88"/>
      <c r="BL114" s="88"/>
      <c r="BM114" s="88"/>
      <c r="BN114" s="88"/>
      <c r="BO114" s="88"/>
      <c r="BP114" s="89"/>
      <c r="BQ114" s="88"/>
      <c r="BR114" s="88"/>
      <c r="BS114" s="88"/>
      <c r="BT114" s="88"/>
      <c r="BU114" s="88"/>
      <c r="BV114" s="88"/>
      <c r="BW114" s="88"/>
      <c r="BX114" s="88"/>
      <c r="BY114" s="88"/>
      <c r="BZ114" s="88"/>
      <c r="CA114" s="90"/>
      <c r="CC114" s="90"/>
      <c r="CD114" s="90"/>
      <c r="CE114" s="90"/>
      <c r="CF114" s="90"/>
      <c r="CG114" s="90"/>
      <c r="CI114" s="90"/>
      <c r="CJ114" s="90"/>
      <c r="CK114" s="90"/>
      <c r="CL114" s="90"/>
      <c r="CM114" s="90"/>
    </row>
    <row r="115" s="14" customFormat="true" ht="16.5" hidden="false" customHeight="true" outlineLevel="0" collapsed="false">
      <c r="E115" s="109" t="s">
        <v>140</v>
      </c>
      <c r="F115" s="109"/>
      <c r="G115" s="109"/>
      <c r="H115" s="109"/>
      <c r="I115" s="215" t="n">
        <f aca="false">SUM(-I96, I104, I112)</f>
        <v>0</v>
      </c>
      <c r="J115" s="215" t="n">
        <f aca="false">SUM(-J96, J104, J112)</f>
        <v>0</v>
      </c>
      <c r="K115" s="215" t="n">
        <f aca="false">SUM(-K96, K104, K112)</f>
        <v>0</v>
      </c>
      <c r="L115" s="215" t="n">
        <f aca="false">SUM(-L96, L104, L112)</f>
        <v>0</v>
      </c>
      <c r="M115" s="215" t="n">
        <f aca="false">SUM(-M96, M104, M112)</f>
        <v>0</v>
      </c>
      <c r="N115" s="215" t="n">
        <f aca="false">SUM(-N96, N104, N112)</f>
        <v>0</v>
      </c>
      <c r="O115" s="215" t="n">
        <f aca="false">SUM(-O96, O104, O112)</f>
        <v>0</v>
      </c>
      <c r="P115" s="215" t="n">
        <f aca="false">SUM(-P96, P104, P112)</f>
        <v>0</v>
      </c>
      <c r="Q115" s="16"/>
      <c r="R115" s="16"/>
      <c r="T115" s="120" t="n">
        <f aca="false">SUM(-T96, T104, T112)</f>
        <v>0</v>
      </c>
      <c r="U115" s="120" t="n">
        <f aca="false">SUM(-U96, U104, U112)</f>
        <v>0</v>
      </c>
      <c r="V115" s="120" t="n">
        <f aca="false">SUM(-V96, V104, V112)</f>
        <v>0</v>
      </c>
      <c r="W115" s="120" t="n">
        <f aca="false">SUM(-W96, W104, W112)</f>
        <v>0</v>
      </c>
      <c r="X115" s="120" t="n">
        <f aca="false">SUM(-X96, X104, X112)</f>
        <v>0</v>
      </c>
      <c r="Y115" s="120" t="n">
        <f aca="false">SUM(-Y96, Y104, Y112)</f>
        <v>0</v>
      </c>
      <c r="Z115" s="120" t="n">
        <f aca="false">SUM(-Z96, Z104, Z112)</f>
        <v>0</v>
      </c>
      <c r="AA115" s="120" t="n">
        <f aca="false">SUM(-AA96, AA104, AA112)</f>
        <v>0</v>
      </c>
      <c r="AB115" s="120" t="n">
        <f aca="false">SUM(-AB96, AB104, AB112)</f>
        <v>0</v>
      </c>
      <c r="AC115" s="120" t="n">
        <f aca="false">SUM(-AC96, AC104, AC112)</f>
        <v>0</v>
      </c>
      <c r="AD115" s="120" t="n">
        <f aca="false">SUM(-AD96, AD104, AD112)</f>
        <v>0</v>
      </c>
      <c r="AE115" s="120" t="n">
        <f aca="false">SUM(-AE96, AE104, AE112)</f>
        <v>0</v>
      </c>
      <c r="AF115" s="120" t="n">
        <f aca="false">SUM(-AF96, AF104, AF112)</f>
        <v>0</v>
      </c>
      <c r="AG115" s="120" t="n">
        <f aca="false">SUM(-AG96, AG104, AG112)</f>
        <v>0</v>
      </c>
      <c r="AH115" s="120" t="n">
        <f aca="false">SUM(-AH96, AH104, AH112)</f>
        <v>0</v>
      </c>
      <c r="AI115" s="120" t="n">
        <f aca="false">SUM(-AI96, AI104, AI112)</f>
        <v>0</v>
      </c>
      <c r="AJ115" s="120" t="n">
        <f aca="false">SUM(-AJ96, AJ104, AJ112)</f>
        <v>0</v>
      </c>
      <c r="AK115" s="120" t="n">
        <f aca="false">SUM(-AK96, AK104, AK112)</f>
        <v>0</v>
      </c>
      <c r="AL115" s="120" t="n">
        <f aca="false">SUM(-AL96, AL104, AL112)</f>
        <v>0</v>
      </c>
      <c r="AM115" s="120" t="n">
        <f aca="false">SUM(-AM96, AM104, AM112)</f>
        <v>0</v>
      </c>
      <c r="AN115" s="120" t="n">
        <f aca="false">SUM(-AN96, AN104, AN112)</f>
        <v>0</v>
      </c>
      <c r="AO115" s="120" t="n">
        <f aca="false">SUM(-AO96, AO104, AO112)</f>
        <v>0</v>
      </c>
      <c r="AP115" s="120" t="n">
        <f aca="false">SUM(-AP96, AP104, AP112)</f>
        <v>0</v>
      </c>
      <c r="AQ115" s="120" t="n">
        <f aca="false">SUM(-AQ96, AQ104, AQ112)</f>
        <v>0</v>
      </c>
      <c r="AR115" s="120" t="n">
        <f aca="false">SUM(-AR96, AR104, AR112)</f>
        <v>0</v>
      </c>
      <c r="AS115" s="120" t="n">
        <f aca="false">SUM(-AS96, AS104, AS112)</f>
        <v>0</v>
      </c>
      <c r="AT115" s="120" t="n">
        <f aca="false">SUM(-AT96, AT104, AT112)</f>
        <v>0</v>
      </c>
      <c r="AU115" s="120" t="n">
        <f aca="false">SUM(-AU96, AU104, AU112)</f>
        <v>0</v>
      </c>
      <c r="AV115" s="120" t="n">
        <f aca="false">SUM(-AV96, AV104, AV112)</f>
        <v>0</v>
      </c>
      <c r="AW115" s="120" t="n">
        <f aca="false">SUM(-AW96, AW104, AW112)</f>
        <v>0</v>
      </c>
      <c r="AX115" s="120" t="n">
        <f aca="false">SUM(-AX96, AX104, AX112)</f>
        <v>0</v>
      </c>
      <c r="AY115" s="120" t="n">
        <f aca="false">SUM(-AY96, AY104, AY112)</f>
        <v>0</v>
      </c>
      <c r="AZ115" s="120" t="n">
        <f aca="false">SUM(-AZ96, AZ104, AZ112)</f>
        <v>0</v>
      </c>
      <c r="BA115" s="120" t="n">
        <f aca="false">SUM(-BA96, BA104, BA112)</f>
        <v>0</v>
      </c>
      <c r="BB115" s="120" t="n">
        <f aca="false">SUM(-BB96, BB104, BB112)</f>
        <v>0</v>
      </c>
      <c r="BC115" s="120" t="n">
        <f aca="false">SUM(-BC96, BC104, BC112)</f>
        <v>0</v>
      </c>
      <c r="BD115" s="120" t="n">
        <f aca="false">SUM(-BD96, BD104, BD112)</f>
        <v>0</v>
      </c>
      <c r="BE115" s="120" t="n">
        <f aca="false">SUM(-BE96, BE104, BE112)</f>
        <v>0</v>
      </c>
      <c r="BF115" s="120" t="n">
        <f aca="false">SUM(-BF96, BF104, BF112)</f>
        <v>0</v>
      </c>
      <c r="BG115" s="120" t="n">
        <f aca="false">SUM(-BG96, BG104, BG112)</f>
        <v>0</v>
      </c>
      <c r="BH115" s="120" t="n">
        <f aca="false">SUM(-BH96, BH104, BH112)</f>
        <v>0</v>
      </c>
      <c r="BI115" s="120" t="n">
        <f aca="false">SUM(-BI96, BI104, BI112)</f>
        <v>0</v>
      </c>
      <c r="BJ115" s="120" t="n">
        <f aca="false">SUM(-BJ96, BJ104, BJ112)</f>
        <v>0</v>
      </c>
      <c r="BK115" s="120" t="n">
        <f aca="false">SUM(-BK96, BK104, BK112)</f>
        <v>0</v>
      </c>
      <c r="BL115" s="120" t="n">
        <f aca="false">SUM(-BL96, BL104, BL112)</f>
        <v>0</v>
      </c>
      <c r="BM115" s="120" t="n">
        <f aca="false">SUM(-BM96, BM104, BM112)</f>
        <v>0</v>
      </c>
      <c r="BN115" s="120" t="n">
        <f aca="false">SUM(-BN96, BN104, BN112)</f>
        <v>0</v>
      </c>
      <c r="BO115" s="120" t="n">
        <f aca="false">SUM(-BO96, BO104, BO112)</f>
        <v>0</v>
      </c>
      <c r="BP115" s="120" t="n">
        <f aca="false">SUM(-BP96, BP104, BP112)</f>
        <v>0</v>
      </c>
      <c r="BQ115" s="120" t="n">
        <f aca="false">SUM(-BQ96, BQ104, BQ112)</f>
        <v>0</v>
      </c>
      <c r="BR115" s="120" t="n">
        <f aca="false">SUM(-BR96, BR104, BR112)</f>
        <v>0</v>
      </c>
      <c r="BS115" s="120" t="n">
        <f aca="false">SUM(-BS96, BS104, BS112)</f>
        <v>0</v>
      </c>
      <c r="BT115" s="120" t="n">
        <f aca="false">SUM(-BT96, BT104, BT112)</f>
        <v>0</v>
      </c>
      <c r="BU115" s="120" t="n">
        <f aca="false">SUM(-BU96, BU104, BU112)</f>
        <v>0</v>
      </c>
      <c r="BV115" s="120" t="n">
        <f aca="false">SUM(-BV96, BV104, BV112)</f>
        <v>0</v>
      </c>
      <c r="BW115" s="120" t="n">
        <f aca="false">SUM(-BW96, BW104, BW112)</f>
        <v>0</v>
      </c>
      <c r="BX115" s="120" t="n">
        <f aca="false">SUM(-BX96, BX104, BX112)</f>
        <v>0</v>
      </c>
      <c r="BY115" s="120" t="n">
        <f aca="false">SUM(-BY96, BY104, BY112)</f>
        <v>0</v>
      </c>
      <c r="BZ115" s="120" t="n">
        <f aca="false">SUM(-BZ96, BZ104, BZ112)</f>
        <v>0</v>
      </c>
      <c r="CA115" s="120" t="n">
        <f aca="false">SUM(-CA96, CA104, CA112)</f>
        <v>0</v>
      </c>
      <c r="CC115" s="120" t="n">
        <f aca="false">SUM(-CC96, CC104, CC112)</f>
        <v>0</v>
      </c>
      <c r="CD115" s="120" t="n">
        <f aca="false">SUM(-CD96, CD104, CD112)</f>
        <v>0</v>
      </c>
      <c r="CE115" s="120" t="n">
        <f aca="false">SUM(-CE96, CE104, CE112)</f>
        <v>0</v>
      </c>
      <c r="CF115" s="120" t="n">
        <f aca="false">SUM(-CF96, CF104, CF112)</f>
        <v>0</v>
      </c>
      <c r="CG115" s="120" t="n">
        <f aca="false">SUM(-CG96, CG104, CG112)</f>
        <v>0</v>
      </c>
      <c r="CI115" s="113" t="n">
        <f aca="false">CC115=L115</f>
        <v>1</v>
      </c>
      <c r="CJ115" s="113" t="n">
        <f aca="false">CD115=M115</f>
        <v>1</v>
      </c>
      <c r="CK115" s="113" t="n">
        <f aca="false">CE115=N115</f>
        <v>1</v>
      </c>
      <c r="CL115" s="113" t="n">
        <f aca="false">CF115=O115</f>
        <v>1</v>
      </c>
      <c r="CM115" s="113" t="n">
        <f aca="false">CG115=P115</f>
        <v>1</v>
      </c>
    </row>
    <row r="116" s="14" customFormat="true" ht="17.25" hidden="false" customHeight="true" outlineLevel="0" collapsed="false">
      <c r="E116" s="21"/>
      <c r="I116" s="216"/>
      <c r="J116" s="216"/>
      <c r="K116" s="216"/>
      <c r="L116" s="216"/>
      <c r="M116" s="216"/>
      <c r="N116" s="216"/>
      <c r="O116" s="216"/>
      <c r="P116" s="216"/>
      <c r="Q116" s="16"/>
      <c r="R116" s="16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  <c r="AP116" s="88"/>
      <c r="AQ116" s="88"/>
      <c r="AR116" s="88"/>
      <c r="AS116" s="88"/>
      <c r="AT116" s="88"/>
      <c r="AU116" s="88"/>
      <c r="AV116" s="88"/>
      <c r="AW116" s="88"/>
      <c r="AX116" s="88"/>
      <c r="AY116" s="88"/>
      <c r="AZ116" s="88"/>
      <c r="BA116" s="88"/>
      <c r="BB116" s="88"/>
      <c r="BC116" s="88"/>
      <c r="BD116" s="88"/>
      <c r="BE116" s="88"/>
      <c r="BF116" s="88"/>
      <c r="BG116" s="88"/>
      <c r="BH116" s="88"/>
      <c r="BI116" s="88"/>
      <c r="BJ116" s="88"/>
      <c r="BK116" s="88"/>
      <c r="BL116" s="88"/>
      <c r="BM116" s="88"/>
      <c r="BN116" s="88"/>
      <c r="BO116" s="88"/>
      <c r="BP116" s="88"/>
      <c r="BQ116" s="88"/>
      <c r="BR116" s="88"/>
      <c r="BS116" s="88"/>
      <c r="BT116" s="88"/>
      <c r="BU116" s="88"/>
      <c r="BV116" s="88"/>
      <c r="BW116" s="88"/>
      <c r="BX116" s="88"/>
      <c r="BY116" s="88"/>
      <c r="BZ116" s="88"/>
      <c r="CA116" s="121"/>
    </row>
    <row r="117" s="14" customFormat="true" ht="17.25" hidden="false" customHeight="true" outlineLevel="0" collapsed="false">
      <c r="E117" s="122" t="s">
        <v>141</v>
      </c>
      <c r="F117" s="123"/>
      <c r="G117" s="123"/>
      <c r="H117" s="123"/>
      <c r="I117" s="217" t="n">
        <f aca="false">SUM(I88, -I115)</f>
        <v>0</v>
      </c>
      <c r="J117" s="217" t="n">
        <f aca="false">SUM(J88, -J115)</f>
        <v>0</v>
      </c>
      <c r="K117" s="218" t="n">
        <f aca="false">SUM(K88, -K115)</f>
        <v>0</v>
      </c>
      <c r="L117" s="217" t="n">
        <f aca="false">SUM(L88, -L115)</f>
        <v>0</v>
      </c>
      <c r="M117" s="217" t="n">
        <f aca="false">SUM(M88, -M115)</f>
        <v>0</v>
      </c>
      <c r="N117" s="217" t="n">
        <f aca="false">SUM(N88, -N115)</f>
        <v>0</v>
      </c>
      <c r="O117" s="217" t="n">
        <f aca="false">SUM(O88, -O115)</f>
        <v>0</v>
      </c>
      <c r="P117" s="217" t="n">
        <f aca="false">SUM(P88, -P115)</f>
        <v>0</v>
      </c>
      <c r="Q117" s="16"/>
      <c r="R117" s="16" t="str">
        <f aca="false">IF(K117=P117, "", "Error")</f>
        <v/>
      </c>
      <c r="T117" s="125" t="n">
        <f aca="false">SUM(T88, -T115)</f>
        <v>0</v>
      </c>
      <c r="U117" s="125" t="n">
        <f aca="false">SUM(U88, -U115)</f>
        <v>0</v>
      </c>
      <c r="V117" s="125" t="n">
        <f aca="false">SUM(V88, -V115)</f>
        <v>0</v>
      </c>
      <c r="W117" s="125" t="n">
        <f aca="false">SUM(W88, -W115)</f>
        <v>0</v>
      </c>
      <c r="X117" s="125" t="n">
        <f aca="false">SUM(X88, -X115)</f>
        <v>0</v>
      </c>
      <c r="Y117" s="125" t="n">
        <f aca="false">SUM(Y88, -Y115)</f>
        <v>0</v>
      </c>
      <c r="Z117" s="125" t="n">
        <f aca="false">SUM(Z88, -Z115)</f>
        <v>0</v>
      </c>
      <c r="AA117" s="125" t="n">
        <f aca="false">SUM(AA88, -AA115)</f>
        <v>0</v>
      </c>
      <c r="AB117" s="125" t="n">
        <f aca="false">SUM(AB88, -AB115)</f>
        <v>0</v>
      </c>
      <c r="AC117" s="125" t="n">
        <f aca="false">SUM(AC88, -AC115)</f>
        <v>0</v>
      </c>
      <c r="AD117" s="125" t="n">
        <f aca="false">SUM(AD88, -AD115)</f>
        <v>0</v>
      </c>
      <c r="AE117" s="125" t="n">
        <f aca="false">SUM(AE88, -AE115)</f>
        <v>0</v>
      </c>
      <c r="AF117" s="125" t="n">
        <f aca="false">SUM(AF88, -AF115)</f>
        <v>0</v>
      </c>
      <c r="AG117" s="125" t="n">
        <f aca="false">SUM(AG88, -AG115)</f>
        <v>0</v>
      </c>
      <c r="AH117" s="125" t="n">
        <f aca="false">SUM(AH88, -AH115)</f>
        <v>0</v>
      </c>
      <c r="AI117" s="125" t="n">
        <f aca="false">SUM(AI88, -AI115)</f>
        <v>0</v>
      </c>
      <c r="AJ117" s="125" t="n">
        <f aca="false">SUM(AJ88, -AJ115)</f>
        <v>0</v>
      </c>
      <c r="AK117" s="125" t="n">
        <f aca="false">SUM(AK88, -AK115)</f>
        <v>0</v>
      </c>
      <c r="AL117" s="125" t="n">
        <f aca="false">SUM(AL88, -AL115)</f>
        <v>0</v>
      </c>
      <c r="AM117" s="125" t="n">
        <f aca="false">SUM(AM88, -AM115)</f>
        <v>0</v>
      </c>
      <c r="AN117" s="125" t="n">
        <f aca="false">SUM(AN88, -AN115)</f>
        <v>0</v>
      </c>
      <c r="AO117" s="125" t="n">
        <f aca="false">SUM(AO88, -AO115)</f>
        <v>0</v>
      </c>
      <c r="AP117" s="125" t="n">
        <f aca="false">SUM(AP88, -AP115)</f>
        <v>0</v>
      </c>
      <c r="AQ117" s="125" t="n">
        <f aca="false">SUM(AQ88, -AQ115)</f>
        <v>0</v>
      </c>
      <c r="AR117" s="125" t="n">
        <f aca="false">SUM(AR88, -AR115)</f>
        <v>0</v>
      </c>
      <c r="AS117" s="125" t="n">
        <f aca="false">SUM(AS88, -AS115)</f>
        <v>0</v>
      </c>
      <c r="AT117" s="125" t="n">
        <f aca="false">SUM(AT88, -AT115)</f>
        <v>0</v>
      </c>
      <c r="AU117" s="125" t="n">
        <f aca="false">SUM(AU88, -AU115)</f>
        <v>0</v>
      </c>
      <c r="AV117" s="125" t="n">
        <f aca="false">SUM(AV88, -AV115)</f>
        <v>0</v>
      </c>
      <c r="AW117" s="125" t="n">
        <f aca="false">SUM(AW88, -AW115)</f>
        <v>0</v>
      </c>
      <c r="AX117" s="125" t="n">
        <f aca="false">SUM(AX88, -AX115)</f>
        <v>0</v>
      </c>
      <c r="AY117" s="125" t="n">
        <f aca="false">SUM(AY88, -AY115)</f>
        <v>0</v>
      </c>
      <c r="AZ117" s="125" t="n">
        <f aca="false">SUM(AZ88, -AZ115)</f>
        <v>0</v>
      </c>
      <c r="BA117" s="125" t="n">
        <f aca="false">SUM(BA88, -BA115)</f>
        <v>0</v>
      </c>
      <c r="BB117" s="125" t="n">
        <f aca="false">SUM(BB88, -BB115)</f>
        <v>0</v>
      </c>
      <c r="BC117" s="125" t="n">
        <f aca="false">SUM(BC88, -BC115)</f>
        <v>0</v>
      </c>
      <c r="BD117" s="125" t="n">
        <f aca="false">SUM(BD88, -BD115)</f>
        <v>0</v>
      </c>
      <c r="BE117" s="125" t="n">
        <f aca="false">SUM(BE88, -BE115)</f>
        <v>0</v>
      </c>
      <c r="BF117" s="125" t="n">
        <f aca="false">SUM(BF88, -BF115)</f>
        <v>0</v>
      </c>
      <c r="BG117" s="125" t="n">
        <f aca="false">SUM(BG88, -BG115)</f>
        <v>0</v>
      </c>
      <c r="BH117" s="125" t="n">
        <f aca="false">SUM(BH88, -BH115)</f>
        <v>0</v>
      </c>
      <c r="BI117" s="125" t="n">
        <f aca="false">SUM(BI88, -BI115)</f>
        <v>0</v>
      </c>
      <c r="BJ117" s="125" t="n">
        <f aca="false">SUM(BJ88, -BJ115)</f>
        <v>0</v>
      </c>
      <c r="BK117" s="125" t="n">
        <f aca="false">SUM(BK88, -BK115)</f>
        <v>0</v>
      </c>
      <c r="BL117" s="125" t="n">
        <f aca="false">SUM(BL88, -BL115)</f>
        <v>0</v>
      </c>
      <c r="BM117" s="125" t="n">
        <f aca="false">SUM(BM88, -BM115)</f>
        <v>0</v>
      </c>
      <c r="BN117" s="125" t="n">
        <f aca="false">SUM(BN88, -BN115)</f>
        <v>0</v>
      </c>
      <c r="BO117" s="125" t="n">
        <f aca="false">SUM(BO88, -BO115)</f>
        <v>0</v>
      </c>
      <c r="BP117" s="125" t="n">
        <f aca="false">SUM(BP88, -BP115)</f>
        <v>0</v>
      </c>
      <c r="BQ117" s="125" t="n">
        <f aca="false">SUM(BQ88, -BQ115)</f>
        <v>0</v>
      </c>
      <c r="BR117" s="125" t="n">
        <f aca="false">SUM(BR88, -BR115)</f>
        <v>0</v>
      </c>
      <c r="BS117" s="125" t="n">
        <f aca="false">SUM(BS88, -BS115)</f>
        <v>0</v>
      </c>
      <c r="BT117" s="125" t="n">
        <f aca="false">SUM(BT88, -BT115)</f>
        <v>0</v>
      </c>
      <c r="BU117" s="125" t="n">
        <f aca="false">SUM(BU88, -BU115)</f>
        <v>0</v>
      </c>
      <c r="BV117" s="125" t="n">
        <f aca="false">SUM(BV88, -BV115)</f>
        <v>0</v>
      </c>
      <c r="BW117" s="125" t="n">
        <f aca="false">SUM(BW88, -BW115)</f>
        <v>0</v>
      </c>
      <c r="BX117" s="125" t="n">
        <f aca="false">SUM(BX88, -BX115)</f>
        <v>0</v>
      </c>
      <c r="BY117" s="125" t="n">
        <f aca="false">SUM(BY88, -BY115)</f>
        <v>0</v>
      </c>
      <c r="BZ117" s="125" t="n">
        <f aca="false">SUM(BZ88, -BZ115)</f>
        <v>0</v>
      </c>
      <c r="CA117" s="126" t="n">
        <f aca="false">SUM(CA88, -CA115)</f>
        <v>0</v>
      </c>
      <c r="CC117" s="126" t="n">
        <f aca="false">SUM(CC88, -CC115)</f>
        <v>0</v>
      </c>
      <c r="CD117" s="126" t="n">
        <f aca="false">SUM(CD88, -CD115)</f>
        <v>0</v>
      </c>
      <c r="CE117" s="126" t="n">
        <f aca="false">SUM(CE88, -CE115)</f>
        <v>0</v>
      </c>
      <c r="CF117" s="126" t="n">
        <f aca="false">SUM(CF88, -CF115)</f>
        <v>0</v>
      </c>
      <c r="CG117" s="126" t="n">
        <f aca="false">SUM(CG88, -CG115)</f>
        <v>0</v>
      </c>
      <c r="CI117" s="126" t="n">
        <f aca="false">CC117=L117</f>
        <v>1</v>
      </c>
      <c r="CJ117" s="126" t="n">
        <f aca="false">CD117=M117</f>
        <v>1</v>
      </c>
      <c r="CK117" s="126" t="n">
        <f aca="false">CE117=N117</f>
        <v>1</v>
      </c>
      <c r="CL117" s="126" t="n">
        <f aca="false">CF117=O117</f>
        <v>1</v>
      </c>
      <c r="CM117" s="126" t="n">
        <f aca="false">CG117=P117</f>
        <v>1</v>
      </c>
    </row>
    <row r="118" s="14" customFormat="true" ht="17.25" hidden="false" customHeight="true" outlineLevel="0" collapsed="false">
      <c r="K118" s="127"/>
      <c r="Q118" s="16"/>
      <c r="R118" s="16"/>
    </row>
    <row r="119" s="14" customFormat="true" ht="17.25" hidden="false" customHeight="true" outlineLevel="0" collapsed="false">
      <c r="E119" s="128"/>
      <c r="Q119" s="16"/>
      <c r="R119" s="16"/>
    </row>
    <row r="120" s="14" customFormat="true" ht="16.5" hidden="false" customHeight="true" outlineLevel="0" collapsed="false">
      <c r="C120" s="19" t="s">
        <v>142</v>
      </c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20"/>
      <c r="R120" s="20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  <c r="AS120" s="19"/>
      <c r="AT120" s="19"/>
      <c r="AU120" s="19"/>
      <c r="AV120" s="19"/>
      <c r="AW120" s="19"/>
      <c r="AX120" s="19"/>
      <c r="AY120" s="19"/>
      <c r="AZ120" s="19"/>
      <c r="BA120" s="19"/>
      <c r="BB120" s="19"/>
      <c r="BC120" s="19"/>
      <c r="BD120" s="19"/>
      <c r="BE120" s="19"/>
      <c r="BF120" s="19"/>
      <c r="BG120" s="19"/>
      <c r="BH120" s="19"/>
      <c r="BI120" s="19"/>
      <c r="BJ120" s="19"/>
      <c r="BK120" s="19"/>
      <c r="BL120" s="19"/>
      <c r="BM120" s="19"/>
      <c r="BN120" s="19"/>
      <c r="BO120" s="19"/>
      <c r="BP120" s="19"/>
      <c r="BQ120" s="19"/>
      <c r="BR120" s="19"/>
      <c r="BS120" s="19"/>
      <c r="BT120" s="19"/>
      <c r="BU120" s="19"/>
      <c r="BV120" s="19"/>
      <c r="BW120" s="19"/>
      <c r="BX120" s="19"/>
      <c r="BY120" s="19"/>
      <c r="BZ120" s="19"/>
      <c r="CA120" s="19"/>
      <c r="CC120" s="19" t="s">
        <v>117</v>
      </c>
      <c r="CD120" s="19"/>
      <c r="CE120" s="19"/>
      <c r="CF120" s="19"/>
      <c r="CG120" s="19"/>
      <c r="CI120" s="19" t="s">
        <v>118</v>
      </c>
      <c r="CJ120" s="19"/>
      <c r="CK120" s="19"/>
      <c r="CL120" s="19"/>
      <c r="CM120" s="19"/>
    </row>
    <row r="121" s="14" customFormat="true" ht="16.5" hidden="false" customHeight="true" outlineLevel="0" collapsed="false">
      <c r="Q121" s="16"/>
      <c r="R121" s="16"/>
    </row>
    <row r="122" s="14" customFormat="true" ht="16.5" hidden="false" customHeight="true" outlineLevel="0" collapsed="false">
      <c r="Q122" s="16"/>
      <c r="R122" s="16"/>
      <c r="T122" s="62" t="n">
        <v>2026</v>
      </c>
      <c r="U122" s="129"/>
      <c r="V122" s="129"/>
      <c r="W122" s="129"/>
      <c r="X122" s="129"/>
      <c r="Y122" s="129"/>
      <c r="Z122" s="129"/>
      <c r="AA122" s="129"/>
      <c r="AB122" s="129"/>
      <c r="AC122" s="129"/>
      <c r="AD122" s="129"/>
      <c r="AE122" s="129"/>
      <c r="AF122" s="62" t="n">
        <v>2027</v>
      </c>
      <c r="AG122" s="129"/>
      <c r="AH122" s="129"/>
      <c r="AI122" s="129"/>
      <c r="AJ122" s="129"/>
      <c r="AK122" s="129"/>
      <c r="AL122" s="129"/>
      <c r="AM122" s="129"/>
      <c r="AN122" s="129"/>
      <c r="AO122" s="129"/>
      <c r="AP122" s="129"/>
      <c r="AQ122" s="129"/>
      <c r="AR122" s="62" t="n">
        <v>2028</v>
      </c>
      <c r="AS122" s="129"/>
      <c r="AT122" s="129"/>
      <c r="AU122" s="129"/>
      <c r="AV122" s="129"/>
      <c r="AW122" s="129"/>
      <c r="AX122" s="129"/>
      <c r="AY122" s="129"/>
      <c r="AZ122" s="129"/>
      <c r="BA122" s="129"/>
      <c r="BB122" s="129"/>
      <c r="BC122" s="129"/>
      <c r="BD122" s="62" t="n">
        <v>2029</v>
      </c>
      <c r="BE122" s="129"/>
      <c r="BF122" s="129"/>
      <c r="BG122" s="129"/>
      <c r="BH122" s="129"/>
      <c r="BI122" s="129"/>
      <c r="BJ122" s="129"/>
      <c r="BK122" s="129"/>
      <c r="BL122" s="129"/>
      <c r="BM122" s="129"/>
      <c r="BN122" s="129"/>
      <c r="BO122" s="129"/>
      <c r="BP122" s="62" t="n">
        <v>2030</v>
      </c>
      <c r="BQ122" s="130"/>
      <c r="BR122" s="130"/>
      <c r="BS122" s="130"/>
      <c r="BT122" s="130"/>
      <c r="BU122" s="130"/>
      <c r="BV122" s="130"/>
      <c r="BW122" s="130"/>
      <c r="BX122" s="130"/>
      <c r="BY122" s="130"/>
      <c r="BZ122" s="130"/>
      <c r="CA122" s="130"/>
    </row>
    <row r="123" s="14" customFormat="true" ht="16.5" hidden="false" customHeight="true" outlineLevel="0" collapsed="false">
      <c r="D123" s="30" t="s">
        <v>143</v>
      </c>
      <c r="E123" s="31"/>
      <c r="F123" s="31"/>
      <c r="G123" s="31"/>
      <c r="H123" s="31"/>
      <c r="I123" s="31"/>
      <c r="J123" s="31"/>
      <c r="K123" s="30" t="s">
        <v>120</v>
      </c>
      <c r="L123" s="31" t="n">
        <v>2026</v>
      </c>
      <c r="M123" s="31" t="n">
        <f aca="false">L123+1</f>
        <v>2027</v>
      </c>
      <c r="N123" s="31" t="n">
        <f aca="false">M123+1</f>
        <v>2028</v>
      </c>
      <c r="O123" s="31" t="n">
        <f aca="false">N123+1</f>
        <v>2029</v>
      </c>
      <c r="P123" s="31" t="n">
        <f aca="false">O123+1</f>
        <v>2030</v>
      </c>
      <c r="Q123" s="31" t="s">
        <v>122</v>
      </c>
      <c r="R123" s="16"/>
      <c r="T123" s="59" t="n">
        <v>46023</v>
      </c>
      <c r="U123" s="60" t="n">
        <f aca="false">EOMONTH(T123, 1)</f>
        <v>46081</v>
      </c>
      <c r="V123" s="60" t="n">
        <f aca="false">EOMONTH(U123, 1)</f>
        <v>46112</v>
      </c>
      <c r="W123" s="60" t="n">
        <f aca="false">EOMONTH(V123, 1)</f>
        <v>46142</v>
      </c>
      <c r="X123" s="60" t="n">
        <f aca="false">EOMONTH(W123, 1)</f>
        <v>46173</v>
      </c>
      <c r="Y123" s="60" t="n">
        <f aca="false">EOMONTH(X123, 1)</f>
        <v>46203</v>
      </c>
      <c r="Z123" s="60" t="n">
        <f aca="false">EOMONTH(Y123, 1)</f>
        <v>46234</v>
      </c>
      <c r="AA123" s="60" t="n">
        <f aca="false">EOMONTH(Z123, 1)</f>
        <v>46265</v>
      </c>
      <c r="AB123" s="60" t="n">
        <f aca="false">EOMONTH(AA123, 1)</f>
        <v>46295</v>
      </c>
      <c r="AC123" s="60" t="n">
        <f aca="false">EOMONTH(AB123, 1)</f>
        <v>46326</v>
      </c>
      <c r="AD123" s="60" t="n">
        <f aca="false">EOMONTH(AC123, 1)</f>
        <v>46356</v>
      </c>
      <c r="AE123" s="61" t="n">
        <f aca="false">EOMONTH(AD123, 1)</f>
        <v>46387</v>
      </c>
      <c r="AF123" s="59" t="n">
        <f aca="false">EOMONTH(AE123, 1)</f>
        <v>46418</v>
      </c>
      <c r="AG123" s="60" t="n">
        <f aca="false">EOMONTH(AF123, 1)</f>
        <v>46446</v>
      </c>
      <c r="AH123" s="60" t="n">
        <f aca="false">EOMONTH(AG123, 1)</f>
        <v>46477</v>
      </c>
      <c r="AI123" s="60" t="n">
        <f aca="false">EOMONTH(AH123, 1)</f>
        <v>46507</v>
      </c>
      <c r="AJ123" s="60" t="n">
        <f aca="false">EOMONTH(AI123, 1)</f>
        <v>46538</v>
      </c>
      <c r="AK123" s="60" t="n">
        <f aca="false">EOMONTH(AJ123, 1)</f>
        <v>46568</v>
      </c>
      <c r="AL123" s="60" t="n">
        <f aca="false">EOMONTH(AK123, 1)</f>
        <v>46599</v>
      </c>
      <c r="AM123" s="60" t="n">
        <f aca="false">EOMONTH(AL123, 1)</f>
        <v>46630</v>
      </c>
      <c r="AN123" s="60" t="n">
        <f aca="false">EOMONTH(AM123, 1)</f>
        <v>46660</v>
      </c>
      <c r="AO123" s="60" t="n">
        <f aca="false">EOMONTH(AN123, 1)</f>
        <v>46691</v>
      </c>
      <c r="AP123" s="60" t="n">
        <f aca="false">EOMONTH(AO123, 1)</f>
        <v>46721</v>
      </c>
      <c r="AQ123" s="61" t="n">
        <f aca="false">EOMONTH(AP123, 1)</f>
        <v>46752</v>
      </c>
      <c r="AR123" s="59" t="n">
        <f aca="false">EOMONTH(AQ123, 1)</f>
        <v>46783</v>
      </c>
      <c r="AS123" s="60" t="n">
        <f aca="false">EOMONTH(AR123, 1)</f>
        <v>46812</v>
      </c>
      <c r="AT123" s="60" t="n">
        <f aca="false">EOMONTH(AS123, 1)</f>
        <v>46843</v>
      </c>
      <c r="AU123" s="60" t="n">
        <f aca="false">EOMONTH(AT123, 1)</f>
        <v>46873</v>
      </c>
      <c r="AV123" s="60" t="n">
        <f aca="false">EOMONTH(AU123, 1)</f>
        <v>46904</v>
      </c>
      <c r="AW123" s="60" t="n">
        <f aca="false">EOMONTH(AV123, 1)</f>
        <v>46934</v>
      </c>
      <c r="AX123" s="60" t="n">
        <f aca="false">EOMONTH(AW123, 1)</f>
        <v>46965</v>
      </c>
      <c r="AY123" s="60" t="n">
        <f aca="false">EOMONTH(AX123, 1)</f>
        <v>46996</v>
      </c>
      <c r="AZ123" s="60" t="n">
        <f aca="false">EOMONTH(AY123, 1)</f>
        <v>47026</v>
      </c>
      <c r="BA123" s="60" t="n">
        <f aca="false">EOMONTH(AZ123, 1)</f>
        <v>47057</v>
      </c>
      <c r="BB123" s="60" t="n">
        <f aca="false">EOMONTH(BA123, 1)</f>
        <v>47087</v>
      </c>
      <c r="BC123" s="61" t="n">
        <f aca="false">EOMONTH(BB123, 1)</f>
        <v>47118</v>
      </c>
      <c r="BD123" s="59" t="n">
        <f aca="false">EOMONTH(BC123, 1)</f>
        <v>47149</v>
      </c>
      <c r="BE123" s="60" t="n">
        <f aca="false">EOMONTH(BD123, 1)</f>
        <v>47177</v>
      </c>
      <c r="BF123" s="60" t="n">
        <f aca="false">EOMONTH(BE123, 1)</f>
        <v>47208</v>
      </c>
      <c r="BG123" s="60" t="n">
        <f aca="false">EOMONTH(BF123, 1)</f>
        <v>47238</v>
      </c>
      <c r="BH123" s="60" t="n">
        <f aca="false">EOMONTH(BG123, 1)</f>
        <v>47269</v>
      </c>
      <c r="BI123" s="60" t="n">
        <f aca="false">EOMONTH(BH123, 1)</f>
        <v>47299</v>
      </c>
      <c r="BJ123" s="60" t="n">
        <f aca="false">EOMONTH(BI123, 1)</f>
        <v>47330</v>
      </c>
      <c r="BK123" s="60" t="n">
        <f aca="false">EOMONTH(BJ123, 1)</f>
        <v>47361</v>
      </c>
      <c r="BL123" s="60" t="n">
        <f aca="false">EOMONTH(BK123, 1)</f>
        <v>47391</v>
      </c>
      <c r="BM123" s="60" t="n">
        <f aca="false">EOMONTH(BL123, 1)</f>
        <v>47422</v>
      </c>
      <c r="BN123" s="60" t="n">
        <f aca="false">EOMONTH(BM123, 1)</f>
        <v>47452</v>
      </c>
      <c r="BO123" s="61" t="n">
        <f aca="false">EOMONTH(BN123, 1)</f>
        <v>47483</v>
      </c>
      <c r="BP123" s="59" t="n">
        <f aca="false">EOMONTH(BO123, 1)</f>
        <v>47514</v>
      </c>
      <c r="BQ123" s="60" t="n">
        <f aca="false">EOMONTH(BP123, 1)</f>
        <v>47542</v>
      </c>
      <c r="BR123" s="60" t="n">
        <f aca="false">EOMONTH(BQ123, 1)</f>
        <v>47573</v>
      </c>
      <c r="BS123" s="60" t="n">
        <f aca="false">EOMONTH(BR123, 1)</f>
        <v>47603</v>
      </c>
      <c r="BT123" s="60" t="n">
        <f aca="false">EOMONTH(BS123, 1)</f>
        <v>47634</v>
      </c>
      <c r="BU123" s="60" t="n">
        <f aca="false">EOMONTH(BT123, 1)</f>
        <v>47664</v>
      </c>
      <c r="BV123" s="60" t="n">
        <f aca="false">EOMONTH(BU123, 1)</f>
        <v>47695</v>
      </c>
      <c r="BW123" s="60" t="n">
        <f aca="false">EOMONTH(BV123, 1)</f>
        <v>47726</v>
      </c>
      <c r="BX123" s="60" t="n">
        <f aca="false">EOMONTH(BW123, 1)</f>
        <v>47756</v>
      </c>
      <c r="BY123" s="60" t="n">
        <f aca="false">EOMONTH(BX123, 1)</f>
        <v>47787</v>
      </c>
      <c r="BZ123" s="60" t="n">
        <f aca="false">EOMONTH(BY123, 1)</f>
        <v>47817</v>
      </c>
      <c r="CA123" s="60" t="n">
        <f aca="false">EOMONTH(BZ123, 1)</f>
        <v>47848</v>
      </c>
      <c r="CC123" s="62" t="n">
        <v>2026</v>
      </c>
      <c r="CD123" s="62" t="n">
        <f aca="false">CC123+1</f>
        <v>2027</v>
      </c>
      <c r="CE123" s="62" t="n">
        <f aca="false">CD123+1</f>
        <v>2028</v>
      </c>
      <c r="CF123" s="62" t="n">
        <f aca="false">CE123+1</f>
        <v>2029</v>
      </c>
      <c r="CG123" s="62" t="n">
        <f aca="false">CF123+1</f>
        <v>2030</v>
      </c>
      <c r="CI123" s="62" t="n">
        <v>2026</v>
      </c>
      <c r="CJ123" s="62" t="n">
        <f aca="false">CI123+1</f>
        <v>2027</v>
      </c>
      <c r="CK123" s="62" t="n">
        <f aca="false">CJ123+1</f>
        <v>2028</v>
      </c>
      <c r="CL123" s="62" t="n">
        <f aca="false">CK123+1</f>
        <v>2029</v>
      </c>
      <c r="CM123" s="62" t="n">
        <f aca="false">CL123+1</f>
        <v>2030</v>
      </c>
    </row>
    <row r="124" s="14" customFormat="true" ht="16.5" hidden="false" customHeight="true" outlineLevel="0" collapsed="false">
      <c r="E124" s="21"/>
      <c r="F124" s="21"/>
      <c r="G124" s="21"/>
      <c r="K124" s="35"/>
      <c r="Q124" s="16"/>
      <c r="R124" s="16"/>
    </row>
    <row r="125" s="14" customFormat="true" ht="16.5" hidden="false" customHeight="true" outlineLevel="0" collapsed="false">
      <c r="E125" s="21" t="s">
        <v>144</v>
      </c>
      <c r="K125" s="35"/>
      <c r="Q125" s="16"/>
      <c r="R125" s="16"/>
    </row>
    <row r="126" s="14" customFormat="true" ht="16.5" hidden="false" customHeight="true" outlineLevel="0" collapsed="false">
      <c r="E126" s="91"/>
      <c r="K126" s="35"/>
      <c r="L126" s="91"/>
      <c r="M126" s="91"/>
      <c r="N126" s="91"/>
      <c r="O126" s="91"/>
      <c r="P126" s="91"/>
      <c r="Q126" s="93"/>
      <c r="R126" s="16"/>
      <c r="T126" s="91"/>
      <c r="U126" s="91"/>
      <c r="V126" s="91"/>
      <c r="W126" s="91"/>
      <c r="X126" s="91"/>
      <c r="Y126" s="91"/>
      <c r="Z126" s="91"/>
      <c r="AA126" s="91"/>
      <c r="AB126" s="91"/>
      <c r="AC126" s="91"/>
      <c r="AD126" s="91"/>
      <c r="AE126" s="91"/>
      <c r="AF126" s="91"/>
      <c r="AG126" s="91"/>
      <c r="AH126" s="91"/>
      <c r="AI126" s="91"/>
      <c r="AJ126" s="91"/>
      <c r="AK126" s="91"/>
      <c r="AL126" s="91"/>
      <c r="AM126" s="91"/>
      <c r="AN126" s="91"/>
      <c r="AO126" s="91"/>
      <c r="AP126" s="91"/>
      <c r="AQ126" s="91"/>
      <c r="AR126" s="91"/>
      <c r="AS126" s="91"/>
      <c r="AT126" s="91"/>
      <c r="AU126" s="91"/>
      <c r="AV126" s="91"/>
      <c r="AW126" s="91"/>
      <c r="AX126" s="91"/>
      <c r="AY126" s="91"/>
      <c r="AZ126" s="91"/>
      <c r="BA126" s="91"/>
      <c r="BB126" s="91"/>
      <c r="BC126" s="91"/>
      <c r="BD126" s="91"/>
      <c r="BE126" s="91"/>
      <c r="BF126" s="91"/>
      <c r="BG126" s="91"/>
      <c r="BH126" s="91"/>
      <c r="BI126" s="91"/>
      <c r="BJ126" s="91"/>
      <c r="BK126" s="91"/>
      <c r="BL126" s="91"/>
      <c r="BM126" s="91"/>
      <c r="BN126" s="91"/>
      <c r="BO126" s="91"/>
      <c r="BP126" s="91"/>
      <c r="BQ126" s="91"/>
      <c r="BR126" s="91"/>
      <c r="BS126" s="91"/>
      <c r="BT126" s="91"/>
      <c r="BU126" s="91"/>
      <c r="BV126" s="91"/>
      <c r="BW126" s="91"/>
      <c r="BX126" s="91"/>
      <c r="BY126" s="91"/>
      <c r="BZ126" s="91"/>
      <c r="CA126" s="91"/>
      <c r="CC126" s="79" t="n">
        <f aca="false">SUMIFS($T126:$CA126, $T$1:$CA$1, CC$63)</f>
        <v>0</v>
      </c>
      <c r="CD126" s="79" t="n">
        <f aca="false">SUMIFS($T126:$CA126, $T$1:$CA$1, CD$63)</f>
        <v>0</v>
      </c>
      <c r="CE126" s="79" t="n">
        <f aca="false">SUMIFS($T126:$CA126, $T$1:$CA$1, CE$63)</f>
        <v>0</v>
      </c>
      <c r="CF126" s="79" t="n">
        <f aca="false">SUMIFS($T126:$CA126, $T$1:$CA$1, CF$63)</f>
        <v>0</v>
      </c>
      <c r="CG126" s="79" t="n">
        <f aca="false">SUMIFS($T126:$CA126, $T$1:$CA$1, CG$63)</f>
        <v>0</v>
      </c>
      <c r="CI126" s="79" t="n">
        <f aca="false">CC126=L126</f>
        <v>1</v>
      </c>
      <c r="CJ126" s="79" t="n">
        <f aca="false">CD126=M126</f>
        <v>1</v>
      </c>
      <c r="CK126" s="79" t="n">
        <f aca="false">CE126=N126</f>
        <v>1</v>
      </c>
      <c r="CL126" s="79" t="n">
        <f aca="false">CF126=O126</f>
        <v>1</v>
      </c>
      <c r="CM126" s="79" t="n">
        <f aca="false">CG126=P126</f>
        <v>1</v>
      </c>
    </row>
    <row r="127" s="14" customFormat="true" ht="16.5" hidden="false" customHeight="true" outlineLevel="0" collapsed="false">
      <c r="E127" s="91"/>
      <c r="K127" s="35"/>
      <c r="L127" s="91"/>
      <c r="M127" s="91"/>
      <c r="N127" s="91"/>
      <c r="O127" s="91"/>
      <c r="P127" s="91"/>
      <c r="Q127" s="93"/>
      <c r="R127" s="16"/>
      <c r="T127" s="91"/>
      <c r="U127" s="91"/>
      <c r="V127" s="91"/>
      <c r="W127" s="91"/>
      <c r="X127" s="91"/>
      <c r="Y127" s="91"/>
      <c r="Z127" s="91"/>
      <c r="AA127" s="91"/>
      <c r="AB127" s="91"/>
      <c r="AC127" s="91"/>
      <c r="AD127" s="91"/>
      <c r="AE127" s="91"/>
      <c r="AF127" s="91"/>
      <c r="AG127" s="91"/>
      <c r="AH127" s="91"/>
      <c r="AI127" s="91"/>
      <c r="AJ127" s="91"/>
      <c r="AK127" s="91"/>
      <c r="AL127" s="91"/>
      <c r="AM127" s="91"/>
      <c r="AN127" s="91"/>
      <c r="AO127" s="91"/>
      <c r="AP127" s="91"/>
      <c r="AQ127" s="91"/>
      <c r="AR127" s="91"/>
      <c r="AS127" s="91"/>
      <c r="AT127" s="91"/>
      <c r="AU127" s="91"/>
      <c r="AV127" s="91"/>
      <c r="AW127" s="91"/>
      <c r="AX127" s="91"/>
      <c r="AY127" s="91"/>
      <c r="AZ127" s="91"/>
      <c r="BA127" s="91"/>
      <c r="BB127" s="91"/>
      <c r="BC127" s="91"/>
      <c r="BD127" s="91"/>
      <c r="BE127" s="91"/>
      <c r="BF127" s="91"/>
      <c r="BG127" s="91"/>
      <c r="BH127" s="91"/>
      <c r="BI127" s="91"/>
      <c r="BJ127" s="91"/>
      <c r="BK127" s="91"/>
      <c r="BL127" s="91"/>
      <c r="BM127" s="91"/>
      <c r="BN127" s="91"/>
      <c r="BO127" s="91"/>
      <c r="BP127" s="91"/>
      <c r="BQ127" s="91"/>
      <c r="BR127" s="91"/>
      <c r="BS127" s="91"/>
      <c r="BT127" s="91"/>
      <c r="BU127" s="91"/>
      <c r="BV127" s="91"/>
      <c r="BW127" s="91"/>
      <c r="BX127" s="91"/>
      <c r="BY127" s="91"/>
      <c r="BZ127" s="91"/>
      <c r="CA127" s="91"/>
      <c r="CC127" s="79" t="n">
        <f aca="false">SUMIFS($T127:$CA127, $T$1:$CA$1, CC$63)</f>
        <v>0</v>
      </c>
      <c r="CD127" s="79" t="n">
        <f aca="false">SUMIFS($T127:$CA127, $T$1:$CA$1, CD$63)</f>
        <v>0</v>
      </c>
      <c r="CE127" s="79" t="n">
        <f aca="false">SUMIFS($T127:$CA127, $T$1:$CA$1, CE$63)</f>
        <v>0</v>
      </c>
      <c r="CF127" s="79" t="n">
        <f aca="false">SUMIFS($T127:$CA127, $T$1:$CA$1, CF$63)</f>
        <v>0</v>
      </c>
      <c r="CG127" s="79" t="n">
        <f aca="false">SUMIFS($T127:$CA127, $T$1:$CA$1, CG$63)</f>
        <v>0</v>
      </c>
      <c r="CI127" s="79" t="n">
        <f aca="false">CC127=L127</f>
        <v>1</v>
      </c>
      <c r="CJ127" s="79" t="n">
        <f aca="false">CD127=M127</f>
        <v>1</v>
      </c>
      <c r="CK127" s="79" t="n">
        <f aca="false">CE127=N127</f>
        <v>1</v>
      </c>
      <c r="CL127" s="79" t="n">
        <f aca="false">CF127=O127</f>
        <v>1</v>
      </c>
      <c r="CM127" s="79" t="n">
        <f aca="false">CG127=P127</f>
        <v>1</v>
      </c>
    </row>
    <row r="128" s="14" customFormat="true" ht="16.5" hidden="false" customHeight="true" outlineLevel="0" collapsed="false">
      <c r="E128" s="96" t="s">
        <v>145</v>
      </c>
      <c r="K128" s="35"/>
      <c r="L128" s="82" t="n">
        <f aca="false">SUM(L126:L127)</f>
        <v>0</v>
      </c>
      <c r="M128" s="82" t="n">
        <f aca="false">SUM(M126:M127)</f>
        <v>0</v>
      </c>
      <c r="N128" s="82" t="n">
        <f aca="false">SUM(N126:N127)</f>
        <v>0</v>
      </c>
      <c r="O128" s="82" t="n">
        <f aca="false">SUM(O126:O127)</f>
        <v>0</v>
      </c>
      <c r="P128" s="82" t="n">
        <f aca="false">SUM(P126:P127)</f>
        <v>0</v>
      </c>
      <c r="Q128" s="16"/>
      <c r="R128" s="16"/>
      <c r="T128" s="82" t="n">
        <f aca="false">SUM(T126:T127)</f>
        <v>0</v>
      </c>
      <c r="U128" s="82" t="n">
        <f aca="false">SUM(U126:U127)</f>
        <v>0</v>
      </c>
      <c r="V128" s="82" t="n">
        <f aca="false">SUM(V126:V127)</f>
        <v>0</v>
      </c>
      <c r="W128" s="82" t="n">
        <f aca="false">SUM(W126:W127)</f>
        <v>0</v>
      </c>
      <c r="X128" s="82" t="n">
        <f aca="false">SUM(X126:X127)</f>
        <v>0</v>
      </c>
      <c r="Y128" s="82" t="n">
        <f aca="false">SUM(Y126:Y127)</f>
        <v>0</v>
      </c>
      <c r="Z128" s="82" t="n">
        <f aca="false">SUM(Z126:Z127)</f>
        <v>0</v>
      </c>
      <c r="AA128" s="82" t="n">
        <f aca="false">SUM(AA126:AA127)</f>
        <v>0</v>
      </c>
      <c r="AB128" s="82" t="n">
        <f aca="false">SUM(AB126:AB127)</f>
        <v>0</v>
      </c>
      <c r="AC128" s="82" t="n">
        <f aca="false">SUM(AC126:AC127)</f>
        <v>0</v>
      </c>
      <c r="AD128" s="82" t="n">
        <f aca="false">SUM(AD126:AD127)</f>
        <v>0</v>
      </c>
      <c r="AE128" s="82" t="n">
        <f aca="false">SUM(AE126:AE127)</f>
        <v>0</v>
      </c>
      <c r="AF128" s="82" t="n">
        <f aca="false">SUM(AF126:AF127)</f>
        <v>0</v>
      </c>
      <c r="AG128" s="82" t="n">
        <f aca="false">SUM(AG126:AG127)</f>
        <v>0</v>
      </c>
      <c r="AH128" s="82" t="n">
        <f aca="false">SUM(AH126:AH127)</f>
        <v>0</v>
      </c>
      <c r="AI128" s="82" t="n">
        <f aca="false">SUM(AI126:AI127)</f>
        <v>0</v>
      </c>
      <c r="AJ128" s="82" t="n">
        <f aca="false">SUM(AJ126:AJ127)</f>
        <v>0</v>
      </c>
      <c r="AK128" s="82" t="n">
        <f aca="false">SUM(AK126:AK127)</f>
        <v>0</v>
      </c>
      <c r="AL128" s="82" t="n">
        <f aca="false">SUM(AL126:AL127)</f>
        <v>0</v>
      </c>
      <c r="AM128" s="82" t="n">
        <f aca="false">SUM(AM126:AM127)</f>
        <v>0</v>
      </c>
      <c r="AN128" s="82" t="n">
        <f aca="false">SUM(AN126:AN127)</f>
        <v>0</v>
      </c>
      <c r="AO128" s="82" t="n">
        <f aca="false">SUM(AO126:AO127)</f>
        <v>0</v>
      </c>
      <c r="AP128" s="82" t="n">
        <f aca="false">SUM(AP126:AP127)</f>
        <v>0</v>
      </c>
      <c r="AQ128" s="82" t="n">
        <f aca="false">SUM(AQ126:AQ127)</f>
        <v>0</v>
      </c>
      <c r="AR128" s="82" t="n">
        <f aca="false">SUM(AR126:AR127)</f>
        <v>0</v>
      </c>
      <c r="AS128" s="82" t="n">
        <f aca="false">SUM(AS126:AS127)</f>
        <v>0</v>
      </c>
      <c r="AT128" s="82" t="n">
        <f aca="false">SUM(AT126:AT127)</f>
        <v>0</v>
      </c>
      <c r="AU128" s="82" t="n">
        <f aca="false">SUM(AU126:AU127)</f>
        <v>0</v>
      </c>
      <c r="AV128" s="82" t="n">
        <f aca="false">SUM(AV126:AV127)</f>
        <v>0</v>
      </c>
      <c r="AW128" s="82" t="n">
        <f aca="false">SUM(AW126:AW127)</f>
        <v>0</v>
      </c>
      <c r="AX128" s="82" t="n">
        <f aca="false">SUM(AX126:AX127)</f>
        <v>0</v>
      </c>
      <c r="AY128" s="82" t="n">
        <f aca="false">SUM(AY126:AY127)</f>
        <v>0</v>
      </c>
      <c r="AZ128" s="82" t="n">
        <f aca="false">SUM(AZ126:AZ127)</f>
        <v>0</v>
      </c>
      <c r="BA128" s="82" t="n">
        <f aca="false">SUM(BA126:BA127)</f>
        <v>0</v>
      </c>
      <c r="BB128" s="82" t="n">
        <f aca="false">SUM(BB126:BB127)</f>
        <v>0</v>
      </c>
      <c r="BC128" s="82" t="n">
        <f aca="false">SUM(BC126:BC127)</f>
        <v>0</v>
      </c>
      <c r="BD128" s="82" t="n">
        <f aca="false">SUM(BD126:BD127)</f>
        <v>0</v>
      </c>
      <c r="BE128" s="82" t="n">
        <f aca="false">SUM(BE126:BE127)</f>
        <v>0</v>
      </c>
      <c r="BF128" s="82" t="n">
        <f aca="false">SUM(BF126:BF127)</f>
        <v>0</v>
      </c>
      <c r="BG128" s="82" t="n">
        <f aca="false">SUM(BG126:BG127)</f>
        <v>0</v>
      </c>
      <c r="BH128" s="82" t="n">
        <f aca="false">SUM(BH126:BH127)</f>
        <v>0</v>
      </c>
      <c r="BI128" s="82" t="n">
        <f aca="false">SUM(BI126:BI127)</f>
        <v>0</v>
      </c>
      <c r="BJ128" s="82" t="n">
        <f aca="false">SUM(BJ126:BJ127)</f>
        <v>0</v>
      </c>
      <c r="BK128" s="82" t="n">
        <f aca="false">SUM(BK126:BK127)</f>
        <v>0</v>
      </c>
      <c r="BL128" s="82" t="n">
        <f aca="false">SUM(BL126:BL127)</f>
        <v>0</v>
      </c>
      <c r="BM128" s="82" t="n">
        <f aca="false">SUM(BM126:BM127)</f>
        <v>0</v>
      </c>
      <c r="BN128" s="82" t="n">
        <f aca="false">SUM(BN126:BN127)</f>
        <v>0</v>
      </c>
      <c r="BO128" s="82" t="n">
        <f aca="false">SUM(BO126:BO127)</f>
        <v>0</v>
      </c>
      <c r="BP128" s="82" t="n">
        <f aca="false">SUM(BP126:BP127)</f>
        <v>0</v>
      </c>
      <c r="BQ128" s="82" t="n">
        <f aca="false">SUM(BQ126:BQ127)</f>
        <v>0</v>
      </c>
      <c r="BR128" s="82" t="n">
        <f aca="false">SUM(BR126:BR127)</f>
        <v>0</v>
      </c>
      <c r="BS128" s="82" t="n">
        <f aca="false">SUM(BS126:BS127)</f>
        <v>0</v>
      </c>
      <c r="BT128" s="82" t="n">
        <f aca="false">SUM(BT126:BT127)</f>
        <v>0</v>
      </c>
      <c r="BU128" s="82" t="n">
        <f aca="false">SUM(BU126:BU127)</f>
        <v>0</v>
      </c>
      <c r="BV128" s="82" t="n">
        <f aca="false">SUM(BV126:BV127)</f>
        <v>0</v>
      </c>
      <c r="BW128" s="82" t="n">
        <f aca="false">SUM(BW126:BW127)</f>
        <v>0</v>
      </c>
      <c r="BX128" s="82" t="n">
        <f aca="false">SUM(BX126:BX127)</f>
        <v>0</v>
      </c>
      <c r="BY128" s="82" t="n">
        <f aca="false">SUM(BY126:BY127)</f>
        <v>0</v>
      </c>
      <c r="BZ128" s="82" t="n">
        <f aca="false">SUM(BZ126:BZ127)</f>
        <v>0</v>
      </c>
      <c r="CA128" s="82" t="n">
        <f aca="false">SUM(CA126:CA127)</f>
        <v>0</v>
      </c>
      <c r="CC128" s="131" t="n">
        <f aca="false">SUM(CC126:CC127)</f>
        <v>0</v>
      </c>
      <c r="CD128" s="131" t="n">
        <f aca="false">SUM(CD126:CD127)</f>
        <v>0</v>
      </c>
      <c r="CE128" s="131" t="n">
        <f aca="false">SUM(CE126:CE127)</f>
        <v>0</v>
      </c>
      <c r="CF128" s="131" t="n">
        <f aca="false">SUM(CF126:CF127)</f>
        <v>0</v>
      </c>
      <c r="CG128" s="131" t="n">
        <f aca="false">SUM(CG126:CG127)</f>
        <v>0</v>
      </c>
      <c r="CI128" s="131" t="n">
        <f aca="false">CC128=L128</f>
        <v>1</v>
      </c>
      <c r="CJ128" s="131" t="n">
        <f aca="false">CD128=M128</f>
        <v>1</v>
      </c>
      <c r="CK128" s="131" t="n">
        <f aca="false">CE128=N128</f>
        <v>1</v>
      </c>
      <c r="CL128" s="131" t="n">
        <f aca="false">CF128=O128</f>
        <v>1</v>
      </c>
      <c r="CM128" s="131" t="n">
        <f aca="false">CG128=P128</f>
        <v>1</v>
      </c>
    </row>
    <row r="129" s="14" customFormat="true" ht="16.5" hidden="false" customHeight="true" outlineLevel="0" collapsed="false">
      <c r="E129" s="96"/>
      <c r="K129" s="35"/>
      <c r="L129" s="82"/>
      <c r="M129" s="82"/>
      <c r="N129" s="82"/>
      <c r="O129" s="82"/>
      <c r="P129" s="82"/>
      <c r="Q129" s="16"/>
      <c r="R129" s="16"/>
      <c r="T129" s="82"/>
      <c r="U129" s="82"/>
      <c r="V129" s="82"/>
      <c r="W129" s="82"/>
      <c r="X129" s="82"/>
      <c r="Y129" s="82"/>
      <c r="Z129" s="82"/>
      <c r="AA129" s="82"/>
      <c r="AB129" s="82"/>
      <c r="AC129" s="82"/>
      <c r="AD129" s="82"/>
      <c r="AE129" s="82"/>
      <c r="AF129" s="82"/>
      <c r="AG129" s="82"/>
      <c r="AH129" s="82"/>
      <c r="AI129" s="82"/>
      <c r="AJ129" s="82"/>
      <c r="AK129" s="82"/>
      <c r="AL129" s="82"/>
      <c r="AM129" s="82"/>
      <c r="AN129" s="82"/>
      <c r="AO129" s="82"/>
      <c r="AP129" s="82"/>
      <c r="AQ129" s="82"/>
      <c r="AR129" s="82"/>
      <c r="AS129" s="82"/>
      <c r="AT129" s="82"/>
      <c r="AU129" s="82"/>
      <c r="AV129" s="82"/>
      <c r="AW129" s="82"/>
      <c r="AX129" s="82"/>
      <c r="AY129" s="82"/>
      <c r="AZ129" s="82"/>
      <c r="BA129" s="82"/>
      <c r="BB129" s="82"/>
      <c r="BC129" s="82"/>
      <c r="BD129" s="82"/>
      <c r="BE129" s="82"/>
      <c r="BF129" s="82"/>
      <c r="BG129" s="82"/>
      <c r="BH129" s="82"/>
      <c r="BI129" s="82"/>
      <c r="BJ129" s="82"/>
      <c r="BK129" s="82"/>
      <c r="BL129" s="82"/>
      <c r="BM129" s="82"/>
      <c r="BN129" s="82"/>
      <c r="BO129" s="82"/>
      <c r="BP129" s="82"/>
      <c r="BQ129" s="82"/>
      <c r="BR129" s="82"/>
      <c r="BS129" s="82"/>
      <c r="BT129" s="82"/>
      <c r="BU129" s="82"/>
      <c r="BV129" s="82"/>
      <c r="BW129" s="82"/>
      <c r="BX129" s="82"/>
      <c r="BY129" s="82"/>
      <c r="BZ129" s="82"/>
      <c r="CA129" s="82"/>
    </row>
    <row r="130" s="14" customFormat="true" ht="16.5" hidden="false" customHeight="true" outlineLevel="0" collapsed="false">
      <c r="E130" s="109" t="s">
        <v>146</v>
      </c>
      <c r="F130" s="109"/>
      <c r="G130" s="109"/>
      <c r="H130" s="109"/>
      <c r="I130" s="132"/>
      <c r="J130" s="132"/>
      <c r="K130" s="219"/>
      <c r="L130" s="120" t="n">
        <f aca="false">L128</f>
        <v>0</v>
      </c>
      <c r="M130" s="120" t="n">
        <f aca="false">M128</f>
        <v>0</v>
      </c>
      <c r="N130" s="120" t="n">
        <f aca="false">N128</f>
        <v>0</v>
      </c>
      <c r="O130" s="120" t="n">
        <f aca="false">O128</f>
        <v>0</v>
      </c>
      <c r="P130" s="120" t="n">
        <f aca="false">P128</f>
        <v>0</v>
      </c>
      <c r="Q130" s="16"/>
      <c r="R130" s="16"/>
      <c r="T130" s="120" t="n">
        <f aca="false">T128</f>
        <v>0</v>
      </c>
      <c r="U130" s="120" t="n">
        <f aca="false">U128</f>
        <v>0</v>
      </c>
      <c r="V130" s="120" t="n">
        <f aca="false">V128</f>
        <v>0</v>
      </c>
      <c r="W130" s="120" t="n">
        <f aca="false">W128</f>
        <v>0</v>
      </c>
      <c r="X130" s="120" t="n">
        <f aca="false">X128</f>
        <v>0</v>
      </c>
      <c r="Y130" s="120" t="n">
        <f aca="false">Y128</f>
        <v>0</v>
      </c>
      <c r="Z130" s="120" t="n">
        <f aca="false">Z128</f>
        <v>0</v>
      </c>
      <c r="AA130" s="120" t="n">
        <f aca="false">AA128</f>
        <v>0</v>
      </c>
      <c r="AB130" s="120" t="n">
        <f aca="false">AB128</f>
        <v>0</v>
      </c>
      <c r="AC130" s="120" t="n">
        <f aca="false">AC128</f>
        <v>0</v>
      </c>
      <c r="AD130" s="120" t="n">
        <f aca="false">AD128</f>
        <v>0</v>
      </c>
      <c r="AE130" s="120" t="n">
        <f aca="false">AE128</f>
        <v>0</v>
      </c>
      <c r="AF130" s="120" t="n">
        <f aca="false">AF128</f>
        <v>0</v>
      </c>
      <c r="AG130" s="120" t="n">
        <f aca="false">AG128</f>
        <v>0</v>
      </c>
      <c r="AH130" s="120" t="n">
        <f aca="false">AH128</f>
        <v>0</v>
      </c>
      <c r="AI130" s="120" t="n">
        <f aca="false">AI128</f>
        <v>0</v>
      </c>
      <c r="AJ130" s="120" t="n">
        <f aca="false">AJ128</f>
        <v>0</v>
      </c>
      <c r="AK130" s="120" t="n">
        <f aca="false">AK128</f>
        <v>0</v>
      </c>
      <c r="AL130" s="120" t="n">
        <f aca="false">AL128</f>
        <v>0</v>
      </c>
      <c r="AM130" s="120" t="n">
        <f aca="false">AM128</f>
        <v>0</v>
      </c>
      <c r="AN130" s="120" t="n">
        <f aca="false">AN128</f>
        <v>0</v>
      </c>
      <c r="AO130" s="120" t="n">
        <f aca="false">AO128</f>
        <v>0</v>
      </c>
      <c r="AP130" s="120" t="n">
        <f aca="false">AP128</f>
        <v>0</v>
      </c>
      <c r="AQ130" s="120" t="n">
        <f aca="false">AQ128</f>
        <v>0</v>
      </c>
      <c r="AR130" s="120" t="n">
        <f aca="false">AR128</f>
        <v>0</v>
      </c>
      <c r="AS130" s="120" t="n">
        <f aca="false">AS128</f>
        <v>0</v>
      </c>
      <c r="AT130" s="120" t="n">
        <f aca="false">AT128</f>
        <v>0</v>
      </c>
      <c r="AU130" s="120" t="n">
        <f aca="false">AU128</f>
        <v>0</v>
      </c>
      <c r="AV130" s="120" t="n">
        <f aca="false">AV128</f>
        <v>0</v>
      </c>
      <c r="AW130" s="120" t="n">
        <f aca="false">AW128</f>
        <v>0</v>
      </c>
      <c r="AX130" s="120" t="n">
        <f aca="false">AX128</f>
        <v>0</v>
      </c>
      <c r="AY130" s="120" t="n">
        <f aca="false">AY128</f>
        <v>0</v>
      </c>
      <c r="AZ130" s="120" t="n">
        <f aca="false">AZ128</f>
        <v>0</v>
      </c>
      <c r="BA130" s="120" t="n">
        <f aca="false">BA128</f>
        <v>0</v>
      </c>
      <c r="BB130" s="120" t="n">
        <f aca="false">BB128</f>
        <v>0</v>
      </c>
      <c r="BC130" s="120" t="n">
        <f aca="false">BC128</f>
        <v>0</v>
      </c>
      <c r="BD130" s="120" t="n">
        <f aca="false">BD128</f>
        <v>0</v>
      </c>
      <c r="BE130" s="120" t="n">
        <f aca="false">BE128</f>
        <v>0</v>
      </c>
      <c r="BF130" s="120" t="n">
        <f aca="false">BF128</f>
        <v>0</v>
      </c>
      <c r="BG130" s="120" t="n">
        <f aca="false">BG128</f>
        <v>0</v>
      </c>
      <c r="BH130" s="120" t="n">
        <f aca="false">BH128</f>
        <v>0</v>
      </c>
      <c r="BI130" s="120" t="n">
        <f aca="false">BI128</f>
        <v>0</v>
      </c>
      <c r="BJ130" s="120" t="n">
        <f aca="false">BJ128</f>
        <v>0</v>
      </c>
      <c r="BK130" s="120" t="n">
        <f aca="false">BK128</f>
        <v>0</v>
      </c>
      <c r="BL130" s="120" t="n">
        <f aca="false">BL128</f>
        <v>0</v>
      </c>
      <c r="BM130" s="120" t="n">
        <f aca="false">BM128</f>
        <v>0</v>
      </c>
      <c r="BN130" s="120" t="n">
        <f aca="false">BN128</f>
        <v>0</v>
      </c>
      <c r="BO130" s="120" t="n">
        <f aca="false">BO128</f>
        <v>0</v>
      </c>
      <c r="BP130" s="120" t="n">
        <f aca="false">BP128</f>
        <v>0</v>
      </c>
      <c r="BQ130" s="120" t="n">
        <f aca="false">BQ128</f>
        <v>0</v>
      </c>
      <c r="BR130" s="120" t="n">
        <f aca="false">BR128</f>
        <v>0</v>
      </c>
      <c r="BS130" s="120" t="n">
        <f aca="false">BS128</f>
        <v>0</v>
      </c>
      <c r="BT130" s="120" t="n">
        <f aca="false">BT128</f>
        <v>0</v>
      </c>
      <c r="BU130" s="120" t="n">
        <f aca="false">BU128</f>
        <v>0</v>
      </c>
      <c r="BV130" s="120" t="n">
        <f aca="false">BV128</f>
        <v>0</v>
      </c>
      <c r="BW130" s="120" t="n">
        <f aca="false">BW128</f>
        <v>0</v>
      </c>
      <c r="BX130" s="120" t="n">
        <f aca="false">BX128</f>
        <v>0</v>
      </c>
      <c r="BY130" s="120" t="n">
        <f aca="false">BY128</f>
        <v>0</v>
      </c>
      <c r="BZ130" s="120" t="n">
        <f aca="false">BZ128</f>
        <v>0</v>
      </c>
      <c r="CA130" s="120" t="n">
        <f aca="false">CA128</f>
        <v>0</v>
      </c>
      <c r="CC130" s="132" t="n">
        <f aca="false">CC128</f>
        <v>0</v>
      </c>
      <c r="CD130" s="132" t="n">
        <f aca="false">CD128</f>
        <v>0</v>
      </c>
      <c r="CE130" s="132" t="n">
        <f aca="false">CE128</f>
        <v>0</v>
      </c>
      <c r="CF130" s="132" t="n">
        <f aca="false">CF128</f>
        <v>0</v>
      </c>
      <c r="CG130" s="132" t="n">
        <f aca="false">CG128</f>
        <v>0</v>
      </c>
      <c r="CI130" s="133" t="n">
        <f aca="false">CI128</f>
        <v>1</v>
      </c>
      <c r="CJ130" s="133" t="n">
        <f aca="false">CJ128</f>
        <v>1</v>
      </c>
      <c r="CK130" s="133" t="n">
        <f aca="false">CK128</f>
        <v>1</v>
      </c>
      <c r="CL130" s="133" t="n">
        <f aca="false">CL128</f>
        <v>1</v>
      </c>
      <c r="CM130" s="133" t="n">
        <f aca="false">CM128</f>
        <v>1</v>
      </c>
    </row>
    <row r="131" s="14" customFormat="true" ht="16.5" hidden="false" customHeight="true" outlineLevel="0" collapsed="false">
      <c r="K131" s="35"/>
    </row>
    <row r="132" s="14" customFormat="true" ht="16.5" hidden="false" customHeight="true" outlineLevel="0" collapsed="false">
      <c r="E132" s="85"/>
      <c r="K132" s="35"/>
      <c r="Q132" s="16"/>
      <c r="R132" s="16"/>
      <c r="T132" s="62" t="n">
        <v>2026</v>
      </c>
      <c r="U132" s="129"/>
      <c r="V132" s="129"/>
      <c r="W132" s="129"/>
      <c r="X132" s="129"/>
      <c r="Y132" s="129"/>
      <c r="Z132" s="129"/>
      <c r="AA132" s="129"/>
      <c r="AB132" s="129"/>
      <c r="AC132" s="129"/>
      <c r="AD132" s="129"/>
      <c r="AE132" s="129"/>
      <c r="AF132" s="62" t="n">
        <v>2027</v>
      </c>
      <c r="AG132" s="129"/>
      <c r="AH132" s="129"/>
      <c r="AI132" s="129"/>
      <c r="AJ132" s="129"/>
      <c r="AK132" s="129"/>
      <c r="AL132" s="129"/>
      <c r="AM132" s="129"/>
      <c r="AN132" s="129"/>
      <c r="AO132" s="129"/>
      <c r="AP132" s="129"/>
      <c r="AQ132" s="129"/>
      <c r="AR132" s="62" t="n">
        <v>2028</v>
      </c>
      <c r="AS132" s="129"/>
      <c r="AT132" s="129"/>
      <c r="AU132" s="129"/>
      <c r="AV132" s="129"/>
      <c r="AW132" s="129"/>
      <c r="AX132" s="129"/>
      <c r="AY132" s="129"/>
      <c r="AZ132" s="129"/>
      <c r="BA132" s="129"/>
      <c r="BB132" s="129"/>
      <c r="BC132" s="129"/>
      <c r="BD132" s="62" t="n">
        <v>2029</v>
      </c>
      <c r="BE132" s="129"/>
      <c r="BF132" s="129"/>
      <c r="BG132" s="129"/>
      <c r="BH132" s="129"/>
      <c r="BI132" s="129"/>
      <c r="BJ132" s="129"/>
      <c r="BK132" s="129"/>
      <c r="BL132" s="129"/>
      <c r="BM132" s="129"/>
      <c r="BN132" s="129"/>
      <c r="BO132" s="129"/>
      <c r="BP132" s="62" t="n">
        <v>2030</v>
      </c>
      <c r="BQ132" s="130"/>
      <c r="BR132" s="130"/>
      <c r="BS132" s="130"/>
      <c r="BT132" s="130"/>
      <c r="BU132" s="130"/>
      <c r="BV132" s="130"/>
      <c r="BW132" s="130"/>
      <c r="BX132" s="130"/>
      <c r="BY132" s="130"/>
      <c r="BZ132" s="130"/>
      <c r="CA132" s="130"/>
    </row>
    <row r="133" s="14" customFormat="true" ht="16.5" hidden="false" customHeight="true" outlineLevel="0" collapsed="false">
      <c r="D133" s="30" t="s">
        <v>147</v>
      </c>
      <c r="E133" s="31"/>
      <c r="F133" s="31"/>
      <c r="G133" s="31"/>
      <c r="H133" s="31"/>
      <c r="I133" s="31"/>
      <c r="J133" s="31"/>
      <c r="K133" s="30" t="s">
        <v>120</v>
      </c>
      <c r="L133" s="31" t="n">
        <v>2026</v>
      </c>
      <c r="M133" s="31" t="n">
        <f aca="false">L133+1</f>
        <v>2027</v>
      </c>
      <c r="N133" s="31" t="n">
        <f aca="false">M133+1</f>
        <v>2028</v>
      </c>
      <c r="O133" s="31" t="n">
        <f aca="false">N133+1</f>
        <v>2029</v>
      </c>
      <c r="P133" s="31" t="n">
        <f aca="false">O133+1</f>
        <v>2030</v>
      </c>
      <c r="Q133" s="16"/>
      <c r="R133" s="16"/>
      <c r="T133" s="59" t="n">
        <v>46023</v>
      </c>
      <c r="U133" s="60" t="n">
        <f aca="false">EOMONTH(T133, 1)</f>
        <v>46081</v>
      </c>
      <c r="V133" s="60" t="n">
        <f aca="false">EOMONTH(U133, 1)</f>
        <v>46112</v>
      </c>
      <c r="W133" s="60" t="n">
        <f aca="false">EOMONTH(V133, 1)</f>
        <v>46142</v>
      </c>
      <c r="X133" s="60" t="n">
        <f aca="false">EOMONTH(W133, 1)</f>
        <v>46173</v>
      </c>
      <c r="Y133" s="60" t="n">
        <f aca="false">EOMONTH(X133, 1)</f>
        <v>46203</v>
      </c>
      <c r="Z133" s="60" t="n">
        <f aca="false">EOMONTH(Y133, 1)</f>
        <v>46234</v>
      </c>
      <c r="AA133" s="60" t="n">
        <f aca="false">EOMONTH(Z133, 1)</f>
        <v>46265</v>
      </c>
      <c r="AB133" s="60" t="n">
        <f aca="false">EOMONTH(AA133, 1)</f>
        <v>46295</v>
      </c>
      <c r="AC133" s="60" t="n">
        <f aca="false">EOMONTH(AB133, 1)</f>
        <v>46326</v>
      </c>
      <c r="AD133" s="60" t="n">
        <f aca="false">EOMONTH(AC133, 1)</f>
        <v>46356</v>
      </c>
      <c r="AE133" s="61" t="n">
        <f aca="false">EOMONTH(AD133, 1)</f>
        <v>46387</v>
      </c>
      <c r="AF133" s="59" t="n">
        <f aca="false">EOMONTH(AE133, 1)</f>
        <v>46418</v>
      </c>
      <c r="AG133" s="60" t="n">
        <f aca="false">EOMONTH(AF133, 1)</f>
        <v>46446</v>
      </c>
      <c r="AH133" s="60" t="n">
        <f aca="false">EOMONTH(AG133, 1)</f>
        <v>46477</v>
      </c>
      <c r="AI133" s="60" t="n">
        <f aca="false">EOMONTH(AH133, 1)</f>
        <v>46507</v>
      </c>
      <c r="AJ133" s="60" t="n">
        <f aca="false">EOMONTH(AI133, 1)</f>
        <v>46538</v>
      </c>
      <c r="AK133" s="60" t="n">
        <f aca="false">EOMONTH(AJ133, 1)</f>
        <v>46568</v>
      </c>
      <c r="AL133" s="60" t="n">
        <f aca="false">EOMONTH(AK133, 1)</f>
        <v>46599</v>
      </c>
      <c r="AM133" s="60" t="n">
        <f aca="false">EOMONTH(AL133, 1)</f>
        <v>46630</v>
      </c>
      <c r="AN133" s="60" t="n">
        <f aca="false">EOMONTH(AM133, 1)</f>
        <v>46660</v>
      </c>
      <c r="AO133" s="60" t="n">
        <f aca="false">EOMONTH(AN133, 1)</f>
        <v>46691</v>
      </c>
      <c r="AP133" s="60" t="n">
        <f aca="false">EOMONTH(AO133, 1)</f>
        <v>46721</v>
      </c>
      <c r="AQ133" s="61" t="n">
        <f aca="false">EOMONTH(AP133, 1)</f>
        <v>46752</v>
      </c>
      <c r="AR133" s="59" t="n">
        <f aca="false">EOMONTH(AQ133, 1)</f>
        <v>46783</v>
      </c>
      <c r="AS133" s="60" t="n">
        <f aca="false">EOMONTH(AR133, 1)</f>
        <v>46812</v>
      </c>
      <c r="AT133" s="60" t="n">
        <f aca="false">EOMONTH(AS133, 1)</f>
        <v>46843</v>
      </c>
      <c r="AU133" s="60" t="n">
        <f aca="false">EOMONTH(AT133, 1)</f>
        <v>46873</v>
      </c>
      <c r="AV133" s="60" t="n">
        <f aca="false">EOMONTH(AU133, 1)</f>
        <v>46904</v>
      </c>
      <c r="AW133" s="60" t="n">
        <f aca="false">EOMONTH(AV133, 1)</f>
        <v>46934</v>
      </c>
      <c r="AX133" s="60" t="n">
        <f aca="false">EOMONTH(AW133, 1)</f>
        <v>46965</v>
      </c>
      <c r="AY133" s="60" t="n">
        <f aca="false">EOMONTH(AX133, 1)</f>
        <v>46996</v>
      </c>
      <c r="AZ133" s="60" t="n">
        <f aca="false">EOMONTH(AY133, 1)</f>
        <v>47026</v>
      </c>
      <c r="BA133" s="60" t="n">
        <f aca="false">EOMONTH(AZ133, 1)</f>
        <v>47057</v>
      </c>
      <c r="BB133" s="60" t="n">
        <f aca="false">EOMONTH(BA133, 1)</f>
        <v>47087</v>
      </c>
      <c r="BC133" s="61" t="n">
        <f aca="false">EOMONTH(BB133, 1)</f>
        <v>47118</v>
      </c>
      <c r="BD133" s="59" t="n">
        <f aca="false">EOMONTH(BC133, 1)</f>
        <v>47149</v>
      </c>
      <c r="BE133" s="60" t="n">
        <f aca="false">EOMONTH(BD133, 1)</f>
        <v>47177</v>
      </c>
      <c r="BF133" s="60" t="n">
        <f aca="false">EOMONTH(BE133, 1)</f>
        <v>47208</v>
      </c>
      <c r="BG133" s="60" t="n">
        <f aca="false">EOMONTH(BF133, 1)</f>
        <v>47238</v>
      </c>
      <c r="BH133" s="60" t="n">
        <f aca="false">EOMONTH(BG133, 1)</f>
        <v>47269</v>
      </c>
      <c r="BI133" s="60" t="n">
        <f aca="false">EOMONTH(BH133, 1)</f>
        <v>47299</v>
      </c>
      <c r="BJ133" s="60" t="n">
        <f aca="false">EOMONTH(BI133, 1)</f>
        <v>47330</v>
      </c>
      <c r="BK133" s="60" t="n">
        <f aca="false">EOMONTH(BJ133, 1)</f>
        <v>47361</v>
      </c>
      <c r="BL133" s="60" t="n">
        <f aca="false">EOMONTH(BK133, 1)</f>
        <v>47391</v>
      </c>
      <c r="BM133" s="60" t="n">
        <f aca="false">EOMONTH(BL133, 1)</f>
        <v>47422</v>
      </c>
      <c r="BN133" s="60" t="n">
        <f aca="false">EOMONTH(BM133, 1)</f>
        <v>47452</v>
      </c>
      <c r="BO133" s="61" t="n">
        <f aca="false">EOMONTH(BN133, 1)</f>
        <v>47483</v>
      </c>
      <c r="BP133" s="59" t="n">
        <f aca="false">EOMONTH(BO133, 1)</f>
        <v>47514</v>
      </c>
      <c r="BQ133" s="60" t="n">
        <f aca="false">EOMONTH(BP133, 1)</f>
        <v>47542</v>
      </c>
      <c r="BR133" s="60" t="n">
        <f aca="false">EOMONTH(BQ133, 1)</f>
        <v>47573</v>
      </c>
      <c r="BS133" s="60" t="n">
        <f aca="false">EOMONTH(BR133, 1)</f>
        <v>47603</v>
      </c>
      <c r="BT133" s="60" t="n">
        <f aca="false">EOMONTH(BS133, 1)</f>
        <v>47634</v>
      </c>
      <c r="BU133" s="60" t="n">
        <f aca="false">EOMONTH(BT133, 1)</f>
        <v>47664</v>
      </c>
      <c r="BV133" s="60" t="n">
        <f aca="false">EOMONTH(BU133, 1)</f>
        <v>47695</v>
      </c>
      <c r="BW133" s="60" t="n">
        <f aca="false">EOMONTH(BV133, 1)</f>
        <v>47726</v>
      </c>
      <c r="BX133" s="60" t="n">
        <f aca="false">EOMONTH(BW133, 1)</f>
        <v>47756</v>
      </c>
      <c r="BY133" s="60" t="n">
        <f aca="false">EOMONTH(BX133, 1)</f>
        <v>47787</v>
      </c>
      <c r="BZ133" s="60" t="n">
        <f aca="false">EOMONTH(BY133, 1)</f>
        <v>47817</v>
      </c>
      <c r="CA133" s="60" t="n">
        <f aca="false">EOMONTH(BZ133, 1)</f>
        <v>47848</v>
      </c>
      <c r="CC133" s="62" t="n">
        <v>2026</v>
      </c>
      <c r="CD133" s="62" t="n">
        <f aca="false">CC133+1</f>
        <v>2027</v>
      </c>
      <c r="CE133" s="62" t="n">
        <f aca="false">CD133+1</f>
        <v>2028</v>
      </c>
      <c r="CF133" s="62" t="n">
        <f aca="false">CE133+1</f>
        <v>2029</v>
      </c>
      <c r="CG133" s="62" t="n">
        <f aca="false">CF133+1</f>
        <v>2030</v>
      </c>
      <c r="CI133" s="62" t="n">
        <v>2026</v>
      </c>
      <c r="CJ133" s="62" t="n">
        <f aca="false">CI133+1</f>
        <v>2027</v>
      </c>
      <c r="CK133" s="62" t="n">
        <f aca="false">CJ133+1</f>
        <v>2028</v>
      </c>
      <c r="CL133" s="62" t="n">
        <f aca="false">CK133+1</f>
        <v>2029</v>
      </c>
      <c r="CM133" s="62" t="n">
        <f aca="false">CL133+1</f>
        <v>2030</v>
      </c>
    </row>
    <row r="134" s="14" customFormat="true" ht="16.5" hidden="false" customHeight="true" outlineLevel="0" collapsed="false">
      <c r="F134" s="21"/>
      <c r="G134" s="21"/>
      <c r="Q134" s="16"/>
      <c r="R134" s="16"/>
    </row>
    <row r="135" s="14" customFormat="true" ht="16.5" hidden="false" customHeight="true" outlineLevel="0" collapsed="false">
      <c r="E135" s="21" t="s">
        <v>148</v>
      </c>
      <c r="Q135" s="16"/>
      <c r="R135" s="16"/>
    </row>
    <row r="136" s="14" customFormat="true" ht="16.5" hidden="false" customHeight="true" outlineLevel="0" collapsed="false">
      <c r="D136" s="134"/>
      <c r="E136" s="91" t="s">
        <v>349</v>
      </c>
      <c r="L136" s="208" t="n">
        <f aca="false">'SDLC-2 Model'!L86</f>
        <v>0</v>
      </c>
      <c r="M136" s="208" t="n">
        <f aca="false">'SDLC-2 Model'!M86</f>
        <v>0.526533333333333</v>
      </c>
      <c r="N136" s="208" t="n">
        <f aca="false">'SDLC-2 Model'!N86</f>
        <v>0</v>
      </c>
      <c r="O136" s="208" t="n">
        <f aca="false">'SDLC-2 Model'!O86</f>
        <v>0</v>
      </c>
      <c r="P136" s="208" t="n">
        <f aca="false">'SDLC-2 Model'!P86</f>
        <v>0</v>
      </c>
      <c r="Q136" s="93" t="s">
        <v>251</v>
      </c>
      <c r="R136" s="16"/>
      <c r="T136" s="220" t="n">
        <f aca="false">'SDLC-2 Model'!T86</f>
        <v>0</v>
      </c>
      <c r="U136" s="220" t="n">
        <f aca="false">'SDLC-2 Model'!U86</f>
        <v>0</v>
      </c>
      <c r="V136" s="220" t="n">
        <f aca="false">'SDLC-2 Model'!V86</f>
        <v>0</v>
      </c>
      <c r="W136" s="220" t="n">
        <f aca="false">'SDLC-2 Model'!W86</f>
        <v>0</v>
      </c>
      <c r="X136" s="220" t="n">
        <f aca="false">'SDLC-2 Model'!X86</f>
        <v>0</v>
      </c>
      <c r="Y136" s="220" t="n">
        <f aca="false">'SDLC-2 Model'!Y86</f>
        <v>0</v>
      </c>
      <c r="Z136" s="220" t="n">
        <f aca="false">'SDLC-2 Model'!Z86</f>
        <v>0</v>
      </c>
      <c r="AA136" s="220" t="n">
        <f aca="false">'SDLC-2 Model'!AA86</f>
        <v>0</v>
      </c>
      <c r="AB136" s="220" t="n">
        <f aca="false">'SDLC-2 Model'!AB86</f>
        <v>0</v>
      </c>
      <c r="AC136" s="220" t="n">
        <f aca="false">'SDLC-2 Model'!AC86</f>
        <v>0</v>
      </c>
      <c r="AD136" s="220" t="n">
        <f aca="false">'SDLC-2 Model'!AD86</f>
        <v>0</v>
      </c>
      <c r="AE136" s="220" t="n">
        <f aca="false">'SDLC-2 Model'!AE86</f>
        <v>0</v>
      </c>
      <c r="AF136" s="220" t="n">
        <f aca="false">'SDLC-2 Model'!AF86</f>
        <v>0.105306666666667</v>
      </c>
      <c r="AG136" s="220" t="n">
        <f aca="false">'SDLC-2 Model'!AG86</f>
        <v>0.105306666666667</v>
      </c>
      <c r="AH136" s="220" t="n">
        <f aca="false">'SDLC-2 Model'!AH86</f>
        <v>0.105306666666667</v>
      </c>
      <c r="AI136" s="220" t="n">
        <f aca="false">'SDLC-2 Model'!AI86</f>
        <v>0.105306666666667</v>
      </c>
      <c r="AJ136" s="220" t="n">
        <f aca="false">'SDLC-2 Model'!AJ86</f>
        <v>0.105306666666667</v>
      </c>
      <c r="AK136" s="220" t="n">
        <f aca="false">'SDLC-2 Model'!AK86</f>
        <v>0</v>
      </c>
      <c r="AL136" s="220" t="n">
        <f aca="false">'SDLC-2 Model'!AL86</f>
        <v>0</v>
      </c>
      <c r="AM136" s="220" t="n">
        <f aca="false">'SDLC-2 Model'!AM86</f>
        <v>0</v>
      </c>
      <c r="AN136" s="220" t="n">
        <f aca="false">'SDLC-2 Model'!AN86</f>
        <v>0</v>
      </c>
      <c r="AO136" s="220" t="n">
        <f aca="false">'SDLC-2 Model'!AO86</f>
        <v>0</v>
      </c>
      <c r="AP136" s="220" t="n">
        <f aca="false">'SDLC-2 Model'!AP86</f>
        <v>0</v>
      </c>
      <c r="AQ136" s="220" t="n">
        <f aca="false">'SDLC-2 Model'!AQ86</f>
        <v>0</v>
      </c>
      <c r="AR136" s="220" t="n">
        <f aca="false">'SDLC-2 Model'!AR86</f>
        <v>0</v>
      </c>
      <c r="AS136" s="220" t="n">
        <f aca="false">'SDLC-2 Model'!AS86</f>
        <v>0</v>
      </c>
      <c r="AT136" s="220" t="n">
        <f aca="false">'SDLC-2 Model'!AT86</f>
        <v>0</v>
      </c>
      <c r="AU136" s="220" t="n">
        <f aca="false">'SDLC-2 Model'!AU86</f>
        <v>0</v>
      </c>
      <c r="AV136" s="220" t="n">
        <f aca="false">'SDLC-2 Model'!AV86</f>
        <v>0</v>
      </c>
      <c r="AW136" s="220" t="n">
        <f aca="false">'SDLC-2 Model'!AW86</f>
        <v>0</v>
      </c>
      <c r="AX136" s="220" t="n">
        <f aca="false">'SDLC-2 Model'!AX86</f>
        <v>0</v>
      </c>
      <c r="AY136" s="220" t="n">
        <f aca="false">'SDLC-2 Model'!AY86</f>
        <v>0</v>
      </c>
      <c r="AZ136" s="220" t="n">
        <f aca="false">'SDLC-2 Model'!AZ86</f>
        <v>0</v>
      </c>
      <c r="BA136" s="220" t="n">
        <f aca="false">'SDLC-2 Model'!BA86</f>
        <v>0</v>
      </c>
      <c r="BB136" s="220" t="n">
        <f aca="false">'SDLC-2 Model'!BB86</f>
        <v>0</v>
      </c>
      <c r="BC136" s="220" t="n">
        <f aca="false">'SDLC-2 Model'!BC86</f>
        <v>0</v>
      </c>
      <c r="BD136" s="220" t="n">
        <f aca="false">'SDLC-2 Model'!BD86</f>
        <v>0</v>
      </c>
      <c r="BE136" s="220" t="n">
        <f aca="false">'SDLC-2 Model'!BE86</f>
        <v>0</v>
      </c>
      <c r="BF136" s="220" t="n">
        <f aca="false">'SDLC-2 Model'!BF86</f>
        <v>0</v>
      </c>
      <c r="BG136" s="220" t="n">
        <f aca="false">'SDLC-2 Model'!BG86</f>
        <v>0</v>
      </c>
      <c r="BH136" s="220" t="n">
        <f aca="false">'SDLC-2 Model'!BH86</f>
        <v>0</v>
      </c>
      <c r="BI136" s="220" t="n">
        <f aca="false">'SDLC-2 Model'!BI86</f>
        <v>0</v>
      </c>
      <c r="BJ136" s="220" t="n">
        <f aca="false">'SDLC-2 Model'!BJ86</f>
        <v>0</v>
      </c>
      <c r="BK136" s="220" t="n">
        <f aca="false">'SDLC-2 Model'!BK86</f>
        <v>0</v>
      </c>
      <c r="BL136" s="220" t="n">
        <f aca="false">'SDLC-2 Model'!BL86</f>
        <v>0</v>
      </c>
      <c r="BM136" s="220" t="n">
        <f aca="false">'SDLC-2 Model'!BM86</f>
        <v>0</v>
      </c>
      <c r="BN136" s="220" t="n">
        <f aca="false">'SDLC-2 Model'!BN86</f>
        <v>0</v>
      </c>
      <c r="BO136" s="220" t="n">
        <f aca="false">'SDLC-2 Model'!BO86</f>
        <v>0</v>
      </c>
      <c r="BP136" s="220" t="n">
        <f aca="false">'SDLC-2 Model'!BP86</f>
        <v>0</v>
      </c>
      <c r="BQ136" s="220" t="n">
        <f aca="false">'SDLC-2 Model'!BQ86</f>
        <v>0</v>
      </c>
      <c r="BR136" s="220" t="n">
        <f aca="false">'SDLC-2 Model'!BR86</f>
        <v>0</v>
      </c>
      <c r="BS136" s="220" t="n">
        <f aca="false">'SDLC-2 Model'!BS86</f>
        <v>0</v>
      </c>
      <c r="BT136" s="220" t="n">
        <f aca="false">'SDLC-2 Model'!BT86</f>
        <v>0</v>
      </c>
      <c r="BU136" s="220" t="n">
        <f aca="false">'SDLC-2 Model'!BU86</f>
        <v>0</v>
      </c>
      <c r="BV136" s="220" t="n">
        <f aca="false">'SDLC-2 Model'!BV86</f>
        <v>0</v>
      </c>
      <c r="BW136" s="220" t="n">
        <f aca="false">'SDLC-2 Model'!BW86</f>
        <v>0</v>
      </c>
      <c r="BX136" s="220" t="n">
        <f aca="false">'SDLC-2 Model'!BX86</f>
        <v>0</v>
      </c>
      <c r="BY136" s="220" t="n">
        <f aca="false">'SDLC-2 Model'!BY86</f>
        <v>0</v>
      </c>
      <c r="BZ136" s="221" t="n">
        <f aca="false">'SDLC-2 Model'!BZ86</f>
        <v>0</v>
      </c>
      <c r="CA136" s="221" t="n">
        <f aca="false">'SDLC-2 Model'!CA86</f>
        <v>0</v>
      </c>
      <c r="CC136" s="79" t="n">
        <f aca="false">SUMIFS($T136:$CA136, $T$1:$CA$1, CC$63)</f>
        <v>0</v>
      </c>
      <c r="CD136" s="79" t="n">
        <f aca="false">SUMIFS($T136:$CA136, $T$1:$CA$1, CD$63)</f>
        <v>0.526533333333333</v>
      </c>
      <c r="CE136" s="79" t="n">
        <f aca="false">SUMIFS($T136:$CA136, $T$1:$CA$1, CE$63)</f>
        <v>0</v>
      </c>
      <c r="CF136" s="79" t="n">
        <f aca="false">SUMIFS($T136:$CA136, $T$1:$CA$1, CF$63)</f>
        <v>0</v>
      </c>
      <c r="CG136" s="79" t="n">
        <f aca="false">SUMIFS($T136:$CA136, $T$1:$CA$1, CG$63)</f>
        <v>0</v>
      </c>
      <c r="CI136" s="79" t="n">
        <f aca="false">CC136=L136</f>
        <v>1</v>
      </c>
      <c r="CJ136" s="79" t="n">
        <f aca="false">CD136=M136</f>
        <v>1</v>
      </c>
      <c r="CK136" s="79" t="n">
        <f aca="false">CE136=N136</f>
        <v>1</v>
      </c>
      <c r="CL136" s="79" t="n">
        <f aca="false">CF136=O136</f>
        <v>1</v>
      </c>
      <c r="CM136" s="79" t="n">
        <f aca="false">CG136=P136</f>
        <v>1</v>
      </c>
    </row>
    <row r="137" s="14" customFormat="true" ht="16.5" hidden="false" customHeight="true" outlineLevel="0" collapsed="false">
      <c r="D137" s="134"/>
      <c r="E137" s="91" t="s">
        <v>350</v>
      </c>
      <c r="L137" s="208" t="n">
        <f aca="false">'SDLC-2 Model'!L87</f>
        <v>0</v>
      </c>
      <c r="M137" s="208" t="n">
        <f aca="false">'SDLC-2 Model'!M87</f>
        <v>0</v>
      </c>
      <c r="N137" s="208" t="n">
        <f aca="false">'SDLC-2 Model'!N87</f>
        <v>0</v>
      </c>
      <c r="O137" s="208" t="n">
        <f aca="false">'SDLC-2 Model'!O87</f>
        <v>0</v>
      </c>
      <c r="P137" s="208" t="n">
        <f aca="false">'SDLC-2 Model'!P87</f>
        <v>0</v>
      </c>
      <c r="Q137" s="93" t="s">
        <v>251</v>
      </c>
      <c r="R137" s="16"/>
      <c r="T137" s="220" t="n">
        <f aca="false">'SDLC-2 Model'!T87</f>
        <v>0</v>
      </c>
      <c r="U137" s="220" t="n">
        <f aca="false">'SDLC-2 Model'!U87</f>
        <v>0</v>
      </c>
      <c r="V137" s="220" t="n">
        <f aca="false">'SDLC-2 Model'!V87</f>
        <v>0</v>
      </c>
      <c r="W137" s="220" t="n">
        <f aca="false">'SDLC-2 Model'!W87</f>
        <v>0</v>
      </c>
      <c r="X137" s="220" t="n">
        <f aca="false">'SDLC-2 Model'!X87</f>
        <v>0</v>
      </c>
      <c r="Y137" s="220" t="n">
        <f aca="false">'SDLC-2 Model'!Y87</f>
        <v>0</v>
      </c>
      <c r="Z137" s="220" t="n">
        <f aca="false">'SDLC-2 Model'!Z87</f>
        <v>0</v>
      </c>
      <c r="AA137" s="220" t="n">
        <f aca="false">'SDLC-2 Model'!AA87</f>
        <v>0</v>
      </c>
      <c r="AB137" s="220" t="n">
        <f aca="false">'SDLC-2 Model'!AB87</f>
        <v>0</v>
      </c>
      <c r="AC137" s="220" t="n">
        <f aca="false">'SDLC-2 Model'!AC87</f>
        <v>0</v>
      </c>
      <c r="AD137" s="220" t="n">
        <f aca="false">'SDLC-2 Model'!AD87</f>
        <v>0</v>
      </c>
      <c r="AE137" s="220" t="n">
        <f aca="false">'SDLC-2 Model'!AE87</f>
        <v>0</v>
      </c>
      <c r="AF137" s="220" t="n">
        <f aca="false">'SDLC-2 Model'!AF87</f>
        <v>0</v>
      </c>
      <c r="AG137" s="220" t="n">
        <f aca="false">'SDLC-2 Model'!AG87</f>
        <v>0</v>
      </c>
      <c r="AH137" s="220" t="n">
        <f aca="false">'SDLC-2 Model'!AH87</f>
        <v>0</v>
      </c>
      <c r="AI137" s="220" t="n">
        <f aca="false">'SDLC-2 Model'!AI87</f>
        <v>0</v>
      </c>
      <c r="AJ137" s="220" t="n">
        <f aca="false">'SDLC-2 Model'!AJ87</f>
        <v>0</v>
      </c>
      <c r="AK137" s="220" t="n">
        <f aca="false">'SDLC-2 Model'!AK87</f>
        <v>0</v>
      </c>
      <c r="AL137" s="220" t="n">
        <f aca="false">'SDLC-2 Model'!AL87</f>
        <v>0</v>
      </c>
      <c r="AM137" s="220" t="n">
        <f aca="false">'SDLC-2 Model'!AM87</f>
        <v>0</v>
      </c>
      <c r="AN137" s="220" t="n">
        <f aca="false">'SDLC-2 Model'!AN87</f>
        <v>0</v>
      </c>
      <c r="AO137" s="220" t="n">
        <f aca="false">'SDLC-2 Model'!AO87</f>
        <v>0</v>
      </c>
      <c r="AP137" s="220" t="n">
        <f aca="false">'SDLC-2 Model'!AP87</f>
        <v>0</v>
      </c>
      <c r="AQ137" s="220" t="n">
        <f aca="false">'SDLC-2 Model'!AQ87</f>
        <v>0</v>
      </c>
      <c r="AR137" s="220" t="n">
        <f aca="false">'SDLC-2 Model'!AR87</f>
        <v>0</v>
      </c>
      <c r="AS137" s="220" t="n">
        <f aca="false">'SDLC-2 Model'!AS87</f>
        <v>0</v>
      </c>
      <c r="AT137" s="220" t="n">
        <f aca="false">'SDLC-2 Model'!AT87</f>
        <v>0</v>
      </c>
      <c r="AU137" s="220" t="n">
        <f aca="false">'SDLC-2 Model'!AU87</f>
        <v>0</v>
      </c>
      <c r="AV137" s="220" t="n">
        <f aca="false">'SDLC-2 Model'!AV87</f>
        <v>0</v>
      </c>
      <c r="AW137" s="220" t="n">
        <f aca="false">'SDLC-2 Model'!AW87</f>
        <v>0</v>
      </c>
      <c r="AX137" s="220" t="n">
        <f aca="false">'SDLC-2 Model'!AX87</f>
        <v>0</v>
      </c>
      <c r="AY137" s="220" t="n">
        <f aca="false">'SDLC-2 Model'!AY87</f>
        <v>0</v>
      </c>
      <c r="AZ137" s="220" t="n">
        <f aca="false">'SDLC-2 Model'!AZ87</f>
        <v>0</v>
      </c>
      <c r="BA137" s="220" t="n">
        <f aca="false">'SDLC-2 Model'!BA87</f>
        <v>0</v>
      </c>
      <c r="BB137" s="220" t="n">
        <f aca="false">'SDLC-2 Model'!BB87</f>
        <v>0</v>
      </c>
      <c r="BC137" s="220" t="n">
        <f aca="false">'SDLC-2 Model'!BC87</f>
        <v>0</v>
      </c>
      <c r="BD137" s="220" t="n">
        <f aca="false">'SDLC-2 Model'!BD87</f>
        <v>0</v>
      </c>
      <c r="BE137" s="220" t="n">
        <f aca="false">'SDLC-2 Model'!BE87</f>
        <v>0</v>
      </c>
      <c r="BF137" s="220" t="n">
        <f aca="false">'SDLC-2 Model'!BF87</f>
        <v>0</v>
      </c>
      <c r="BG137" s="220" t="n">
        <f aca="false">'SDLC-2 Model'!BG87</f>
        <v>0</v>
      </c>
      <c r="BH137" s="220" t="n">
        <f aca="false">'SDLC-2 Model'!BH87</f>
        <v>0</v>
      </c>
      <c r="BI137" s="220" t="n">
        <f aca="false">'SDLC-2 Model'!BI87</f>
        <v>0</v>
      </c>
      <c r="BJ137" s="220" t="n">
        <f aca="false">'SDLC-2 Model'!BJ87</f>
        <v>0</v>
      </c>
      <c r="BK137" s="220" t="n">
        <f aca="false">'SDLC-2 Model'!BK87</f>
        <v>0</v>
      </c>
      <c r="BL137" s="220" t="n">
        <f aca="false">'SDLC-2 Model'!BL87</f>
        <v>0</v>
      </c>
      <c r="BM137" s="220" t="n">
        <f aca="false">'SDLC-2 Model'!BM87</f>
        <v>0</v>
      </c>
      <c r="BN137" s="220" t="n">
        <f aca="false">'SDLC-2 Model'!BN87</f>
        <v>0</v>
      </c>
      <c r="BO137" s="220" t="n">
        <f aca="false">'SDLC-2 Model'!BO87</f>
        <v>0</v>
      </c>
      <c r="BP137" s="220" t="n">
        <f aca="false">'SDLC-2 Model'!BP87</f>
        <v>0</v>
      </c>
      <c r="BQ137" s="220" t="n">
        <f aca="false">'SDLC-2 Model'!BQ87</f>
        <v>0</v>
      </c>
      <c r="BR137" s="220" t="n">
        <f aca="false">'SDLC-2 Model'!BR87</f>
        <v>0</v>
      </c>
      <c r="BS137" s="220" t="n">
        <f aca="false">'SDLC-2 Model'!BS87</f>
        <v>0</v>
      </c>
      <c r="BT137" s="220" t="n">
        <f aca="false">'SDLC-2 Model'!BT87</f>
        <v>0</v>
      </c>
      <c r="BU137" s="220" t="n">
        <f aca="false">'SDLC-2 Model'!BU87</f>
        <v>0</v>
      </c>
      <c r="BV137" s="220" t="n">
        <f aca="false">'SDLC-2 Model'!BV87</f>
        <v>0</v>
      </c>
      <c r="BW137" s="220" t="n">
        <f aca="false">'SDLC-2 Model'!BW87</f>
        <v>0</v>
      </c>
      <c r="BX137" s="220" t="n">
        <f aca="false">'SDLC-2 Model'!BX87</f>
        <v>0</v>
      </c>
      <c r="BY137" s="220" t="n">
        <f aca="false">'SDLC-2 Model'!BY87</f>
        <v>0</v>
      </c>
      <c r="BZ137" s="221" t="n">
        <f aca="false">'SDLC-2 Model'!BZ87</f>
        <v>0</v>
      </c>
      <c r="CA137" s="221" t="n">
        <f aca="false">'SDLC-2 Model'!CA87</f>
        <v>0</v>
      </c>
      <c r="CC137" s="79" t="n">
        <f aca="false">SUMIFS($T137:$CA137, $T$1:$CA$1, CC$63)</f>
        <v>0</v>
      </c>
      <c r="CD137" s="79" t="n">
        <f aca="false">SUMIFS($T137:$CA137, $T$1:$CA$1, CD$63)</f>
        <v>0</v>
      </c>
      <c r="CE137" s="79" t="n">
        <f aca="false">SUMIFS($T137:$CA137, $T$1:$CA$1, CE$63)</f>
        <v>0</v>
      </c>
      <c r="CF137" s="79" t="n">
        <f aca="false">SUMIFS($T137:$CA137, $T$1:$CA$1, CF$63)</f>
        <v>0</v>
      </c>
      <c r="CG137" s="79" t="n">
        <f aca="false">SUMIFS($T137:$CA137, $T$1:$CA$1, CG$63)</f>
        <v>0</v>
      </c>
      <c r="CI137" s="79" t="n">
        <f aca="false">CC137=L137</f>
        <v>1</v>
      </c>
      <c r="CJ137" s="79" t="n">
        <f aca="false">CD137=M137</f>
        <v>1</v>
      </c>
      <c r="CK137" s="79" t="n">
        <f aca="false">CE137=N137</f>
        <v>1</v>
      </c>
      <c r="CL137" s="79" t="n">
        <f aca="false">CF137=O137</f>
        <v>1</v>
      </c>
      <c r="CM137" s="79" t="n">
        <f aca="false">CG137=P137</f>
        <v>1</v>
      </c>
    </row>
    <row r="138" s="14" customFormat="true" ht="16.5" hidden="false" customHeight="true" outlineLevel="0" collapsed="false">
      <c r="E138" s="96" t="s">
        <v>150</v>
      </c>
      <c r="L138" s="82" t="n">
        <f aca="false">SUM(L136:L137)</f>
        <v>0</v>
      </c>
      <c r="M138" s="82" t="n">
        <f aca="false">SUM(M136:M137)</f>
        <v>0.526533333333333</v>
      </c>
      <c r="N138" s="82" t="n">
        <f aca="false">SUM(N136:N137)</f>
        <v>0</v>
      </c>
      <c r="O138" s="82" t="n">
        <f aca="false">SUM(O136:O137)</f>
        <v>0</v>
      </c>
      <c r="P138" s="82" t="n">
        <f aca="false">SUM(P136:P137)</f>
        <v>0</v>
      </c>
      <c r="Q138" s="16"/>
      <c r="R138" s="16"/>
      <c r="T138" s="131" t="n">
        <f aca="false">SUM(T136:T137)</f>
        <v>0</v>
      </c>
      <c r="U138" s="131" t="n">
        <f aca="false">SUM(U136:U137)</f>
        <v>0</v>
      </c>
      <c r="V138" s="131" t="n">
        <f aca="false">SUM(V136:V137)</f>
        <v>0</v>
      </c>
      <c r="W138" s="131" t="n">
        <f aca="false">SUM(W136:W137)</f>
        <v>0</v>
      </c>
      <c r="X138" s="131" t="n">
        <f aca="false">SUM(X136:X137)</f>
        <v>0</v>
      </c>
      <c r="Y138" s="131" t="n">
        <f aca="false">SUM(Y136:Y137)</f>
        <v>0</v>
      </c>
      <c r="Z138" s="131" t="n">
        <f aca="false">SUM(Z136:Z137)</f>
        <v>0</v>
      </c>
      <c r="AA138" s="131" t="n">
        <f aca="false">SUM(AA136:AA137)</f>
        <v>0</v>
      </c>
      <c r="AB138" s="131" t="n">
        <f aca="false">SUM(AB136:AB137)</f>
        <v>0</v>
      </c>
      <c r="AC138" s="131" t="n">
        <f aca="false">SUM(AC136:AC137)</f>
        <v>0</v>
      </c>
      <c r="AD138" s="131" t="n">
        <f aca="false">SUM(AD136:AD137)</f>
        <v>0</v>
      </c>
      <c r="AE138" s="131" t="n">
        <f aca="false">SUM(AE136:AE137)</f>
        <v>0</v>
      </c>
      <c r="AF138" s="131" t="n">
        <f aca="false">SUM(AF136:AF137)</f>
        <v>0.105306666666667</v>
      </c>
      <c r="AG138" s="131" t="n">
        <f aca="false">SUM(AG136:AG137)</f>
        <v>0.105306666666667</v>
      </c>
      <c r="AH138" s="131" t="n">
        <f aca="false">SUM(AH136:AH137)</f>
        <v>0.105306666666667</v>
      </c>
      <c r="AI138" s="131" t="n">
        <f aca="false">SUM(AI136:AI137)</f>
        <v>0.105306666666667</v>
      </c>
      <c r="AJ138" s="131" t="n">
        <f aca="false">SUM(AJ136:AJ137)</f>
        <v>0.105306666666667</v>
      </c>
      <c r="AK138" s="131" t="n">
        <f aca="false">SUM(AK136:AK137)</f>
        <v>0</v>
      </c>
      <c r="AL138" s="131" t="n">
        <f aca="false">SUM(AL136:AL137)</f>
        <v>0</v>
      </c>
      <c r="AM138" s="131" t="n">
        <f aca="false">SUM(AM136:AM137)</f>
        <v>0</v>
      </c>
      <c r="AN138" s="131" t="n">
        <f aca="false">SUM(AN136:AN137)</f>
        <v>0</v>
      </c>
      <c r="AO138" s="131" t="n">
        <f aca="false">SUM(AO136:AO137)</f>
        <v>0</v>
      </c>
      <c r="AP138" s="131" t="n">
        <f aca="false">SUM(AP136:AP137)</f>
        <v>0</v>
      </c>
      <c r="AQ138" s="131" t="n">
        <f aca="false">SUM(AQ136:AQ137)</f>
        <v>0</v>
      </c>
      <c r="AR138" s="131" t="n">
        <f aca="false">SUM(AR136:AR137)</f>
        <v>0</v>
      </c>
      <c r="AS138" s="131" t="n">
        <f aca="false">SUM(AS136:AS137)</f>
        <v>0</v>
      </c>
      <c r="AT138" s="131" t="n">
        <f aca="false">SUM(AT136:AT137)</f>
        <v>0</v>
      </c>
      <c r="AU138" s="131" t="n">
        <f aca="false">SUM(AU136:AU137)</f>
        <v>0</v>
      </c>
      <c r="AV138" s="131" t="n">
        <f aca="false">SUM(AV136:AV137)</f>
        <v>0</v>
      </c>
      <c r="AW138" s="131" t="n">
        <f aca="false">SUM(AW136:AW137)</f>
        <v>0</v>
      </c>
      <c r="AX138" s="131" t="n">
        <f aca="false">SUM(AX136:AX137)</f>
        <v>0</v>
      </c>
      <c r="AY138" s="131" t="n">
        <f aca="false">SUM(AY136:AY137)</f>
        <v>0</v>
      </c>
      <c r="AZ138" s="131" t="n">
        <f aca="false">SUM(AZ136:AZ137)</f>
        <v>0</v>
      </c>
      <c r="BA138" s="131" t="n">
        <f aca="false">SUM(BA136:BA137)</f>
        <v>0</v>
      </c>
      <c r="BB138" s="131" t="n">
        <f aca="false">SUM(BB136:BB137)</f>
        <v>0</v>
      </c>
      <c r="BC138" s="131" t="n">
        <f aca="false">SUM(BC136:BC137)</f>
        <v>0</v>
      </c>
      <c r="BD138" s="131" t="n">
        <f aca="false">SUM(BD136:BD137)</f>
        <v>0</v>
      </c>
      <c r="BE138" s="131" t="n">
        <f aca="false">SUM(BE136:BE137)</f>
        <v>0</v>
      </c>
      <c r="BF138" s="131" t="n">
        <f aca="false">SUM(BF136:BF137)</f>
        <v>0</v>
      </c>
      <c r="BG138" s="131" t="n">
        <f aca="false">SUM(BG136:BG137)</f>
        <v>0</v>
      </c>
      <c r="BH138" s="131" t="n">
        <f aca="false">SUM(BH136:BH137)</f>
        <v>0</v>
      </c>
      <c r="BI138" s="131" t="n">
        <f aca="false">SUM(BI136:BI137)</f>
        <v>0</v>
      </c>
      <c r="BJ138" s="131" t="n">
        <f aca="false">SUM(BJ136:BJ137)</f>
        <v>0</v>
      </c>
      <c r="BK138" s="131" t="n">
        <f aca="false">SUM(BK136:BK137)</f>
        <v>0</v>
      </c>
      <c r="BL138" s="131" t="n">
        <f aca="false">SUM(BL136:BL137)</f>
        <v>0</v>
      </c>
      <c r="BM138" s="131" t="n">
        <f aca="false">SUM(BM136:BM137)</f>
        <v>0</v>
      </c>
      <c r="BN138" s="131" t="n">
        <f aca="false">SUM(BN136:BN137)</f>
        <v>0</v>
      </c>
      <c r="BO138" s="131" t="n">
        <f aca="false">SUM(BO136:BO137)</f>
        <v>0</v>
      </c>
      <c r="BP138" s="131" t="n">
        <f aca="false">SUM(BP136:BP137)</f>
        <v>0</v>
      </c>
      <c r="BQ138" s="131" t="n">
        <f aca="false">SUM(BQ136:BQ137)</f>
        <v>0</v>
      </c>
      <c r="BR138" s="131" t="n">
        <f aca="false">SUM(BR136:BR137)</f>
        <v>0</v>
      </c>
      <c r="BS138" s="131" t="n">
        <f aca="false">SUM(BS136:BS137)</f>
        <v>0</v>
      </c>
      <c r="BT138" s="131" t="n">
        <f aca="false">SUM(BT136:BT137)</f>
        <v>0</v>
      </c>
      <c r="BU138" s="131" t="n">
        <f aca="false">SUM(BU136:BU137)</f>
        <v>0</v>
      </c>
      <c r="BV138" s="131" t="n">
        <f aca="false">SUM(BV136:BV137)</f>
        <v>0</v>
      </c>
      <c r="BW138" s="131" t="n">
        <f aca="false">SUM(BW136:BW137)</f>
        <v>0</v>
      </c>
      <c r="BX138" s="131" t="n">
        <f aca="false">SUM(BX136:BX137)</f>
        <v>0</v>
      </c>
      <c r="BY138" s="131" t="n">
        <f aca="false">SUM(BY136:BY137)</f>
        <v>0</v>
      </c>
      <c r="BZ138" s="136" t="n">
        <f aca="false">SUM(BZ136:BZ137)</f>
        <v>0</v>
      </c>
      <c r="CA138" s="136" t="n">
        <f aca="false">SUM(CA136:CA137)</f>
        <v>0</v>
      </c>
      <c r="CC138" s="136" t="n">
        <f aca="false">SUM(CC136:CC137)</f>
        <v>0</v>
      </c>
      <c r="CD138" s="136" t="n">
        <f aca="false">SUM(CD136:CD137)</f>
        <v>0.526533333333333</v>
      </c>
      <c r="CE138" s="136" t="n">
        <f aca="false">SUM(CE136:CE137)</f>
        <v>0</v>
      </c>
      <c r="CF138" s="136" t="n">
        <f aca="false">SUM(CF136:CF137)</f>
        <v>0</v>
      </c>
      <c r="CG138" s="136" t="n">
        <f aca="false">SUM(CG136:CG137)</f>
        <v>0</v>
      </c>
      <c r="CI138" s="136" t="n">
        <f aca="false">CC138=L138</f>
        <v>1</v>
      </c>
      <c r="CJ138" s="136" t="n">
        <f aca="false">CD138=M138</f>
        <v>1</v>
      </c>
      <c r="CK138" s="136" t="n">
        <f aca="false">CE138=N138</f>
        <v>1</v>
      </c>
      <c r="CL138" s="136" t="n">
        <f aca="false">CF138=O138</f>
        <v>1</v>
      </c>
      <c r="CM138" s="136" t="n">
        <f aca="false">CG138=P138</f>
        <v>1</v>
      </c>
    </row>
    <row r="139" s="14" customFormat="true" ht="16.5" hidden="false" customHeight="true" outlineLevel="0" collapsed="false">
      <c r="L139" s="88"/>
      <c r="M139" s="88"/>
      <c r="N139" s="88"/>
      <c r="O139" s="88"/>
      <c r="P139" s="88"/>
      <c r="Q139" s="16"/>
      <c r="R139" s="16"/>
      <c r="T139" s="137"/>
      <c r="U139" s="137"/>
      <c r="V139" s="137"/>
      <c r="W139" s="137"/>
      <c r="X139" s="137"/>
      <c r="Y139" s="137"/>
      <c r="Z139" s="137"/>
      <c r="AA139" s="137"/>
      <c r="AB139" s="137"/>
      <c r="AC139" s="137"/>
      <c r="AD139" s="137"/>
      <c r="AE139" s="137"/>
      <c r="AF139" s="137"/>
      <c r="AG139" s="137"/>
      <c r="AH139" s="137"/>
      <c r="AI139" s="137"/>
      <c r="AJ139" s="137"/>
      <c r="AK139" s="137"/>
      <c r="AL139" s="137"/>
      <c r="AM139" s="137"/>
      <c r="AN139" s="137"/>
      <c r="AO139" s="137"/>
      <c r="AP139" s="137"/>
      <c r="AQ139" s="137"/>
      <c r="AR139" s="137"/>
      <c r="AS139" s="137"/>
      <c r="AT139" s="137"/>
      <c r="AU139" s="137"/>
      <c r="AV139" s="137"/>
      <c r="AW139" s="137"/>
      <c r="AX139" s="137"/>
      <c r="AY139" s="137"/>
      <c r="AZ139" s="137"/>
      <c r="BA139" s="137"/>
      <c r="BB139" s="137"/>
      <c r="BC139" s="137"/>
      <c r="BD139" s="137"/>
      <c r="BE139" s="137"/>
      <c r="BF139" s="137"/>
      <c r="BG139" s="137"/>
      <c r="BH139" s="137"/>
      <c r="BI139" s="137"/>
      <c r="BJ139" s="137"/>
      <c r="BK139" s="137"/>
      <c r="BL139" s="137"/>
      <c r="BM139" s="137"/>
      <c r="BN139" s="137"/>
      <c r="BO139" s="137"/>
      <c r="BP139" s="137"/>
      <c r="BQ139" s="137"/>
      <c r="BR139" s="137"/>
      <c r="BS139" s="137"/>
      <c r="BT139" s="137"/>
      <c r="BU139" s="137"/>
      <c r="BV139" s="137"/>
      <c r="BW139" s="137"/>
      <c r="BX139" s="137"/>
      <c r="BY139" s="137"/>
      <c r="BZ139" s="121"/>
      <c r="CA139" s="121"/>
    </row>
    <row r="140" s="14" customFormat="true" ht="16.5" hidden="false" customHeight="true" outlineLevel="0" collapsed="false">
      <c r="E140" s="21" t="s">
        <v>151</v>
      </c>
      <c r="L140" s="88"/>
      <c r="M140" s="88"/>
      <c r="N140" s="88"/>
      <c r="O140" s="88"/>
      <c r="P140" s="88"/>
      <c r="Q140" s="16"/>
      <c r="R140" s="16"/>
      <c r="T140" s="137"/>
      <c r="U140" s="137"/>
      <c r="V140" s="137"/>
      <c r="W140" s="137"/>
      <c r="X140" s="137"/>
      <c r="Y140" s="137"/>
      <c r="Z140" s="137"/>
      <c r="AA140" s="137"/>
      <c r="AB140" s="137"/>
      <c r="AC140" s="137"/>
      <c r="AD140" s="137"/>
      <c r="AE140" s="137"/>
      <c r="AF140" s="137"/>
      <c r="AG140" s="137"/>
      <c r="AH140" s="137"/>
      <c r="AI140" s="137"/>
      <c r="AJ140" s="137"/>
      <c r="AK140" s="137"/>
      <c r="AL140" s="137"/>
      <c r="AM140" s="137"/>
      <c r="AN140" s="137"/>
      <c r="AO140" s="137"/>
      <c r="AP140" s="137"/>
      <c r="AQ140" s="137"/>
      <c r="AR140" s="137"/>
      <c r="AS140" s="137"/>
      <c r="AT140" s="137"/>
      <c r="AU140" s="137"/>
      <c r="AV140" s="137"/>
      <c r="AW140" s="137"/>
      <c r="AX140" s="137"/>
      <c r="AY140" s="137"/>
      <c r="AZ140" s="137"/>
      <c r="BA140" s="137"/>
      <c r="BB140" s="137"/>
      <c r="BC140" s="137"/>
      <c r="BD140" s="137"/>
      <c r="BE140" s="137"/>
      <c r="BF140" s="137"/>
      <c r="BG140" s="137"/>
      <c r="BH140" s="137"/>
      <c r="BI140" s="137"/>
      <c r="BJ140" s="137"/>
      <c r="BK140" s="137"/>
      <c r="BL140" s="137"/>
      <c r="BM140" s="137"/>
      <c r="BN140" s="137"/>
      <c r="BO140" s="137"/>
      <c r="BP140" s="137"/>
      <c r="BQ140" s="137"/>
      <c r="BR140" s="137"/>
      <c r="BS140" s="137"/>
      <c r="BT140" s="137"/>
      <c r="BU140" s="137"/>
      <c r="BV140" s="137"/>
      <c r="BW140" s="137"/>
      <c r="BX140" s="137"/>
      <c r="BY140" s="137"/>
      <c r="BZ140" s="121"/>
      <c r="CA140" s="121"/>
    </row>
    <row r="141" s="14" customFormat="true" ht="16.5" hidden="false" customHeight="true" outlineLevel="0" collapsed="false">
      <c r="E141" s="91" t="s">
        <v>351</v>
      </c>
      <c r="K141" s="29"/>
      <c r="L141" s="208" t="n">
        <f aca="false">'SDLC-2 Model'!L88</f>
        <v>0.131633333333333</v>
      </c>
      <c r="M141" s="208" t="n">
        <f aca="false">'SDLC-2 Model'!M88</f>
        <v>0.625258333333333</v>
      </c>
      <c r="N141" s="208" t="n">
        <f aca="false">'SDLC-2 Model'!N88</f>
        <v>0</v>
      </c>
      <c r="O141" s="208" t="n">
        <f aca="false">'SDLC-2 Model'!O88</f>
        <v>0</v>
      </c>
      <c r="P141" s="208" t="n">
        <f aca="false">'SDLC-2 Model'!P88</f>
        <v>0</v>
      </c>
      <c r="Q141" s="93" t="s">
        <v>251</v>
      </c>
      <c r="R141" s="16"/>
      <c r="T141" s="220" t="n">
        <f aca="false">'SDLC-2 Model'!T88</f>
        <v>0</v>
      </c>
      <c r="U141" s="220" t="n">
        <f aca="false">'SDLC-2 Model'!U88</f>
        <v>0</v>
      </c>
      <c r="V141" s="220" t="n">
        <f aca="false">'SDLC-2 Model'!V88</f>
        <v>0</v>
      </c>
      <c r="W141" s="220" t="n">
        <f aca="false">'SDLC-2 Model'!W88</f>
        <v>0</v>
      </c>
      <c r="X141" s="220" t="n">
        <f aca="false">'SDLC-2 Model'!X88</f>
        <v>0</v>
      </c>
      <c r="Y141" s="220" t="n">
        <f aca="false">'SDLC-2 Model'!Y88</f>
        <v>0</v>
      </c>
      <c r="Z141" s="220" t="n">
        <f aca="false">'SDLC-2 Model'!Z88</f>
        <v>0</v>
      </c>
      <c r="AA141" s="220" t="n">
        <f aca="false">'SDLC-2 Model'!AA88</f>
        <v>0</v>
      </c>
      <c r="AB141" s="220" t="n">
        <f aca="false">'SDLC-2 Model'!AB88</f>
        <v>0</v>
      </c>
      <c r="AC141" s="220" t="n">
        <f aca="false">'SDLC-2 Model'!AC88</f>
        <v>0</v>
      </c>
      <c r="AD141" s="220" t="n">
        <f aca="false">'SDLC-2 Model'!AD88</f>
        <v>0.0658166666666667</v>
      </c>
      <c r="AE141" s="220" t="n">
        <f aca="false">'SDLC-2 Model'!AE88</f>
        <v>0.0658166666666667</v>
      </c>
      <c r="AF141" s="220" t="n">
        <f aca="false">'SDLC-2 Model'!AF88</f>
        <v>0.0263266666666667</v>
      </c>
      <c r="AG141" s="220" t="n">
        <f aca="false">'SDLC-2 Model'!AG88</f>
        <v>0.0263266666666667</v>
      </c>
      <c r="AH141" s="220" t="n">
        <f aca="false">'SDLC-2 Model'!AH88</f>
        <v>0.0263266666666667</v>
      </c>
      <c r="AI141" s="220" t="n">
        <f aca="false">'SDLC-2 Model'!AI88</f>
        <v>0.0263266666666667</v>
      </c>
      <c r="AJ141" s="220" t="n">
        <f aca="false">'SDLC-2 Model'!AJ88</f>
        <v>0.0263266666666667</v>
      </c>
      <c r="AK141" s="220" t="n">
        <f aca="false">'SDLC-2 Model'!AK88</f>
        <v>0.0822708333333333</v>
      </c>
      <c r="AL141" s="220" t="n">
        <f aca="false">'SDLC-2 Model'!AL88</f>
        <v>0.0822708333333333</v>
      </c>
      <c r="AM141" s="220" t="n">
        <f aca="false">'SDLC-2 Model'!AM88</f>
        <v>0.0822708333333333</v>
      </c>
      <c r="AN141" s="220" t="n">
        <f aca="false">'SDLC-2 Model'!AN88</f>
        <v>0.0822708333333333</v>
      </c>
      <c r="AO141" s="220" t="n">
        <f aca="false">'SDLC-2 Model'!AO88</f>
        <v>0.0822708333333333</v>
      </c>
      <c r="AP141" s="220" t="n">
        <f aca="false">'SDLC-2 Model'!AP88</f>
        <v>0.0822708333333333</v>
      </c>
      <c r="AQ141" s="220" t="n">
        <f aca="false">'SDLC-2 Model'!AQ88</f>
        <v>0</v>
      </c>
      <c r="AR141" s="220" t="n">
        <f aca="false">'SDLC-2 Model'!AR88</f>
        <v>0</v>
      </c>
      <c r="AS141" s="220" t="n">
        <f aca="false">'SDLC-2 Model'!AS88</f>
        <v>0</v>
      </c>
      <c r="AT141" s="220" t="n">
        <f aca="false">'SDLC-2 Model'!AT88</f>
        <v>0</v>
      </c>
      <c r="AU141" s="220" t="n">
        <f aca="false">'SDLC-2 Model'!AU88</f>
        <v>0</v>
      </c>
      <c r="AV141" s="220" t="n">
        <f aca="false">'SDLC-2 Model'!AV88</f>
        <v>0</v>
      </c>
      <c r="AW141" s="220" t="n">
        <f aca="false">'SDLC-2 Model'!AW88</f>
        <v>0</v>
      </c>
      <c r="AX141" s="220" t="n">
        <f aca="false">'SDLC-2 Model'!AX88</f>
        <v>0</v>
      </c>
      <c r="AY141" s="220" t="n">
        <f aca="false">'SDLC-2 Model'!AY88</f>
        <v>0</v>
      </c>
      <c r="AZ141" s="220" t="n">
        <f aca="false">'SDLC-2 Model'!AZ88</f>
        <v>0</v>
      </c>
      <c r="BA141" s="220" t="n">
        <f aca="false">'SDLC-2 Model'!BA88</f>
        <v>0</v>
      </c>
      <c r="BB141" s="220" t="n">
        <f aca="false">'SDLC-2 Model'!BB88</f>
        <v>0</v>
      </c>
      <c r="BC141" s="220" t="n">
        <f aca="false">'SDLC-2 Model'!BC88</f>
        <v>0</v>
      </c>
      <c r="BD141" s="220" t="n">
        <f aca="false">'SDLC-2 Model'!BD88</f>
        <v>0</v>
      </c>
      <c r="BE141" s="220" t="n">
        <f aca="false">'SDLC-2 Model'!BE88</f>
        <v>0</v>
      </c>
      <c r="BF141" s="220" t="n">
        <f aca="false">'SDLC-2 Model'!BF88</f>
        <v>0</v>
      </c>
      <c r="BG141" s="220" t="n">
        <f aca="false">'SDLC-2 Model'!BG88</f>
        <v>0</v>
      </c>
      <c r="BH141" s="220" t="n">
        <f aca="false">'SDLC-2 Model'!BH88</f>
        <v>0</v>
      </c>
      <c r="BI141" s="220" t="n">
        <f aca="false">'SDLC-2 Model'!BI88</f>
        <v>0</v>
      </c>
      <c r="BJ141" s="220" t="n">
        <f aca="false">'SDLC-2 Model'!BJ88</f>
        <v>0</v>
      </c>
      <c r="BK141" s="220" t="n">
        <f aca="false">'SDLC-2 Model'!BK88</f>
        <v>0</v>
      </c>
      <c r="BL141" s="220" t="n">
        <f aca="false">'SDLC-2 Model'!BL88</f>
        <v>0</v>
      </c>
      <c r="BM141" s="220" t="n">
        <f aca="false">'SDLC-2 Model'!BM88</f>
        <v>0</v>
      </c>
      <c r="BN141" s="220" t="n">
        <f aca="false">'SDLC-2 Model'!BN88</f>
        <v>0</v>
      </c>
      <c r="BO141" s="220" t="n">
        <f aca="false">'SDLC-2 Model'!BO88</f>
        <v>0</v>
      </c>
      <c r="BP141" s="220" t="n">
        <f aca="false">'SDLC-2 Model'!BP88</f>
        <v>0</v>
      </c>
      <c r="BQ141" s="220" t="n">
        <f aca="false">'SDLC-2 Model'!BQ88</f>
        <v>0</v>
      </c>
      <c r="BR141" s="220" t="n">
        <f aca="false">'SDLC-2 Model'!BR88</f>
        <v>0</v>
      </c>
      <c r="BS141" s="220" t="n">
        <f aca="false">'SDLC-2 Model'!BS88</f>
        <v>0</v>
      </c>
      <c r="BT141" s="220" t="n">
        <f aca="false">'SDLC-2 Model'!BT88</f>
        <v>0</v>
      </c>
      <c r="BU141" s="220" t="n">
        <f aca="false">'SDLC-2 Model'!BU88</f>
        <v>0</v>
      </c>
      <c r="BV141" s="220" t="n">
        <f aca="false">'SDLC-2 Model'!BV88</f>
        <v>0</v>
      </c>
      <c r="BW141" s="220" t="n">
        <f aca="false">'SDLC-2 Model'!BW88</f>
        <v>0</v>
      </c>
      <c r="BX141" s="220" t="n">
        <f aca="false">'SDLC-2 Model'!BX88</f>
        <v>0</v>
      </c>
      <c r="BY141" s="220" t="n">
        <f aca="false">'SDLC-2 Model'!BY88</f>
        <v>0</v>
      </c>
      <c r="BZ141" s="222" t="n">
        <f aca="false">'SDLC-2 Model'!BZ88</f>
        <v>0</v>
      </c>
      <c r="CA141" s="222" t="n">
        <f aca="false">'SDLC-2 Model'!CA88</f>
        <v>0</v>
      </c>
      <c r="CC141" s="79" t="n">
        <f aca="false">SUMIFS($T141:$CA141, $T$1:$CA$1, CC$63)</f>
        <v>0.131633333333333</v>
      </c>
      <c r="CD141" s="79" t="n">
        <f aca="false">SUMIFS($T141:$CA141, $T$1:$CA$1, CD$63)</f>
        <v>0.625258333333333</v>
      </c>
      <c r="CE141" s="79" t="n">
        <f aca="false">SUMIFS($T141:$CA141, $T$1:$CA$1, CE$63)</f>
        <v>0</v>
      </c>
      <c r="CF141" s="79" t="n">
        <f aca="false">SUMIFS($T141:$CA141, $T$1:$CA$1, CF$63)</f>
        <v>0</v>
      </c>
      <c r="CG141" s="79" t="n">
        <f aca="false">SUMIFS($T141:$CA141, $T$1:$CA$1, CG$63)</f>
        <v>0</v>
      </c>
      <c r="CI141" s="79" t="n">
        <f aca="false">CC141=L141</f>
        <v>1</v>
      </c>
      <c r="CJ141" s="79" t="n">
        <f aca="false">CD141=M141</f>
        <v>1</v>
      </c>
      <c r="CK141" s="79" t="n">
        <f aca="false">CE141=N141</f>
        <v>1</v>
      </c>
      <c r="CL141" s="79" t="n">
        <f aca="false">CF141=O141</f>
        <v>1</v>
      </c>
      <c r="CM141" s="79" t="n">
        <f aca="false">CG141=P141</f>
        <v>1</v>
      </c>
    </row>
    <row r="142" s="14" customFormat="true" ht="16.5" hidden="false" customHeight="true" outlineLevel="0" collapsed="false">
      <c r="E142" s="91" t="s">
        <v>352</v>
      </c>
      <c r="L142" s="208" t="n">
        <f aca="false">'SDLC-2 Model'!L89</f>
        <v>0.0536186444444444</v>
      </c>
      <c r="M142" s="208" t="n">
        <f aca="false">'SDLC-2 Model'!M89</f>
        <v>0.187665255555556</v>
      </c>
      <c r="N142" s="208" t="n">
        <f aca="false">'SDLC-2 Model'!N89</f>
        <v>0</v>
      </c>
      <c r="O142" s="208" t="n">
        <f aca="false">'SDLC-2 Model'!O89</f>
        <v>0</v>
      </c>
      <c r="P142" s="208" t="n">
        <f aca="false">'SDLC-2 Model'!P89</f>
        <v>0</v>
      </c>
      <c r="Q142" s="93" t="s">
        <v>251</v>
      </c>
      <c r="R142" s="16"/>
      <c r="T142" s="220" t="n">
        <f aca="false">'SDLC-2 Model'!T89</f>
        <v>0</v>
      </c>
      <c r="U142" s="220" t="n">
        <f aca="false">'SDLC-2 Model'!U89</f>
        <v>0</v>
      </c>
      <c r="V142" s="220" t="n">
        <f aca="false">'SDLC-2 Model'!V89</f>
        <v>0</v>
      </c>
      <c r="W142" s="220" t="n">
        <f aca="false">'SDLC-2 Model'!W89</f>
        <v>0</v>
      </c>
      <c r="X142" s="220" t="n">
        <f aca="false">'SDLC-2 Model'!X89</f>
        <v>0</v>
      </c>
      <c r="Y142" s="220" t="n">
        <f aca="false">'SDLC-2 Model'!Y89</f>
        <v>0</v>
      </c>
      <c r="Z142" s="220" t="n">
        <f aca="false">'SDLC-2 Model'!Z89</f>
        <v>0</v>
      </c>
      <c r="AA142" s="220" t="n">
        <f aca="false">'SDLC-2 Model'!AA89</f>
        <v>0</v>
      </c>
      <c r="AB142" s="220" t="n">
        <f aca="false">'SDLC-2 Model'!AB89</f>
        <v>0</v>
      </c>
      <c r="AC142" s="220" t="n">
        <f aca="false">'SDLC-2 Model'!AC89</f>
        <v>0</v>
      </c>
      <c r="AD142" s="220" t="n">
        <f aca="false">'SDLC-2 Model'!AD89</f>
        <v>0.0268093222222222</v>
      </c>
      <c r="AE142" s="220" t="n">
        <f aca="false">'SDLC-2 Model'!AE89</f>
        <v>0.0268093222222222</v>
      </c>
      <c r="AF142" s="220" t="n">
        <f aca="false">'SDLC-2 Model'!AF89</f>
        <v>0.0268093222222222</v>
      </c>
      <c r="AG142" s="220" t="n">
        <f aca="false">'SDLC-2 Model'!AG89</f>
        <v>0.0268093222222222</v>
      </c>
      <c r="AH142" s="220" t="n">
        <f aca="false">'SDLC-2 Model'!AH89</f>
        <v>0.0268093222222222</v>
      </c>
      <c r="AI142" s="220" t="n">
        <f aca="false">'SDLC-2 Model'!AI89</f>
        <v>0.0268093222222222</v>
      </c>
      <c r="AJ142" s="220" t="n">
        <f aca="false">'SDLC-2 Model'!AJ89</f>
        <v>0.0268093222222222</v>
      </c>
      <c r="AK142" s="220" t="n">
        <f aca="false">'SDLC-2 Model'!AK89</f>
        <v>0.0268093222222222</v>
      </c>
      <c r="AL142" s="220" t="n">
        <f aca="false">'SDLC-2 Model'!AL89</f>
        <v>0.0268093222222222</v>
      </c>
      <c r="AM142" s="220" t="n">
        <f aca="false">'SDLC-2 Model'!AM89</f>
        <v>0</v>
      </c>
      <c r="AN142" s="220" t="n">
        <f aca="false">'SDLC-2 Model'!AN89</f>
        <v>0</v>
      </c>
      <c r="AO142" s="220" t="n">
        <f aca="false">'SDLC-2 Model'!AO89</f>
        <v>0</v>
      </c>
      <c r="AP142" s="220" t="n">
        <f aca="false">'SDLC-2 Model'!AP89</f>
        <v>0</v>
      </c>
      <c r="AQ142" s="220" t="n">
        <f aca="false">'SDLC-2 Model'!AQ89</f>
        <v>0</v>
      </c>
      <c r="AR142" s="220" t="n">
        <f aca="false">'SDLC-2 Model'!AR89</f>
        <v>0</v>
      </c>
      <c r="AS142" s="220" t="n">
        <f aca="false">'SDLC-2 Model'!AS89</f>
        <v>0</v>
      </c>
      <c r="AT142" s="220" t="n">
        <f aca="false">'SDLC-2 Model'!AT89</f>
        <v>0</v>
      </c>
      <c r="AU142" s="220" t="n">
        <f aca="false">'SDLC-2 Model'!AU89</f>
        <v>0</v>
      </c>
      <c r="AV142" s="220" t="n">
        <f aca="false">'SDLC-2 Model'!AV89</f>
        <v>0</v>
      </c>
      <c r="AW142" s="220" t="n">
        <f aca="false">'SDLC-2 Model'!AW89</f>
        <v>0</v>
      </c>
      <c r="AX142" s="220" t="n">
        <f aca="false">'SDLC-2 Model'!AX89</f>
        <v>0</v>
      </c>
      <c r="AY142" s="220" t="n">
        <f aca="false">'SDLC-2 Model'!AY89</f>
        <v>0</v>
      </c>
      <c r="AZ142" s="220" t="n">
        <f aca="false">'SDLC-2 Model'!AZ89</f>
        <v>0</v>
      </c>
      <c r="BA142" s="220" t="n">
        <f aca="false">'SDLC-2 Model'!BA89</f>
        <v>0</v>
      </c>
      <c r="BB142" s="220" t="n">
        <f aca="false">'SDLC-2 Model'!BB89</f>
        <v>0</v>
      </c>
      <c r="BC142" s="220" t="n">
        <f aca="false">'SDLC-2 Model'!BC89</f>
        <v>0</v>
      </c>
      <c r="BD142" s="220" t="n">
        <f aca="false">'SDLC-2 Model'!BD89</f>
        <v>0</v>
      </c>
      <c r="BE142" s="220" t="n">
        <f aca="false">'SDLC-2 Model'!BE89</f>
        <v>0</v>
      </c>
      <c r="BF142" s="220" t="n">
        <f aca="false">'SDLC-2 Model'!BF89</f>
        <v>0</v>
      </c>
      <c r="BG142" s="220" t="n">
        <f aca="false">'SDLC-2 Model'!BG89</f>
        <v>0</v>
      </c>
      <c r="BH142" s="220" t="n">
        <f aca="false">'SDLC-2 Model'!BH89</f>
        <v>0</v>
      </c>
      <c r="BI142" s="220" t="n">
        <f aca="false">'SDLC-2 Model'!BI89</f>
        <v>0</v>
      </c>
      <c r="BJ142" s="220" t="n">
        <f aca="false">'SDLC-2 Model'!BJ89</f>
        <v>0</v>
      </c>
      <c r="BK142" s="220" t="n">
        <f aca="false">'SDLC-2 Model'!BK89</f>
        <v>0</v>
      </c>
      <c r="BL142" s="220" t="n">
        <f aca="false">'SDLC-2 Model'!BL89</f>
        <v>0</v>
      </c>
      <c r="BM142" s="220" t="n">
        <f aca="false">'SDLC-2 Model'!BM89</f>
        <v>0</v>
      </c>
      <c r="BN142" s="220" t="n">
        <f aca="false">'SDLC-2 Model'!BN89</f>
        <v>0</v>
      </c>
      <c r="BO142" s="220" t="n">
        <f aca="false">'SDLC-2 Model'!BO89</f>
        <v>0</v>
      </c>
      <c r="BP142" s="220" t="n">
        <f aca="false">'SDLC-2 Model'!BP89</f>
        <v>0</v>
      </c>
      <c r="BQ142" s="220" t="n">
        <f aca="false">'SDLC-2 Model'!BQ89</f>
        <v>0</v>
      </c>
      <c r="BR142" s="220" t="n">
        <f aca="false">'SDLC-2 Model'!BR89</f>
        <v>0</v>
      </c>
      <c r="BS142" s="220" t="n">
        <f aca="false">'SDLC-2 Model'!BS89</f>
        <v>0</v>
      </c>
      <c r="BT142" s="220" t="n">
        <f aca="false">'SDLC-2 Model'!BT89</f>
        <v>0</v>
      </c>
      <c r="BU142" s="220" t="n">
        <f aca="false">'SDLC-2 Model'!BU89</f>
        <v>0</v>
      </c>
      <c r="BV142" s="220" t="n">
        <f aca="false">'SDLC-2 Model'!BV89</f>
        <v>0</v>
      </c>
      <c r="BW142" s="220" t="n">
        <f aca="false">'SDLC-2 Model'!BW89</f>
        <v>0</v>
      </c>
      <c r="BX142" s="220" t="n">
        <f aca="false">'SDLC-2 Model'!BX89</f>
        <v>0</v>
      </c>
      <c r="BY142" s="220" t="n">
        <f aca="false">'SDLC-2 Model'!BY89</f>
        <v>0</v>
      </c>
      <c r="BZ142" s="222" t="n">
        <f aca="false">'SDLC-2 Model'!BZ89</f>
        <v>0</v>
      </c>
      <c r="CA142" s="222" t="n">
        <f aca="false">'SDLC-2 Model'!CA89</f>
        <v>0</v>
      </c>
      <c r="CC142" s="79" t="n">
        <f aca="false">SUMIFS($T142:$CA142, $T$1:$CA$1, CC$63)</f>
        <v>0.0536186444444444</v>
      </c>
      <c r="CD142" s="79" t="n">
        <f aca="false">SUMIFS($T142:$CA142, $T$1:$CA$1, CD$63)</f>
        <v>0.187665255555556</v>
      </c>
      <c r="CE142" s="79" t="n">
        <f aca="false">SUMIFS($T142:$CA142, $T$1:$CA$1, CE$63)</f>
        <v>0</v>
      </c>
      <c r="CF142" s="79" t="n">
        <f aca="false">SUMIFS($T142:$CA142, $T$1:$CA$1, CF$63)</f>
        <v>0</v>
      </c>
      <c r="CG142" s="79" t="n">
        <f aca="false">SUMIFS($T142:$CA142, $T$1:$CA$1, CG$63)</f>
        <v>0</v>
      </c>
      <c r="CI142" s="79" t="n">
        <f aca="false">CC142=L142</f>
        <v>1</v>
      </c>
      <c r="CJ142" s="79" t="n">
        <f aca="false">CD142=M142</f>
        <v>1</v>
      </c>
      <c r="CK142" s="79" t="n">
        <f aca="false">CE142=N142</f>
        <v>1</v>
      </c>
      <c r="CL142" s="79" t="n">
        <f aca="false">CF142=O142</f>
        <v>1</v>
      </c>
      <c r="CM142" s="79" t="n">
        <f aca="false">CG142=P142</f>
        <v>1</v>
      </c>
    </row>
    <row r="143" s="14" customFormat="true" ht="16.5" hidden="false" customHeight="true" outlineLevel="0" collapsed="false">
      <c r="E143" s="91"/>
      <c r="L143" s="91"/>
      <c r="M143" s="91"/>
      <c r="N143" s="91"/>
      <c r="O143" s="91"/>
      <c r="P143" s="91"/>
      <c r="Q143" s="93"/>
      <c r="R143" s="16"/>
      <c r="T143" s="135"/>
      <c r="U143" s="135"/>
      <c r="V143" s="135"/>
      <c r="W143" s="135"/>
      <c r="X143" s="135"/>
      <c r="Y143" s="135"/>
      <c r="Z143" s="135"/>
      <c r="AA143" s="135"/>
      <c r="AB143" s="135"/>
      <c r="AC143" s="135"/>
      <c r="AD143" s="135"/>
      <c r="AE143" s="135"/>
      <c r="AF143" s="135"/>
      <c r="AG143" s="135"/>
      <c r="AH143" s="135"/>
      <c r="AI143" s="135"/>
      <c r="AJ143" s="135"/>
      <c r="AK143" s="135"/>
      <c r="AL143" s="135"/>
      <c r="AM143" s="135"/>
      <c r="AN143" s="135"/>
      <c r="AO143" s="135"/>
      <c r="AP143" s="135"/>
      <c r="AQ143" s="135"/>
      <c r="AR143" s="135"/>
      <c r="AS143" s="135"/>
      <c r="AT143" s="135"/>
      <c r="AU143" s="135"/>
      <c r="AV143" s="135"/>
      <c r="AW143" s="135"/>
      <c r="AX143" s="135"/>
      <c r="AY143" s="135"/>
      <c r="AZ143" s="135"/>
      <c r="BA143" s="135"/>
      <c r="BB143" s="135"/>
      <c r="BC143" s="135"/>
      <c r="BD143" s="135"/>
      <c r="BE143" s="135"/>
      <c r="BF143" s="135"/>
      <c r="BG143" s="135"/>
      <c r="BH143" s="135"/>
      <c r="BI143" s="135"/>
      <c r="BJ143" s="135"/>
      <c r="BK143" s="135"/>
      <c r="BL143" s="135"/>
      <c r="BM143" s="135"/>
      <c r="BN143" s="135"/>
      <c r="BO143" s="135"/>
      <c r="BP143" s="135"/>
      <c r="BQ143" s="135"/>
      <c r="BR143" s="135"/>
      <c r="BS143" s="135"/>
      <c r="BT143" s="135"/>
      <c r="BU143" s="135"/>
      <c r="BV143" s="135"/>
      <c r="BW143" s="135"/>
      <c r="BX143" s="135"/>
      <c r="BY143" s="135"/>
      <c r="BZ143" s="138"/>
      <c r="CA143" s="138"/>
      <c r="CC143" s="79" t="n">
        <f aca="false">SUMIFS($T143:$CA143, $T$1:$CA$1, CC$63)</f>
        <v>0</v>
      </c>
      <c r="CD143" s="79" t="n">
        <f aca="false">SUMIFS($T143:$CA143, $T$1:$CA$1, CD$63)</f>
        <v>0</v>
      </c>
      <c r="CE143" s="79" t="n">
        <f aca="false">SUMIFS($T143:$CA143, $T$1:$CA$1, CE$63)</f>
        <v>0</v>
      </c>
      <c r="CF143" s="79" t="n">
        <f aca="false">SUMIFS($T143:$CA143, $T$1:$CA$1, CF$63)</f>
        <v>0</v>
      </c>
      <c r="CG143" s="79" t="n">
        <f aca="false">SUMIFS($T143:$CA143, $T$1:$CA$1, CG$63)</f>
        <v>0</v>
      </c>
      <c r="CI143" s="79" t="n">
        <f aca="false">CC143=L143</f>
        <v>1</v>
      </c>
      <c r="CJ143" s="79" t="n">
        <f aca="false">CD143=M143</f>
        <v>1</v>
      </c>
      <c r="CK143" s="79" t="n">
        <f aca="false">CE143=N143</f>
        <v>1</v>
      </c>
      <c r="CL143" s="79" t="n">
        <f aca="false">CF143=O143</f>
        <v>1</v>
      </c>
      <c r="CM143" s="79" t="n">
        <f aca="false">CG143=P143</f>
        <v>1</v>
      </c>
    </row>
    <row r="144" s="14" customFormat="true" ht="16.5" hidden="false" customHeight="true" outlineLevel="0" collapsed="false">
      <c r="E144" s="96" t="s">
        <v>152</v>
      </c>
      <c r="L144" s="82" t="n">
        <f aca="false">SUM(L141:L143)</f>
        <v>0.185251977777778</v>
      </c>
      <c r="M144" s="82" t="n">
        <f aca="false">SUM(M141:M143)</f>
        <v>0.812923588888889</v>
      </c>
      <c r="N144" s="82" t="n">
        <f aca="false">SUM(N141:N143)</f>
        <v>0</v>
      </c>
      <c r="O144" s="82" t="n">
        <f aca="false">SUM(O141:O143)</f>
        <v>0</v>
      </c>
      <c r="P144" s="82" t="n">
        <f aca="false">SUM(P141:P143)</f>
        <v>0</v>
      </c>
      <c r="Q144" s="16"/>
      <c r="R144" s="16"/>
      <c r="T144" s="131" t="n">
        <f aca="false">SUM(T141:T143)</f>
        <v>0</v>
      </c>
      <c r="U144" s="131" t="n">
        <f aca="false">SUM(U141:U143)</f>
        <v>0</v>
      </c>
      <c r="V144" s="131" t="n">
        <f aca="false">SUM(V141:V143)</f>
        <v>0</v>
      </c>
      <c r="W144" s="131" t="n">
        <f aca="false">SUM(W141:W143)</f>
        <v>0</v>
      </c>
      <c r="X144" s="131" t="n">
        <f aca="false">SUM(X141:X143)</f>
        <v>0</v>
      </c>
      <c r="Y144" s="131" t="n">
        <f aca="false">SUM(Y141:Y143)</f>
        <v>0</v>
      </c>
      <c r="Z144" s="131" t="n">
        <f aca="false">SUM(Z141:Z143)</f>
        <v>0</v>
      </c>
      <c r="AA144" s="131" t="n">
        <f aca="false">SUM(AA141:AA143)</f>
        <v>0</v>
      </c>
      <c r="AB144" s="131" t="n">
        <f aca="false">SUM(AB141:AB143)</f>
        <v>0</v>
      </c>
      <c r="AC144" s="131" t="n">
        <f aca="false">SUM(AC141:AC143)</f>
        <v>0</v>
      </c>
      <c r="AD144" s="131" t="n">
        <f aca="false">SUM(AD141:AD143)</f>
        <v>0.0926259888888889</v>
      </c>
      <c r="AE144" s="131" t="n">
        <f aca="false">SUM(AE141:AE143)</f>
        <v>0.0926259888888889</v>
      </c>
      <c r="AF144" s="131" t="n">
        <f aca="false">SUM(AF141:AF143)</f>
        <v>0.0531359888888889</v>
      </c>
      <c r="AG144" s="131" t="n">
        <f aca="false">SUM(AG141:AG143)</f>
        <v>0.0531359888888889</v>
      </c>
      <c r="AH144" s="131" t="n">
        <f aca="false">SUM(AH141:AH143)</f>
        <v>0.0531359888888889</v>
      </c>
      <c r="AI144" s="131" t="n">
        <f aca="false">SUM(AI141:AI143)</f>
        <v>0.0531359888888889</v>
      </c>
      <c r="AJ144" s="131" t="n">
        <f aca="false">SUM(AJ141:AJ143)</f>
        <v>0.0531359888888889</v>
      </c>
      <c r="AK144" s="131" t="n">
        <f aca="false">SUM(AK141:AK143)</f>
        <v>0.109080155555556</v>
      </c>
      <c r="AL144" s="131" t="n">
        <f aca="false">SUM(AL141:AL143)</f>
        <v>0.109080155555556</v>
      </c>
      <c r="AM144" s="131" t="n">
        <f aca="false">SUM(AM141:AM143)</f>
        <v>0.0822708333333333</v>
      </c>
      <c r="AN144" s="131" t="n">
        <f aca="false">SUM(AN141:AN143)</f>
        <v>0.0822708333333333</v>
      </c>
      <c r="AO144" s="131" t="n">
        <f aca="false">SUM(AO141:AO143)</f>
        <v>0.0822708333333333</v>
      </c>
      <c r="AP144" s="131" t="n">
        <f aca="false">SUM(AP141:AP143)</f>
        <v>0.0822708333333333</v>
      </c>
      <c r="AQ144" s="131" t="n">
        <f aca="false">SUM(AQ141:AQ143)</f>
        <v>0</v>
      </c>
      <c r="AR144" s="131" t="n">
        <f aca="false">SUM(AR141:AR143)</f>
        <v>0</v>
      </c>
      <c r="AS144" s="131" t="n">
        <f aca="false">SUM(AS141:AS143)</f>
        <v>0</v>
      </c>
      <c r="AT144" s="131" t="n">
        <f aca="false">SUM(AT141:AT143)</f>
        <v>0</v>
      </c>
      <c r="AU144" s="131" t="n">
        <f aca="false">SUM(AU141:AU143)</f>
        <v>0</v>
      </c>
      <c r="AV144" s="131" t="n">
        <f aca="false">SUM(AV141:AV143)</f>
        <v>0</v>
      </c>
      <c r="AW144" s="131" t="n">
        <f aca="false">SUM(AW141:AW143)</f>
        <v>0</v>
      </c>
      <c r="AX144" s="131" t="n">
        <f aca="false">SUM(AX141:AX143)</f>
        <v>0</v>
      </c>
      <c r="AY144" s="131" t="n">
        <f aca="false">SUM(AY141:AY143)</f>
        <v>0</v>
      </c>
      <c r="AZ144" s="131" t="n">
        <f aca="false">SUM(AZ141:AZ143)</f>
        <v>0</v>
      </c>
      <c r="BA144" s="131" t="n">
        <f aca="false">SUM(BA141:BA143)</f>
        <v>0</v>
      </c>
      <c r="BB144" s="131" t="n">
        <f aca="false">SUM(BB141:BB143)</f>
        <v>0</v>
      </c>
      <c r="BC144" s="131" t="n">
        <f aca="false">SUM(BC141:BC143)</f>
        <v>0</v>
      </c>
      <c r="BD144" s="131" t="n">
        <f aca="false">SUM(BD141:BD143)</f>
        <v>0</v>
      </c>
      <c r="BE144" s="131" t="n">
        <f aca="false">SUM(BE141:BE143)</f>
        <v>0</v>
      </c>
      <c r="BF144" s="131" t="n">
        <f aca="false">SUM(BF141:BF143)</f>
        <v>0</v>
      </c>
      <c r="BG144" s="131" t="n">
        <f aca="false">SUM(BG141:BG143)</f>
        <v>0</v>
      </c>
      <c r="BH144" s="131" t="n">
        <f aca="false">SUM(BH141:BH143)</f>
        <v>0</v>
      </c>
      <c r="BI144" s="131" t="n">
        <f aca="false">SUM(BI141:BI143)</f>
        <v>0</v>
      </c>
      <c r="BJ144" s="131" t="n">
        <f aca="false">SUM(BJ141:BJ143)</f>
        <v>0</v>
      </c>
      <c r="BK144" s="131" t="n">
        <f aca="false">SUM(BK141:BK143)</f>
        <v>0</v>
      </c>
      <c r="BL144" s="131" t="n">
        <f aca="false">SUM(BL141:BL143)</f>
        <v>0</v>
      </c>
      <c r="BM144" s="131" t="n">
        <f aca="false">SUM(BM141:BM143)</f>
        <v>0</v>
      </c>
      <c r="BN144" s="131" t="n">
        <f aca="false">SUM(BN141:BN143)</f>
        <v>0</v>
      </c>
      <c r="BO144" s="131" t="n">
        <f aca="false">SUM(BO141:BO143)</f>
        <v>0</v>
      </c>
      <c r="BP144" s="131" t="n">
        <f aca="false">SUM(BP141:BP143)</f>
        <v>0</v>
      </c>
      <c r="BQ144" s="131" t="n">
        <f aca="false">SUM(BQ141:BQ143)</f>
        <v>0</v>
      </c>
      <c r="BR144" s="131" t="n">
        <f aca="false">SUM(BR141:BR143)</f>
        <v>0</v>
      </c>
      <c r="BS144" s="131" t="n">
        <f aca="false">SUM(BS141:BS143)</f>
        <v>0</v>
      </c>
      <c r="BT144" s="131" t="n">
        <f aca="false">SUM(BT141:BT143)</f>
        <v>0</v>
      </c>
      <c r="BU144" s="131" t="n">
        <f aca="false">SUM(BU141:BU143)</f>
        <v>0</v>
      </c>
      <c r="BV144" s="131" t="n">
        <f aca="false">SUM(BV141:BV143)</f>
        <v>0</v>
      </c>
      <c r="BW144" s="131" t="n">
        <f aca="false">SUM(BW141:BW143)</f>
        <v>0</v>
      </c>
      <c r="BX144" s="131" t="n">
        <f aca="false">SUM(BX141:BX143)</f>
        <v>0</v>
      </c>
      <c r="BY144" s="131" t="n">
        <f aca="false">SUM(BY141:BY143)</f>
        <v>0</v>
      </c>
      <c r="BZ144" s="136" t="n">
        <f aca="false">SUM(BZ141:BZ143)</f>
        <v>0</v>
      </c>
      <c r="CA144" s="136" t="n">
        <f aca="false">SUM(CA141:CA143)</f>
        <v>0</v>
      </c>
      <c r="CC144" s="136" t="n">
        <f aca="false">SUM(CC141:CC143)</f>
        <v>0.185251977777778</v>
      </c>
      <c r="CD144" s="136" t="n">
        <f aca="false">SUM(CD141:CD143)</f>
        <v>0.812923588888889</v>
      </c>
      <c r="CE144" s="136" t="n">
        <f aca="false">SUM(CE141:CE143)</f>
        <v>0</v>
      </c>
      <c r="CF144" s="136" t="n">
        <f aca="false">SUM(CF141:CF143)</f>
        <v>0</v>
      </c>
      <c r="CG144" s="136" t="n">
        <f aca="false">SUM(CG141:CG143)</f>
        <v>0</v>
      </c>
      <c r="CI144" s="136" t="n">
        <f aca="false">CC144=L144</f>
        <v>1</v>
      </c>
      <c r="CJ144" s="136" t="n">
        <f aca="false">CD144=M144</f>
        <v>1</v>
      </c>
      <c r="CK144" s="136" t="n">
        <f aca="false">CE144=N144</f>
        <v>1</v>
      </c>
      <c r="CL144" s="136" t="n">
        <f aca="false">CF144=O144</f>
        <v>1</v>
      </c>
      <c r="CM144" s="136" t="n">
        <f aca="false">CG144=P144</f>
        <v>1</v>
      </c>
    </row>
    <row r="145" s="14" customFormat="true" ht="16.5" hidden="false" customHeight="true" outlineLevel="0" collapsed="false">
      <c r="E145" s="96"/>
      <c r="L145" s="82"/>
      <c r="M145" s="82"/>
      <c r="N145" s="82"/>
      <c r="O145" s="82"/>
      <c r="P145" s="82"/>
      <c r="Q145" s="16"/>
      <c r="R145" s="16"/>
      <c r="T145" s="131"/>
      <c r="U145" s="131"/>
      <c r="V145" s="131"/>
      <c r="W145" s="131"/>
      <c r="X145" s="131"/>
      <c r="Y145" s="131"/>
      <c r="Z145" s="131"/>
      <c r="AA145" s="131"/>
      <c r="AB145" s="131"/>
      <c r="AC145" s="131"/>
      <c r="AD145" s="131"/>
      <c r="AE145" s="131"/>
      <c r="AF145" s="131"/>
      <c r="AG145" s="131"/>
      <c r="AH145" s="131"/>
      <c r="AI145" s="131"/>
      <c r="AJ145" s="131"/>
      <c r="AK145" s="131"/>
      <c r="AL145" s="131"/>
      <c r="AM145" s="131"/>
      <c r="AN145" s="131"/>
      <c r="AO145" s="131"/>
      <c r="AP145" s="131"/>
      <c r="AQ145" s="131"/>
      <c r="AR145" s="131"/>
      <c r="AS145" s="131"/>
      <c r="AT145" s="131"/>
      <c r="AU145" s="131"/>
      <c r="AV145" s="131"/>
      <c r="AW145" s="131"/>
      <c r="AX145" s="131"/>
      <c r="AY145" s="131"/>
      <c r="AZ145" s="131"/>
      <c r="BA145" s="131"/>
      <c r="BB145" s="131"/>
      <c r="BC145" s="131"/>
      <c r="BD145" s="131"/>
      <c r="BE145" s="131"/>
      <c r="BF145" s="131"/>
      <c r="BG145" s="131"/>
      <c r="BH145" s="131"/>
      <c r="BI145" s="131"/>
      <c r="BJ145" s="131"/>
      <c r="BK145" s="131"/>
      <c r="BL145" s="131"/>
      <c r="BM145" s="131"/>
      <c r="BN145" s="131"/>
      <c r="BO145" s="131"/>
      <c r="BP145" s="131"/>
      <c r="BQ145" s="131"/>
      <c r="BR145" s="131"/>
      <c r="BS145" s="131"/>
      <c r="BT145" s="131"/>
      <c r="BU145" s="131"/>
      <c r="BV145" s="131"/>
      <c r="BW145" s="131"/>
      <c r="BX145" s="131"/>
      <c r="BY145" s="131"/>
      <c r="BZ145" s="136"/>
      <c r="CA145" s="136"/>
    </row>
    <row r="146" s="14" customFormat="true" ht="16.5" hidden="false" customHeight="true" outlineLevel="0" collapsed="false">
      <c r="E146" s="96"/>
      <c r="L146" s="82"/>
      <c r="M146" s="82"/>
      <c r="N146" s="82"/>
      <c r="O146" s="82"/>
      <c r="P146" s="82"/>
      <c r="Q146" s="16"/>
      <c r="R146" s="16"/>
      <c r="T146" s="131"/>
      <c r="U146" s="131"/>
      <c r="V146" s="131"/>
      <c r="W146" s="131"/>
      <c r="X146" s="131"/>
      <c r="Y146" s="131"/>
      <c r="Z146" s="131"/>
      <c r="AA146" s="131"/>
      <c r="AB146" s="131"/>
      <c r="AC146" s="131"/>
      <c r="AD146" s="131"/>
      <c r="AE146" s="131"/>
      <c r="AF146" s="131"/>
      <c r="AG146" s="131"/>
      <c r="AH146" s="131"/>
      <c r="AI146" s="131"/>
      <c r="AJ146" s="131"/>
      <c r="AK146" s="131"/>
      <c r="AL146" s="131"/>
      <c r="AM146" s="131"/>
      <c r="AN146" s="131"/>
      <c r="AO146" s="131"/>
      <c r="AP146" s="131"/>
      <c r="AQ146" s="131"/>
      <c r="AR146" s="131"/>
      <c r="AS146" s="131"/>
      <c r="AT146" s="131"/>
      <c r="AU146" s="131"/>
      <c r="AV146" s="131"/>
      <c r="AW146" s="131"/>
      <c r="AX146" s="131"/>
      <c r="AY146" s="131"/>
      <c r="AZ146" s="131"/>
      <c r="BA146" s="131"/>
      <c r="BB146" s="131"/>
      <c r="BC146" s="131"/>
      <c r="BD146" s="131"/>
      <c r="BE146" s="131"/>
      <c r="BF146" s="131"/>
      <c r="BG146" s="131"/>
      <c r="BH146" s="131"/>
      <c r="BI146" s="131"/>
      <c r="BJ146" s="131"/>
      <c r="BK146" s="131"/>
      <c r="BL146" s="131"/>
      <c r="BM146" s="131"/>
      <c r="BN146" s="131"/>
      <c r="BO146" s="131"/>
      <c r="BP146" s="131"/>
      <c r="BQ146" s="131"/>
      <c r="BR146" s="131"/>
      <c r="BS146" s="131"/>
      <c r="BT146" s="131"/>
      <c r="BU146" s="131"/>
      <c r="BV146" s="131"/>
      <c r="BW146" s="131"/>
      <c r="BX146" s="131"/>
      <c r="BY146" s="131"/>
      <c r="BZ146" s="136"/>
      <c r="CA146" s="136"/>
    </row>
    <row r="147" s="14" customFormat="true" ht="16.5" hidden="false" customHeight="true" outlineLevel="0" collapsed="false">
      <c r="E147" s="109" t="s">
        <v>153</v>
      </c>
      <c r="F147" s="109"/>
      <c r="G147" s="109"/>
      <c r="H147" s="109"/>
      <c r="I147" s="132"/>
      <c r="J147" s="132"/>
      <c r="K147" s="132"/>
      <c r="L147" s="120" t="n">
        <f aca="false">SUM(L138, L144)</f>
        <v>0.185251977777778</v>
      </c>
      <c r="M147" s="120" t="n">
        <f aca="false">SUM(M138, M144)</f>
        <v>1.33945692222222</v>
      </c>
      <c r="N147" s="120" t="n">
        <f aca="false">SUM(N138, N144)</f>
        <v>0</v>
      </c>
      <c r="O147" s="120" t="n">
        <f aca="false">SUM(O138, O144)</f>
        <v>0</v>
      </c>
      <c r="P147" s="120" t="n">
        <f aca="false">SUM(P138, P144)</f>
        <v>0</v>
      </c>
      <c r="Q147" s="139"/>
      <c r="R147" s="139"/>
      <c r="T147" s="120" t="n">
        <f aca="false">SUM(T138, T144)</f>
        <v>0</v>
      </c>
      <c r="U147" s="120" t="n">
        <f aca="false">SUM(U138, U144)</f>
        <v>0</v>
      </c>
      <c r="V147" s="120" t="n">
        <f aca="false">SUM(V138, V144)</f>
        <v>0</v>
      </c>
      <c r="W147" s="120" t="n">
        <f aca="false">SUM(W138, W144)</f>
        <v>0</v>
      </c>
      <c r="X147" s="120" t="n">
        <f aca="false">SUM(X138, X144)</f>
        <v>0</v>
      </c>
      <c r="Y147" s="120" t="n">
        <f aca="false">SUM(Y138, Y144)</f>
        <v>0</v>
      </c>
      <c r="Z147" s="120" t="n">
        <f aca="false">SUM(Z138, Z144)</f>
        <v>0</v>
      </c>
      <c r="AA147" s="120" t="n">
        <f aca="false">SUM(AA138, AA144)</f>
        <v>0</v>
      </c>
      <c r="AB147" s="120" t="n">
        <f aca="false">SUM(AB138, AB144)</f>
        <v>0</v>
      </c>
      <c r="AC147" s="120" t="n">
        <f aca="false">SUM(AC138, AC144)</f>
        <v>0</v>
      </c>
      <c r="AD147" s="120" t="n">
        <f aca="false">SUM(AD138, AD144)</f>
        <v>0.0926259888888889</v>
      </c>
      <c r="AE147" s="120" t="n">
        <f aca="false">SUM(AE138, AE144)</f>
        <v>0.0926259888888889</v>
      </c>
      <c r="AF147" s="120" t="n">
        <f aca="false">SUM(AF138, AF144)</f>
        <v>0.158442655555556</v>
      </c>
      <c r="AG147" s="120" t="n">
        <f aca="false">SUM(AG138, AG144)</f>
        <v>0.158442655555556</v>
      </c>
      <c r="AH147" s="120" t="n">
        <f aca="false">SUM(AH138, AH144)</f>
        <v>0.158442655555556</v>
      </c>
      <c r="AI147" s="120" t="n">
        <f aca="false">SUM(AI138, AI144)</f>
        <v>0.158442655555556</v>
      </c>
      <c r="AJ147" s="120" t="n">
        <f aca="false">SUM(AJ138, AJ144)</f>
        <v>0.158442655555556</v>
      </c>
      <c r="AK147" s="120" t="n">
        <f aca="false">SUM(AK138, AK144)</f>
        <v>0.109080155555556</v>
      </c>
      <c r="AL147" s="120" t="n">
        <f aca="false">SUM(AL138, AL144)</f>
        <v>0.109080155555556</v>
      </c>
      <c r="AM147" s="120" t="n">
        <f aca="false">SUM(AM138, AM144)</f>
        <v>0.0822708333333333</v>
      </c>
      <c r="AN147" s="120" t="n">
        <f aca="false">SUM(AN138, AN144)</f>
        <v>0.0822708333333333</v>
      </c>
      <c r="AO147" s="120" t="n">
        <f aca="false">SUM(AO138, AO144)</f>
        <v>0.0822708333333333</v>
      </c>
      <c r="AP147" s="120" t="n">
        <f aca="false">SUM(AP138, AP144)</f>
        <v>0.0822708333333333</v>
      </c>
      <c r="AQ147" s="120" t="n">
        <f aca="false">SUM(AQ138, AQ144)</f>
        <v>0</v>
      </c>
      <c r="AR147" s="120" t="n">
        <f aca="false">SUM(AR138, AR144)</f>
        <v>0</v>
      </c>
      <c r="AS147" s="120" t="n">
        <f aca="false">SUM(AS138, AS144)</f>
        <v>0</v>
      </c>
      <c r="AT147" s="120" t="n">
        <f aca="false">SUM(AT138, AT144)</f>
        <v>0</v>
      </c>
      <c r="AU147" s="120" t="n">
        <f aca="false">SUM(AU138, AU144)</f>
        <v>0</v>
      </c>
      <c r="AV147" s="120" t="n">
        <f aca="false">SUM(AV138, AV144)</f>
        <v>0</v>
      </c>
      <c r="AW147" s="120" t="n">
        <f aca="false">SUM(AW138, AW144)</f>
        <v>0</v>
      </c>
      <c r="AX147" s="120" t="n">
        <f aca="false">SUM(AX138, AX144)</f>
        <v>0</v>
      </c>
      <c r="AY147" s="120" t="n">
        <f aca="false">SUM(AY138, AY144)</f>
        <v>0</v>
      </c>
      <c r="AZ147" s="120" t="n">
        <f aca="false">SUM(AZ138, AZ144)</f>
        <v>0</v>
      </c>
      <c r="BA147" s="120" t="n">
        <f aca="false">SUM(BA138, BA144)</f>
        <v>0</v>
      </c>
      <c r="BB147" s="120" t="n">
        <f aca="false">SUM(BB138, BB144)</f>
        <v>0</v>
      </c>
      <c r="BC147" s="120" t="n">
        <f aca="false">SUM(BC138, BC144)</f>
        <v>0</v>
      </c>
      <c r="BD147" s="120" t="n">
        <f aca="false">SUM(BD138, BD144)</f>
        <v>0</v>
      </c>
      <c r="BE147" s="120" t="n">
        <f aca="false">SUM(BE138, BE144)</f>
        <v>0</v>
      </c>
      <c r="BF147" s="120" t="n">
        <f aca="false">SUM(BF138, BF144)</f>
        <v>0</v>
      </c>
      <c r="BG147" s="120" t="n">
        <f aca="false">SUM(BG138, BG144)</f>
        <v>0</v>
      </c>
      <c r="BH147" s="120" t="n">
        <f aca="false">SUM(BH138, BH144)</f>
        <v>0</v>
      </c>
      <c r="BI147" s="120" t="n">
        <f aca="false">SUM(BI138, BI144)</f>
        <v>0</v>
      </c>
      <c r="BJ147" s="120" t="n">
        <f aca="false">SUM(BJ138, BJ144)</f>
        <v>0</v>
      </c>
      <c r="BK147" s="120" t="n">
        <f aca="false">SUM(BK138, BK144)</f>
        <v>0</v>
      </c>
      <c r="BL147" s="120" t="n">
        <f aca="false">SUM(BL138, BL144)</f>
        <v>0</v>
      </c>
      <c r="BM147" s="120" t="n">
        <f aca="false">SUM(BM138, BM144)</f>
        <v>0</v>
      </c>
      <c r="BN147" s="120" t="n">
        <f aca="false">SUM(BN138, BN144)</f>
        <v>0</v>
      </c>
      <c r="BO147" s="120" t="n">
        <f aca="false">SUM(BO138, BO144)</f>
        <v>0</v>
      </c>
      <c r="BP147" s="120" t="n">
        <f aca="false">SUM(BP138, BP144)</f>
        <v>0</v>
      </c>
      <c r="BQ147" s="120" t="n">
        <f aca="false">SUM(BQ138, BQ144)</f>
        <v>0</v>
      </c>
      <c r="BR147" s="120" t="n">
        <f aca="false">SUM(BR138, BR144)</f>
        <v>0</v>
      </c>
      <c r="BS147" s="120" t="n">
        <f aca="false">SUM(BS138, BS144)</f>
        <v>0</v>
      </c>
      <c r="BT147" s="120" t="n">
        <f aca="false">SUM(BT138, BT144)</f>
        <v>0</v>
      </c>
      <c r="BU147" s="120" t="n">
        <f aca="false">SUM(BU138, BU144)</f>
        <v>0</v>
      </c>
      <c r="BV147" s="120" t="n">
        <f aca="false">SUM(BV138, BV144)</f>
        <v>0</v>
      </c>
      <c r="BW147" s="120" t="n">
        <f aca="false">SUM(BW138, BW144)</f>
        <v>0</v>
      </c>
      <c r="BX147" s="120" t="n">
        <f aca="false">SUM(BX138, BX144)</f>
        <v>0</v>
      </c>
      <c r="BY147" s="120" t="n">
        <f aca="false">SUM(BY138, BY144)</f>
        <v>0</v>
      </c>
      <c r="BZ147" s="120" t="n">
        <f aca="false">SUM(BZ138, BZ144)</f>
        <v>0</v>
      </c>
      <c r="CA147" s="120" t="n">
        <f aca="false">SUM(CA138, CA144)</f>
        <v>0</v>
      </c>
      <c r="CC147" s="120" t="n">
        <f aca="false">SUM(CC138, CC144)</f>
        <v>0.185251977777778</v>
      </c>
      <c r="CD147" s="120" t="n">
        <f aca="false">SUM(CD138, CD144)</f>
        <v>1.33945692222222</v>
      </c>
      <c r="CE147" s="120" t="n">
        <f aca="false">SUM(CE138, CE144)</f>
        <v>0</v>
      </c>
      <c r="CF147" s="120" t="n">
        <f aca="false">SUM(CF138, CF144)</f>
        <v>0</v>
      </c>
      <c r="CG147" s="120" t="n">
        <f aca="false">SUM(CG138, CG144)</f>
        <v>0</v>
      </c>
      <c r="CI147" s="140" t="n">
        <f aca="false">CC147=L147</f>
        <v>1</v>
      </c>
      <c r="CJ147" s="140" t="n">
        <f aca="false">CD147=M147</f>
        <v>1</v>
      </c>
      <c r="CK147" s="140" t="n">
        <f aca="false">CE147=N147</f>
        <v>1</v>
      </c>
      <c r="CL147" s="140" t="n">
        <f aca="false">CF147=O147</f>
        <v>1</v>
      </c>
      <c r="CM147" s="140" t="n">
        <f aca="false">CG147=P147</f>
        <v>1</v>
      </c>
    </row>
    <row r="148" s="14" customFormat="true" ht="16.5" hidden="false" customHeight="true" outlineLevel="0" collapsed="false">
      <c r="E148" s="21"/>
      <c r="L148" s="88"/>
      <c r="M148" s="88"/>
      <c r="N148" s="88"/>
      <c r="O148" s="88"/>
      <c r="P148" s="88"/>
      <c r="Q148" s="121"/>
      <c r="R148" s="121"/>
      <c r="T148" s="137"/>
      <c r="U148" s="137"/>
      <c r="V148" s="137"/>
      <c r="W148" s="137"/>
      <c r="X148" s="137"/>
      <c r="Y148" s="137"/>
      <c r="Z148" s="137"/>
      <c r="AA148" s="137"/>
      <c r="AB148" s="137"/>
      <c r="AC148" s="137"/>
      <c r="AD148" s="137"/>
      <c r="AE148" s="137"/>
      <c r="AF148" s="137"/>
      <c r="AG148" s="137"/>
      <c r="AH148" s="137"/>
      <c r="AI148" s="137"/>
      <c r="AJ148" s="137"/>
      <c r="AK148" s="137"/>
      <c r="AL148" s="137"/>
      <c r="AM148" s="137"/>
      <c r="AN148" s="137"/>
      <c r="AO148" s="137"/>
      <c r="AP148" s="137"/>
      <c r="AQ148" s="137"/>
      <c r="AR148" s="137"/>
      <c r="AS148" s="137"/>
      <c r="AT148" s="137"/>
      <c r="AU148" s="137"/>
      <c r="AV148" s="137"/>
      <c r="AW148" s="137"/>
      <c r="AX148" s="137"/>
      <c r="AY148" s="137"/>
      <c r="AZ148" s="137"/>
      <c r="BA148" s="137"/>
      <c r="BB148" s="137"/>
      <c r="BC148" s="137"/>
      <c r="BD148" s="137"/>
      <c r="BE148" s="137"/>
      <c r="BF148" s="137"/>
      <c r="BG148" s="137"/>
      <c r="BH148" s="137"/>
      <c r="BI148" s="137"/>
      <c r="BJ148" s="137"/>
      <c r="BK148" s="137"/>
      <c r="BL148" s="137"/>
      <c r="BM148" s="137"/>
      <c r="BN148" s="137"/>
      <c r="BO148" s="137"/>
      <c r="BP148" s="137"/>
      <c r="BQ148" s="137"/>
      <c r="BR148" s="137"/>
      <c r="BS148" s="137"/>
      <c r="BT148" s="137"/>
      <c r="BU148" s="137"/>
      <c r="BV148" s="137"/>
      <c r="BW148" s="137"/>
      <c r="BX148" s="137"/>
      <c r="BY148" s="137"/>
      <c r="BZ148" s="121"/>
      <c r="CA148" s="121"/>
    </row>
    <row r="149" s="14" customFormat="true" ht="16.5" hidden="false" customHeight="true" outlineLevel="0" collapsed="false">
      <c r="E149" s="141" t="s">
        <v>401</v>
      </c>
      <c r="F149" s="123"/>
      <c r="G149" s="123"/>
      <c r="H149" s="123"/>
      <c r="I149" s="126"/>
      <c r="J149" s="126"/>
      <c r="K149" s="142"/>
      <c r="L149" s="125" t="n">
        <f aca="false">SUM(L130, -L147)</f>
        <v>-0.185251977777778</v>
      </c>
      <c r="M149" s="125" t="n">
        <f aca="false">SUM(M130, -M147)</f>
        <v>-1.33945692222222</v>
      </c>
      <c r="N149" s="125" t="n">
        <f aca="false">SUM(N130, -N147)</f>
        <v>0</v>
      </c>
      <c r="O149" s="125" t="n">
        <f aca="false">SUM(O130, -O147)</f>
        <v>0</v>
      </c>
      <c r="P149" s="125" t="n">
        <f aca="false">SUM(P130, -P147)</f>
        <v>0</v>
      </c>
      <c r="Q149" s="143"/>
      <c r="R149" s="143"/>
      <c r="T149" s="144" t="n">
        <f aca="false">SUM(T130, -T147)</f>
        <v>0</v>
      </c>
      <c r="U149" s="144" t="n">
        <f aca="false">SUM(U130, -U147)</f>
        <v>0</v>
      </c>
      <c r="V149" s="144" t="n">
        <f aca="false">SUM(V130, -V147)</f>
        <v>0</v>
      </c>
      <c r="W149" s="144" t="n">
        <f aca="false">SUM(W130, -W147)</f>
        <v>0</v>
      </c>
      <c r="X149" s="144" t="n">
        <f aca="false">SUM(X130, -X147)</f>
        <v>0</v>
      </c>
      <c r="Y149" s="144" t="n">
        <f aca="false">SUM(Y130, -Y147)</f>
        <v>0</v>
      </c>
      <c r="Z149" s="144" t="n">
        <f aca="false">SUM(Z130, -Z147)</f>
        <v>0</v>
      </c>
      <c r="AA149" s="144" t="n">
        <f aca="false">SUM(AA130, -AA147)</f>
        <v>0</v>
      </c>
      <c r="AB149" s="144" t="n">
        <f aca="false">SUM(AB130, -AB147)</f>
        <v>0</v>
      </c>
      <c r="AC149" s="144" t="n">
        <f aca="false">SUM(AC130, -AC147)</f>
        <v>0</v>
      </c>
      <c r="AD149" s="144" t="n">
        <f aca="false">SUM(AD130, -AD147)</f>
        <v>-0.0926259888888889</v>
      </c>
      <c r="AE149" s="144" t="n">
        <f aca="false">SUM(AE130, -AE147)</f>
        <v>-0.0926259888888889</v>
      </c>
      <c r="AF149" s="144" t="n">
        <f aca="false">SUM(AF130, -AF147)</f>
        <v>-0.158442655555556</v>
      </c>
      <c r="AG149" s="144" t="n">
        <f aca="false">SUM(AG130, -AG147)</f>
        <v>-0.158442655555556</v>
      </c>
      <c r="AH149" s="144" t="n">
        <f aca="false">SUM(AH130, -AH147)</f>
        <v>-0.158442655555556</v>
      </c>
      <c r="AI149" s="144" t="n">
        <f aca="false">SUM(AI130, -AI147)</f>
        <v>-0.158442655555556</v>
      </c>
      <c r="AJ149" s="144" t="n">
        <f aca="false">SUM(AJ130, -AJ147)</f>
        <v>-0.158442655555556</v>
      </c>
      <c r="AK149" s="144" t="n">
        <f aca="false">SUM(AK130, -AK147)</f>
        <v>-0.109080155555556</v>
      </c>
      <c r="AL149" s="144" t="n">
        <f aca="false">SUM(AL130, -AL147)</f>
        <v>-0.109080155555556</v>
      </c>
      <c r="AM149" s="144" t="n">
        <f aca="false">SUM(AM130, -AM147)</f>
        <v>-0.0822708333333333</v>
      </c>
      <c r="AN149" s="144" t="n">
        <f aca="false">SUM(AN130, -AN147)</f>
        <v>-0.0822708333333333</v>
      </c>
      <c r="AO149" s="144" t="n">
        <f aca="false">SUM(AO130, -AO147)</f>
        <v>-0.0822708333333333</v>
      </c>
      <c r="AP149" s="144" t="n">
        <f aca="false">SUM(AP130, -AP147)</f>
        <v>-0.0822708333333333</v>
      </c>
      <c r="AQ149" s="144" t="n">
        <f aca="false">SUM(AQ130, -AQ147)</f>
        <v>0</v>
      </c>
      <c r="AR149" s="144" t="n">
        <f aca="false">SUM(AR130, -AR147)</f>
        <v>0</v>
      </c>
      <c r="AS149" s="144" t="n">
        <f aca="false">SUM(AS130, -AS147)</f>
        <v>0</v>
      </c>
      <c r="AT149" s="144" t="n">
        <f aca="false">SUM(AT130, -AT147)</f>
        <v>0</v>
      </c>
      <c r="AU149" s="144" t="n">
        <f aca="false">SUM(AU130, -AU147)</f>
        <v>0</v>
      </c>
      <c r="AV149" s="144" t="n">
        <f aca="false">SUM(AV130, -AV147)</f>
        <v>0</v>
      </c>
      <c r="AW149" s="144" t="n">
        <f aca="false">SUM(AW130, -AW147)</f>
        <v>0</v>
      </c>
      <c r="AX149" s="144" t="n">
        <f aca="false">SUM(AX130, -AX147)</f>
        <v>0</v>
      </c>
      <c r="AY149" s="144" t="n">
        <f aca="false">SUM(AY130, -AY147)</f>
        <v>0</v>
      </c>
      <c r="AZ149" s="144" t="n">
        <f aca="false">SUM(AZ130, -AZ147)</f>
        <v>0</v>
      </c>
      <c r="BA149" s="144" t="n">
        <f aca="false">SUM(BA130, -BA147)</f>
        <v>0</v>
      </c>
      <c r="BB149" s="144" t="n">
        <f aca="false">SUM(BB130, -BB147)</f>
        <v>0</v>
      </c>
      <c r="BC149" s="144" t="n">
        <f aca="false">SUM(BC130, -BC147)</f>
        <v>0</v>
      </c>
      <c r="BD149" s="144" t="n">
        <f aca="false">SUM(BD130, -BD147)</f>
        <v>0</v>
      </c>
      <c r="BE149" s="144" t="n">
        <f aca="false">SUM(BE130, -BE147)</f>
        <v>0</v>
      </c>
      <c r="BF149" s="144" t="n">
        <f aca="false">SUM(BF130, -BF147)</f>
        <v>0</v>
      </c>
      <c r="BG149" s="144" t="n">
        <f aca="false">SUM(BG130, -BG147)</f>
        <v>0</v>
      </c>
      <c r="BH149" s="144" t="n">
        <f aca="false">SUM(BH130, -BH147)</f>
        <v>0</v>
      </c>
      <c r="BI149" s="144" t="n">
        <f aca="false">SUM(BI130, -BI147)</f>
        <v>0</v>
      </c>
      <c r="BJ149" s="144" t="n">
        <f aca="false">SUM(BJ130, -BJ147)</f>
        <v>0</v>
      </c>
      <c r="BK149" s="144" t="n">
        <f aca="false">SUM(BK130, -BK147)</f>
        <v>0</v>
      </c>
      <c r="BL149" s="144" t="n">
        <f aca="false">SUM(BL130, -BL147)</f>
        <v>0</v>
      </c>
      <c r="BM149" s="144" t="n">
        <f aca="false">SUM(BM130, -BM147)</f>
        <v>0</v>
      </c>
      <c r="BN149" s="144" t="n">
        <f aca="false">SUM(BN130, -BN147)</f>
        <v>0</v>
      </c>
      <c r="BO149" s="144" t="n">
        <f aca="false">SUM(BO130, -BO147)</f>
        <v>0</v>
      </c>
      <c r="BP149" s="144" t="n">
        <f aca="false">SUM(BP130, -BP147)</f>
        <v>0</v>
      </c>
      <c r="BQ149" s="144" t="n">
        <f aca="false">SUM(BQ130, -BQ147)</f>
        <v>0</v>
      </c>
      <c r="BR149" s="144" t="n">
        <f aca="false">SUM(BR130, -BR147)</f>
        <v>0</v>
      </c>
      <c r="BS149" s="144" t="n">
        <f aca="false">SUM(BS130, -BS147)</f>
        <v>0</v>
      </c>
      <c r="BT149" s="144" t="n">
        <f aca="false">SUM(BT130, -BT147)</f>
        <v>0</v>
      </c>
      <c r="BU149" s="144" t="n">
        <f aca="false">SUM(BU130, -BU147)</f>
        <v>0</v>
      </c>
      <c r="BV149" s="144" t="n">
        <f aca="false">SUM(BV130, -BV147)</f>
        <v>0</v>
      </c>
      <c r="BW149" s="144" t="n">
        <f aca="false">SUM(BW130, -BW147)</f>
        <v>0</v>
      </c>
      <c r="BX149" s="144" t="n">
        <f aca="false">SUM(BX130, -BX147)</f>
        <v>0</v>
      </c>
      <c r="BY149" s="144" t="n">
        <f aca="false">SUM(BY130, -BY147)</f>
        <v>0</v>
      </c>
      <c r="BZ149" s="143" t="n">
        <f aca="false">SUM(BZ130, -BZ147)</f>
        <v>0</v>
      </c>
      <c r="CA149" s="143" t="n">
        <f aca="false">SUM(CA130, -CA147)</f>
        <v>0</v>
      </c>
      <c r="CC149" s="143" t="n">
        <f aca="false">SUM(CC130, -CC147)</f>
        <v>-0.185251977777778</v>
      </c>
      <c r="CD149" s="143" t="n">
        <f aca="false">SUM(CD130, -CD147)</f>
        <v>-1.33945692222222</v>
      </c>
      <c r="CE149" s="143" t="n">
        <f aca="false">SUM(CE130, -CE147)</f>
        <v>0</v>
      </c>
      <c r="CF149" s="143" t="n">
        <f aca="false">SUM(CF130, -CF147)</f>
        <v>0</v>
      </c>
      <c r="CG149" s="143" t="n">
        <f aca="false">SUM(CG130, -CG147)</f>
        <v>0</v>
      </c>
      <c r="CI149" s="143" t="n">
        <f aca="false">CC149=L149</f>
        <v>1</v>
      </c>
      <c r="CJ149" s="143" t="n">
        <f aca="false">CD149=M149</f>
        <v>1</v>
      </c>
      <c r="CK149" s="143" t="n">
        <f aca="false">CE149=N149</f>
        <v>1</v>
      </c>
      <c r="CL149" s="143" t="n">
        <f aca="false">CF149=O149</f>
        <v>1</v>
      </c>
      <c r="CM149" s="143" t="n">
        <f aca="false">CG149=P149</f>
        <v>1</v>
      </c>
    </row>
    <row r="150" s="14" customFormat="true" ht="16.5" hidden="false" customHeight="true" outlineLevel="0" collapsed="false">
      <c r="E150" s="21"/>
      <c r="H150" s="21"/>
      <c r="I150" s="21"/>
      <c r="J150" s="21"/>
      <c r="K150" s="21"/>
      <c r="L150" s="21"/>
      <c r="M150" s="21"/>
      <c r="N150" s="21"/>
      <c r="O150" s="21"/>
      <c r="P150" s="21"/>
      <c r="Q150" s="145"/>
      <c r="R150" s="145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  <c r="AV150" s="21"/>
      <c r="AW150" s="21"/>
      <c r="AX150" s="21"/>
      <c r="AY150" s="21"/>
      <c r="AZ150" s="21"/>
      <c r="BA150" s="21"/>
      <c r="BB150" s="21"/>
      <c r="BC150" s="21"/>
      <c r="BD150" s="21"/>
      <c r="BE150" s="21"/>
      <c r="BF150" s="21"/>
      <c r="BG150" s="21"/>
      <c r="BH150" s="21"/>
      <c r="BI150" s="21"/>
      <c r="BJ150" s="21"/>
      <c r="BK150" s="21"/>
      <c r="BL150" s="21"/>
      <c r="BM150" s="21"/>
      <c r="BN150" s="21"/>
      <c r="BO150" s="21"/>
      <c r="BP150" s="21"/>
      <c r="BQ150" s="21"/>
      <c r="BR150" s="21"/>
      <c r="BS150" s="21"/>
      <c r="BT150" s="21"/>
      <c r="BU150" s="21"/>
      <c r="BV150" s="21"/>
      <c r="BW150" s="21"/>
      <c r="BX150" s="21"/>
      <c r="BY150" s="21"/>
      <c r="BZ150" s="21"/>
      <c r="CA150" s="21"/>
    </row>
    <row r="151" s="14" customFormat="true" ht="16.5" hidden="false" customHeight="true" outlineLevel="0" collapsed="false">
      <c r="E151" s="21"/>
      <c r="H151" s="21"/>
      <c r="I151" s="21"/>
      <c r="J151" s="21"/>
      <c r="K151" s="21"/>
      <c r="L151" s="21"/>
      <c r="M151" s="21"/>
      <c r="N151" s="21"/>
      <c r="O151" s="21"/>
      <c r="P151" s="21"/>
      <c r="Q151" s="145"/>
      <c r="R151" s="145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  <c r="AX151" s="21"/>
      <c r="AY151" s="21"/>
      <c r="AZ151" s="21"/>
      <c r="BA151" s="21"/>
      <c r="BB151" s="21"/>
      <c r="BC151" s="21"/>
      <c r="BD151" s="21"/>
      <c r="BE151" s="21"/>
      <c r="BF151" s="21"/>
      <c r="BG151" s="21"/>
      <c r="BH151" s="21"/>
      <c r="BI151" s="21"/>
      <c r="BJ151" s="21"/>
      <c r="BK151" s="21"/>
      <c r="BL151" s="21"/>
      <c r="BM151" s="21"/>
      <c r="BN151" s="21"/>
      <c r="BO151" s="21"/>
      <c r="BP151" s="21"/>
      <c r="BQ151" s="21"/>
      <c r="BR151" s="21"/>
      <c r="BS151" s="21"/>
      <c r="BT151" s="21"/>
      <c r="BU151" s="21"/>
      <c r="BV151" s="21"/>
      <c r="BW151" s="21"/>
      <c r="BX151" s="21"/>
      <c r="BY151" s="21"/>
      <c r="BZ151" s="21"/>
      <c r="CA151" s="21"/>
    </row>
    <row r="152" s="14" customFormat="true" ht="16.5" hidden="true" customHeight="true" outlineLevel="1" collapsed="false">
      <c r="C152" s="19" t="s">
        <v>155</v>
      </c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20"/>
      <c r="R152" s="20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  <c r="AJ152" s="19"/>
      <c r="AK152" s="19"/>
      <c r="AL152" s="19"/>
      <c r="AM152" s="19"/>
      <c r="AN152" s="19"/>
      <c r="AO152" s="19"/>
      <c r="AP152" s="19"/>
      <c r="AQ152" s="19"/>
      <c r="AR152" s="19"/>
      <c r="AS152" s="19"/>
      <c r="AT152" s="19"/>
      <c r="AU152" s="19"/>
      <c r="AV152" s="19"/>
      <c r="AW152" s="19"/>
      <c r="AX152" s="19"/>
      <c r="AY152" s="19"/>
      <c r="AZ152" s="19"/>
      <c r="BA152" s="19"/>
      <c r="BB152" s="19"/>
      <c r="BC152" s="19"/>
      <c r="BD152" s="19"/>
      <c r="BE152" s="19"/>
      <c r="BF152" s="19"/>
      <c r="BG152" s="19"/>
      <c r="BH152" s="19"/>
      <c r="BI152" s="19"/>
      <c r="BJ152" s="19"/>
      <c r="BK152" s="19"/>
      <c r="BL152" s="19"/>
      <c r="BM152" s="19"/>
      <c r="BN152" s="19"/>
      <c r="BO152" s="19"/>
      <c r="BP152" s="19"/>
      <c r="BQ152" s="19"/>
      <c r="BR152" s="19"/>
      <c r="BS152" s="19"/>
      <c r="BT152" s="19"/>
      <c r="BU152" s="19"/>
      <c r="BV152" s="19"/>
      <c r="BW152" s="19"/>
      <c r="BX152" s="19"/>
      <c r="BY152" s="19"/>
      <c r="BZ152" s="19"/>
      <c r="CA152" s="19"/>
      <c r="CC152" s="19" t="s">
        <v>117</v>
      </c>
      <c r="CD152" s="19"/>
      <c r="CE152" s="19"/>
      <c r="CF152" s="19"/>
      <c r="CG152" s="19"/>
      <c r="CI152" s="19" t="s">
        <v>118</v>
      </c>
      <c r="CJ152" s="19"/>
      <c r="CK152" s="19"/>
      <c r="CL152" s="19"/>
      <c r="CM152" s="19"/>
    </row>
    <row r="153" s="14" customFormat="true" ht="16.5" hidden="true" customHeight="true" outlineLevel="1" collapsed="false">
      <c r="E153" s="21"/>
      <c r="H153" s="21"/>
      <c r="I153" s="21"/>
      <c r="J153" s="21"/>
      <c r="K153" s="21"/>
      <c r="L153" s="21"/>
      <c r="M153" s="21"/>
      <c r="N153" s="21"/>
      <c r="O153" s="21"/>
      <c r="P153" s="21"/>
      <c r="Q153" s="145"/>
      <c r="R153" s="145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  <c r="AY153" s="21"/>
      <c r="AZ153" s="21"/>
      <c r="BA153" s="21"/>
      <c r="BB153" s="21"/>
      <c r="BC153" s="21"/>
      <c r="BD153" s="21"/>
      <c r="BE153" s="21"/>
      <c r="BF153" s="21"/>
      <c r="BG153" s="21"/>
      <c r="BH153" s="21"/>
      <c r="BI153" s="21"/>
      <c r="BJ153" s="21"/>
      <c r="BK153" s="21"/>
      <c r="BL153" s="21"/>
      <c r="BM153" s="21"/>
      <c r="BN153" s="21"/>
      <c r="BO153" s="21"/>
      <c r="BP153" s="21"/>
      <c r="BQ153" s="21"/>
      <c r="BR153" s="21"/>
      <c r="BS153" s="21"/>
      <c r="BT153" s="21"/>
      <c r="BU153" s="21"/>
      <c r="BV153" s="21"/>
      <c r="BW153" s="21"/>
      <c r="BX153" s="21"/>
      <c r="BY153" s="21"/>
      <c r="BZ153" s="21"/>
      <c r="CA153" s="21"/>
    </row>
    <row r="154" s="14" customFormat="true" ht="16.5" hidden="true" customHeight="true" outlineLevel="1" collapsed="false">
      <c r="E154" s="21"/>
      <c r="H154" s="21"/>
      <c r="I154" s="21"/>
      <c r="J154" s="21"/>
      <c r="K154" s="21"/>
      <c r="Q154" s="145"/>
      <c r="R154" s="145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  <c r="AV154" s="21"/>
      <c r="AW154" s="21"/>
      <c r="AX154" s="21"/>
      <c r="AY154" s="21"/>
      <c r="AZ154" s="21"/>
      <c r="BA154" s="21"/>
      <c r="BB154" s="21"/>
      <c r="BC154" s="21"/>
      <c r="BD154" s="21"/>
      <c r="BE154" s="21"/>
      <c r="BF154" s="21"/>
      <c r="BG154" s="21"/>
      <c r="BH154" s="21"/>
      <c r="BI154" s="21"/>
      <c r="BJ154" s="21"/>
      <c r="BK154" s="21"/>
      <c r="BL154" s="21"/>
      <c r="BM154" s="21"/>
      <c r="BN154" s="21"/>
      <c r="BO154" s="21"/>
      <c r="BP154" s="21"/>
      <c r="BQ154" s="21"/>
      <c r="BR154" s="21"/>
      <c r="BS154" s="21"/>
      <c r="BT154" s="21"/>
      <c r="BU154" s="21"/>
      <c r="BV154" s="21"/>
      <c r="BW154" s="21"/>
      <c r="BX154" s="21"/>
      <c r="BY154" s="21"/>
      <c r="BZ154" s="21"/>
      <c r="CA154" s="21"/>
    </row>
    <row r="155" s="14" customFormat="true" ht="16.5" hidden="true" customHeight="true" outlineLevel="1" collapsed="false">
      <c r="E155" s="30" t="s">
        <v>156</v>
      </c>
      <c r="F155" s="31"/>
      <c r="G155" s="31"/>
      <c r="H155" s="31"/>
      <c r="I155" s="31"/>
      <c r="J155" s="31"/>
      <c r="K155" s="31"/>
      <c r="L155" s="31" t="n">
        <v>2026</v>
      </c>
      <c r="M155" s="31" t="n">
        <f aca="false">L155+1</f>
        <v>2027</v>
      </c>
      <c r="N155" s="31" t="n">
        <f aca="false">M155+1</f>
        <v>2028</v>
      </c>
      <c r="O155" s="31" t="n">
        <f aca="false">N155+1</f>
        <v>2029</v>
      </c>
      <c r="P155" s="31" t="n">
        <f aca="false">O155+1</f>
        <v>2030</v>
      </c>
      <c r="Q155" s="31" t="s">
        <v>157</v>
      </c>
      <c r="R155" s="145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  <c r="AX155" s="21"/>
      <c r="AY155" s="21"/>
      <c r="AZ155" s="21"/>
      <c r="BA155" s="21"/>
      <c r="BB155" s="21"/>
      <c r="BC155" s="21"/>
      <c r="BD155" s="21"/>
      <c r="BE155" s="21"/>
      <c r="BF155" s="21"/>
      <c r="BG155" s="21"/>
      <c r="BH155" s="21"/>
      <c r="BI155" s="21"/>
      <c r="BJ155" s="21"/>
      <c r="BK155" s="21"/>
      <c r="BL155" s="21"/>
      <c r="BM155" s="21"/>
      <c r="BN155" s="21"/>
      <c r="BO155" s="21"/>
      <c r="BP155" s="21"/>
      <c r="BQ155" s="21"/>
      <c r="BR155" s="21"/>
      <c r="BS155" s="21"/>
      <c r="BT155" s="21"/>
      <c r="BU155" s="21"/>
      <c r="BV155" s="21"/>
      <c r="BW155" s="21"/>
      <c r="BX155" s="21"/>
      <c r="BY155" s="21"/>
      <c r="BZ155" s="21"/>
      <c r="CA155" s="21"/>
    </row>
    <row r="156" s="14" customFormat="true" ht="16.5" hidden="true" customHeight="true" outlineLevel="1" collapsed="false">
      <c r="E156" s="14" t="s">
        <v>158</v>
      </c>
      <c r="H156" s="21"/>
      <c r="I156" s="21"/>
      <c r="J156" s="21"/>
      <c r="K156" s="21"/>
      <c r="L156" s="90" t="n">
        <f aca="false">L117</f>
        <v>0</v>
      </c>
      <c r="M156" s="90" t="n">
        <f aca="false">M117</f>
        <v>0</v>
      </c>
      <c r="N156" s="90" t="n">
        <f aca="false">N117</f>
        <v>0</v>
      </c>
      <c r="O156" s="90" t="n">
        <f aca="false">O117</f>
        <v>0</v>
      </c>
      <c r="P156" s="90" t="n">
        <f aca="false">P117</f>
        <v>0</v>
      </c>
      <c r="Q156" s="146" t="n">
        <f aca="false">SUM(L156:P156)</f>
        <v>0</v>
      </c>
      <c r="R156" s="145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  <c r="BE156" s="21"/>
      <c r="BF156" s="21"/>
      <c r="BG156" s="21"/>
      <c r="BH156" s="21"/>
      <c r="BI156" s="21"/>
      <c r="BJ156" s="21"/>
      <c r="BK156" s="21"/>
      <c r="BL156" s="21"/>
      <c r="BM156" s="21"/>
      <c r="BN156" s="21"/>
      <c r="BO156" s="21"/>
      <c r="BP156" s="21"/>
      <c r="BQ156" s="21"/>
      <c r="BR156" s="21"/>
      <c r="BS156" s="21"/>
      <c r="BT156" s="21"/>
      <c r="BU156" s="21"/>
      <c r="BV156" s="21"/>
      <c r="BW156" s="21"/>
      <c r="BX156" s="21"/>
      <c r="BY156" s="21"/>
      <c r="BZ156" s="21"/>
      <c r="CA156" s="21"/>
    </row>
    <row r="157" s="14" customFormat="true" ht="16.5" hidden="true" customHeight="true" outlineLevel="1" collapsed="false">
      <c r="E157" s="14" t="s">
        <v>159</v>
      </c>
      <c r="L157" s="90" t="n">
        <f aca="false">L130</f>
        <v>0</v>
      </c>
      <c r="M157" s="90" t="n">
        <f aca="false">M130</f>
        <v>0</v>
      </c>
      <c r="N157" s="90" t="n">
        <f aca="false">N130</f>
        <v>0</v>
      </c>
      <c r="O157" s="90" t="n">
        <f aca="false">O130</f>
        <v>0</v>
      </c>
      <c r="P157" s="90" t="n">
        <f aca="false">P130</f>
        <v>0</v>
      </c>
      <c r="Q157" s="146" t="n">
        <f aca="false">SUM(L157:P157)</f>
        <v>0</v>
      </c>
      <c r="R157" s="145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21"/>
      <c r="AY157" s="21"/>
      <c r="AZ157" s="21"/>
      <c r="BA157" s="21"/>
      <c r="BB157" s="21"/>
      <c r="BC157" s="21"/>
      <c r="BD157" s="21"/>
      <c r="BE157" s="21"/>
      <c r="BF157" s="21"/>
      <c r="BG157" s="21"/>
      <c r="BH157" s="21"/>
      <c r="BI157" s="21"/>
      <c r="BJ157" s="21"/>
      <c r="BK157" s="21"/>
      <c r="BL157" s="21"/>
      <c r="BM157" s="21"/>
      <c r="BN157" s="21"/>
      <c r="BO157" s="21"/>
      <c r="BP157" s="21"/>
      <c r="BQ157" s="21"/>
      <c r="BR157" s="21"/>
      <c r="BS157" s="21"/>
      <c r="BT157" s="21"/>
      <c r="BU157" s="21"/>
      <c r="BV157" s="21"/>
      <c r="BW157" s="21"/>
      <c r="BX157" s="21"/>
      <c r="BY157" s="21"/>
      <c r="BZ157" s="21"/>
      <c r="CA157" s="21"/>
    </row>
    <row r="158" s="14" customFormat="true" ht="16.5" hidden="true" customHeight="true" outlineLevel="1" collapsed="false">
      <c r="E158" s="14" t="s">
        <v>160</v>
      </c>
      <c r="L158" s="90" t="n">
        <f aca="false">-L147</f>
        <v>-0.185251977777778</v>
      </c>
      <c r="M158" s="90" t="n">
        <f aca="false">-M147</f>
        <v>-1.33945692222222</v>
      </c>
      <c r="N158" s="90" t="n">
        <f aca="false">-N147</f>
        <v>-0</v>
      </c>
      <c r="O158" s="90" t="n">
        <f aca="false">-O147</f>
        <v>-0</v>
      </c>
      <c r="P158" s="90" t="n">
        <f aca="false">-P147</f>
        <v>-0</v>
      </c>
      <c r="Q158" s="146" t="n">
        <f aca="false">SUM(L158:P158)</f>
        <v>-1.5247089</v>
      </c>
      <c r="R158" s="145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1"/>
      <c r="BI158" s="21"/>
      <c r="BJ158" s="21"/>
      <c r="BK158" s="21"/>
      <c r="BL158" s="21"/>
      <c r="BM158" s="21"/>
      <c r="BN158" s="21"/>
      <c r="BO158" s="21"/>
      <c r="BP158" s="21"/>
      <c r="BQ158" s="21"/>
      <c r="BR158" s="21"/>
      <c r="BS158" s="21"/>
      <c r="BT158" s="21"/>
      <c r="BU158" s="21"/>
      <c r="BV158" s="21"/>
      <c r="BW158" s="21"/>
      <c r="BX158" s="21"/>
      <c r="BY158" s="21"/>
      <c r="BZ158" s="21"/>
      <c r="CA158" s="21"/>
    </row>
    <row r="159" s="14" customFormat="true" ht="16.5" hidden="true" customHeight="true" outlineLevel="1" collapsed="false">
      <c r="E159" s="223" t="s">
        <v>156</v>
      </c>
      <c r="F159" s="223"/>
      <c r="G159" s="223"/>
      <c r="H159" s="223"/>
      <c r="I159" s="223"/>
      <c r="J159" s="223"/>
      <c r="K159" s="223"/>
      <c r="L159" s="224" t="n">
        <f aca="false">SUM(L156:L158)</f>
        <v>-0.185251977777778</v>
      </c>
      <c r="M159" s="224" t="n">
        <f aca="false">SUM(M156:M158)</f>
        <v>-1.33945692222222</v>
      </c>
      <c r="N159" s="224" t="n">
        <f aca="false">SUM(N156:N158)</f>
        <v>0</v>
      </c>
      <c r="O159" s="224" t="n">
        <f aca="false">SUM(O156:O158)</f>
        <v>0</v>
      </c>
      <c r="P159" s="224" t="n">
        <f aca="false">SUM(P156:P158)</f>
        <v>0</v>
      </c>
      <c r="Q159" s="225" t="n">
        <f aca="false">SUM(L159:P159)</f>
        <v>-1.5247089</v>
      </c>
      <c r="R159" s="145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  <c r="BK159" s="21"/>
      <c r="BL159" s="21"/>
      <c r="BM159" s="21"/>
      <c r="BN159" s="21"/>
      <c r="BO159" s="21"/>
      <c r="BP159" s="21"/>
      <c r="BQ159" s="21"/>
      <c r="BR159" s="21"/>
      <c r="BS159" s="21"/>
      <c r="BT159" s="21"/>
      <c r="BU159" s="21"/>
      <c r="BV159" s="21"/>
      <c r="BW159" s="21"/>
      <c r="BX159" s="21"/>
      <c r="BY159" s="21"/>
      <c r="BZ159" s="21"/>
      <c r="CA159" s="21"/>
    </row>
    <row r="160" s="14" customFormat="true" ht="16.5" hidden="true" customHeight="true" outlineLevel="1" collapsed="false">
      <c r="E160" s="14" t="s">
        <v>161</v>
      </c>
      <c r="H160" s="21"/>
      <c r="I160" s="21"/>
      <c r="J160" s="21"/>
      <c r="K160" s="21"/>
      <c r="L160" s="90" t="n">
        <f aca="false">L159</f>
        <v>-0.185251977777778</v>
      </c>
      <c r="M160" s="90" t="n">
        <f aca="false">L160+M159</f>
        <v>-1.5247089</v>
      </c>
      <c r="N160" s="90" t="n">
        <f aca="false">M160+N159</f>
        <v>-1.5247089</v>
      </c>
      <c r="O160" s="90" t="n">
        <f aca="false">N160+O159</f>
        <v>-1.5247089</v>
      </c>
      <c r="P160" s="90" t="n">
        <f aca="false">O160+P159</f>
        <v>-1.5247089</v>
      </c>
      <c r="Q160" s="146" t="n">
        <f aca="false">P160</f>
        <v>-1.5247089</v>
      </c>
      <c r="R160" s="145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  <c r="BL160" s="21"/>
      <c r="BM160" s="21"/>
      <c r="BN160" s="21"/>
      <c r="BO160" s="21"/>
      <c r="BP160" s="21"/>
      <c r="BQ160" s="21"/>
      <c r="BR160" s="21"/>
      <c r="BS160" s="21"/>
      <c r="BT160" s="21"/>
      <c r="BU160" s="21"/>
      <c r="BV160" s="21"/>
      <c r="BW160" s="21"/>
      <c r="BX160" s="21"/>
      <c r="BY160" s="21"/>
      <c r="BZ160" s="21"/>
      <c r="CA160" s="21"/>
    </row>
    <row r="161" s="14" customFormat="true" ht="16.5" hidden="true" customHeight="true" outlineLevel="1" collapsed="false">
      <c r="E161" s="14" t="s">
        <v>162</v>
      </c>
      <c r="H161" s="21"/>
      <c r="I161" s="21"/>
      <c r="J161" s="21"/>
      <c r="K161" s="21"/>
      <c r="L161" s="148" t="n">
        <f aca="false">IF(L160&lt;0,1,0)</f>
        <v>1</v>
      </c>
      <c r="M161" s="148" t="n">
        <f aca="false">IF(M160&lt;0,1,IF(AND(L160&lt;0,M159&gt;0),-L160/M159,0))</f>
        <v>1</v>
      </c>
      <c r="N161" s="148" t="n">
        <f aca="false">IF(N160&lt;0,1,IF(AND(M160&lt;0,N159&gt;0),-M160/N159,0))</f>
        <v>1</v>
      </c>
      <c r="O161" s="148" t="n">
        <f aca="false">IF(O160&lt;0,1,IF(AND(N160&lt;0,O159&gt;0),-N160/O159,0))</f>
        <v>1</v>
      </c>
      <c r="P161" s="148" t="n">
        <f aca="false">IF(P160&lt;0,1,IF(AND(O160&lt;0,P159&gt;0),-O160/P159,0))</f>
        <v>1</v>
      </c>
      <c r="Q161" s="90"/>
      <c r="R161" s="145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  <c r="AZ161" s="21"/>
      <c r="BA161" s="21"/>
      <c r="BB161" s="21"/>
      <c r="BC161" s="21"/>
      <c r="BD161" s="21"/>
      <c r="BE161" s="21"/>
      <c r="BF161" s="21"/>
      <c r="BG161" s="21"/>
      <c r="BH161" s="21"/>
      <c r="BI161" s="21"/>
      <c r="BJ161" s="21"/>
      <c r="BK161" s="21"/>
      <c r="BL161" s="21"/>
      <c r="BM161" s="21"/>
      <c r="BN161" s="21"/>
      <c r="BO161" s="21"/>
      <c r="BP161" s="21"/>
      <c r="BQ161" s="21"/>
      <c r="BR161" s="21"/>
      <c r="BS161" s="21"/>
      <c r="BT161" s="21"/>
      <c r="BU161" s="21"/>
      <c r="BV161" s="21"/>
      <c r="BW161" s="21"/>
      <c r="BX161" s="21"/>
      <c r="BY161" s="21"/>
      <c r="BZ161" s="21"/>
      <c r="CA161" s="21"/>
    </row>
    <row r="162" s="14" customFormat="true" ht="16.5" hidden="true" customHeight="true" outlineLevel="1" collapsed="false">
      <c r="H162" s="21"/>
      <c r="I162" s="21"/>
      <c r="J162" s="21"/>
      <c r="K162" s="21"/>
      <c r="R162" s="145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1"/>
      <c r="AY162" s="21"/>
      <c r="AZ162" s="21"/>
      <c r="BA162" s="21"/>
      <c r="BB162" s="21"/>
      <c r="BC162" s="21"/>
      <c r="BD162" s="21"/>
      <c r="BE162" s="21"/>
      <c r="BF162" s="21"/>
      <c r="BG162" s="21"/>
      <c r="BH162" s="21"/>
      <c r="BI162" s="21"/>
      <c r="BJ162" s="21"/>
      <c r="BK162" s="21"/>
      <c r="BL162" s="21"/>
      <c r="BM162" s="21"/>
      <c r="BN162" s="21"/>
      <c r="BO162" s="21"/>
      <c r="BP162" s="21"/>
      <c r="BQ162" s="21"/>
      <c r="BR162" s="21"/>
      <c r="BS162" s="21"/>
      <c r="BT162" s="21"/>
      <c r="BU162" s="21"/>
      <c r="BV162" s="21"/>
      <c r="BW162" s="21"/>
      <c r="BX162" s="21"/>
      <c r="BY162" s="21"/>
      <c r="BZ162" s="21"/>
      <c r="CA162" s="21"/>
    </row>
    <row r="163" s="14" customFormat="true" ht="16.5" hidden="true" customHeight="true" outlineLevel="1" collapsed="false">
      <c r="E163" s="21" t="s">
        <v>402</v>
      </c>
      <c r="F163" s="150" t="s">
        <v>403</v>
      </c>
      <c r="G163" s="148" t="n">
        <f aca="false">IFERROR(K117/-SUM(L149:P149),"n/a")</f>
        <v>0</v>
      </c>
      <c r="H163" s="21"/>
      <c r="I163" s="21"/>
      <c r="J163" s="21"/>
      <c r="K163" s="21"/>
      <c r="R163" s="145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  <c r="BC163" s="21"/>
      <c r="BD163" s="21"/>
      <c r="BE163" s="21"/>
      <c r="BF163" s="21"/>
      <c r="BG163" s="21"/>
      <c r="BH163" s="21"/>
      <c r="BI163" s="21"/>
      <c r="BJ163" s="21"/>
      <c r="BK163" s="21"/>
      <c r="BL163" s="21"/>
      <c r="BM163" s="21"/>
      <c r="BN163" s="21"/>
      <c r="BO163" s="21"/>
      <c r="BP163" s="21"/>
      <c r="BQ163" s="21"/>
      <c r="BR163" s="21"/>
      <c r="BS163" s="21"/>
      <c r="BT163" s="21"/>
      <c r="BU163" s="21"/>
      <c r="BV163" s="21"/>
      <c r="BW163" s="21"/>
      <c r="BX163" s="21"/>
      <c r="BY163" s="21"/>
      <c r="BZ163" s="21"/>
      <c r="CA163" s="21"/>
    </row>
    <row r="164" s="14" customFormat="true" ht="16.5" hidden="true" customHeight="true" outlineLevel="1" collapsed="false">
      <c r="E164" s="21" t="s">
        <v>404</v>
      </c>
      <c r="F164" s="150" t="s">
        <v>405</v>
      </c>
      <c r="G164" s="226" t="str">
        <f aca="false">IFERROR(IRR($L$159:$P$159, 0.2),"n/a")</f>
        <v>n/a</v>
      </c>
      <c r="H164" s="21"/>
      <c r="I164" s="21"/>
      <c r="J164" s="21"/>
      <c r="K164" s="21"/>
      <c r="R164" s="145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  <c r="AZ164" s="21"/>
      <c r="BA164" s="21"/>
      <c r="BB164" s="21"/>
      <c r="BC164" s="21"/>
      <c r="BD164" s="21"/>
      <c r="BE164" s="21"/>
      <c r="BF164" s="21"/>
      <c r="BG164" s="21"/>
      <c r="BH164" s="21"/>
      <c r="BI164" s="21"/>
      <c r="BJ164" s="21"/>
      <c r="BK164" s="21"/>
      <c r="BL164" s="21"/>
      <c r="BM164" s="21"/>
      <c r="BN164" s="21"/>
      <c r="BO164" s="21"/>
      <c r="BP164" s="21"/>
      <c r="BQ164" s="21"/>
      <c r="BR164" s="21"/>
      <c r="BS164" s="21"/>
      <c r="BT164" s="21"/>
      <c r="BU164" s="21"/>
      <c r="BV164" s="21"/>
      <c r="BW164" s="21"/>
      <c r="BX164" s="21"/>
      <c r="BY164" s="21"/>
      <c r="BZ164" s="21"/>
      <c r="CA164" s="21"/>
    </row>
    <row r="165" s="14" customFormat="true" ht="16.5" hidden="true" customHeight="true" outlineLevel="1" collapsed="false">
      <c r="E165" s="21" t="s">
        <v>406</v>
      </c>
      <c r="F165" s="150" t="s">
        <v>166</v>
      </c>
      <c r="G165" s="148" t="str">
        <f aca="false">IF(SUM(L161:P161)=5,"&gt;5",SUM(L161:P161))</f>
        <v>&gt;5</v>
      </c>
      <c r="H165" s="21"/>
      <c r="I165" s="21"/>
      <c r="J165" s="21"/>
      <c r="K165" s="21"/>
      <c r="R165" s="145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  <c r="AZ165" s="21"/>
      <c r="BA165" s="21"/>
      <c r="BB165" s="21"/>
      <c r="BC165" s="21"/>
      <c r="BD165" s="21"/>
      <c r="BE165" s="21"/>
      <c r="BF165" s="21"/>
      <c r="BG165" s="21"/>
      <c r="BH165" s="21"/>
      <c r="BI165" s="21"/>
      <c r="BJ165" s="21"/>
      <c r="BK165" s="21"/>
      <c r="BL165" s="21"/>
      <c r="BM165" s="21"/>
      <c r="BN165" s="21"/>
      <c r="BO165" s="21"/>
      <c r="BP165" s="21"/>
      <c r="BQ165" s="21"/>
      <c r="BR165" s="21"/>
      <c r="BS165" s="21"/>
      <c r="BT165" s="21"/>
      <c r="BU165" s="21"/>
      <c r="BV165" s="21"/>
      <c r="BW165" s="21"/>
      <c r="BX165" s="21"/>
      <c r="BY165" s="21"/>
      <c r="BZ165" s="21"/>
      <c r="CA165" s="21"/>
    </row>
    <row r="166" s="14" customFormat="true" ht="16.5" hidden="true" customHeight="true" outlineLevel="1" collapsed="false">
      <c r="E166" s="21"/>
      <c r="F166" s="150"/>
      <c r="G166" s="148"/>
      <c r="H166" s="21"/>
      <c r="I166" s="21"/>
      <c r="J166" s="21"/>
      <c r="K166" s="21"/>
      <c r="R166" s="145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  <c r="AZ166" s="21"/>
      <c r="BA166" s="21"/>
      <c r="BB166" s="21"/>
      <c r="BC166" s="21"/>
      <c r="BD166" s="21"/>
      <c r="BE166" s="21"/>
      <c r="BF166" s="21"/>
      <c r="BG166" s="21"/>
      <c r="BH166" s="21"/>
      <c r="BI166" s="21"/>
      <c r="BJ166" s="21"/>
      <c r="BK166" s="21"/>
      <c r="BL166" s="21"/>
      <c r="BM166" s="21"/>
      <c r="BN166" s="21"/>
      <c r="BO166" s="21"/>
      <c r="BP166" s="21"/>
      <c r="BQ166" s="21"/>
      <c r="BR166" s="21"/>
      <c r="BS166" s="21"/>
      <c r="BT166" s="21"/>
      <c r="BU166" s="21"/>
      <c r="BV166" s="21"/>
      <c r="BW166" s="21"/>
      <c r="BX166" s="21"/>
      <c r="BY166" s="21"/>
      <c r="BZ166" s="21"/>
      <c r="CA166" s="21"/>
    </row>
    <row r="167" s="14" customFormat="true" ht="16.5" hidden="true" customHeight="true" outlineLevel="1" collapsed="false">
      <c r="E167" s="21" t="s">
        <v>163</v>
      </c>
      <c r="G167" s="149" t="n">
        <v>0.095</v>
      </c>
      <c r="H167" s="21"/>
      <c r="I167" s="21"/>
      <c r="J167" s="21"/>
      <c r="K167" s="21"/>
      <c r="R167" s="145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  <c r="AY167" s="21"/>
      <c r="AZ167" s="21"/>
      <c r="BA167" s="21"/>
      <c r="BB167" s="21"/>
      <c r="BC167" s="21"/>
      <c r="BD167" s="21"/>
      <c r="BE167" s="21"/>
      <c r="BF167" s="21"/>
      <c r="BG167" s="21"/>
      <c r="BH167" s="21"/>
      <c r="BI167" s="21"/>
      <c r="BJ167" s="21"/>
      <c r="BK167" s="21"/>
      <c r="BL167" s="21"/>
      <c r="BM167" s="21"/>
      <c r="BN167" s="21"/>
      <c r="BO167" s="21"/>
      <c r="BP167" s="21"/>
      <c r="BQ167" s="21"/>
      <c r="BR167" s="21"/>
      <c r="BS167" s="21"/>
      <c r="BT167" s="21"/>
      <c r="BU167" s="21"/>
      <c r="BV167" s="21"/>
      <c r="BW167" s="21"/>
      <c r="BX167" s="21"/>
      <c r="BY167" s="21"/>
      <c r="BZ167" s="21"/>
      <c r="CA167" s="21"/>
    </row>
    <row r="168" s="14" customFormat="true" ht="16.5" hidden="true" customHeight="true" outlineLevel="1" collapsed="false">
      <c r="E168" s="21" t="s">
        <v>164</v>
      </c>
      <c r="F168" s="150" t="s">
        <v>165</v>
      </c>
      <c r="G168" s="90" t="n">
        <f aca="false">SUM(L168:P168)</f>
        <v>-1.28630165166605</v>
      </c>
      <c r="H168" s="21"/>
      <c r="I168" s="21"/>
      <c r="J168" s="21"/>
      <c r="K168" s="21"/>
      <c r="L168" s="90" t="n">
        <f aca="false">L159/(1+$G$167)^L$1</f>
        <v>-0.169179888381532</v>
      </c>
      <c r="M168" s="90" t="n">
        <f aca="false">M159/(1+$G$167)^M$1</f>
        <v>-1.11712176328452</v>
      </c>
      <c r="N168" s="90" t="n">
        <f aca="false">N159/(1+$G$167)^N$1</f>
        <v>0</v>
      </c>
      <c r="O168" s="90" t="n">
        <f aca="false">O159/(1+$G$167)^O$1</f>
        <v>0</v>
      </c>
      <c r="P168" s="90" t="n">
        <f aca="false">P159/(1+$G$167)^P$1</f>
        <v>0</v>
      </c>
      <c r="Q168" s="90" t="n">
        <f aca="false">SUM(L168:P168)</f>
        <v>-1.28630165166605</v>
      </c>
      <c r="R168" s="145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  <c r="AZ168" s="21"/>
      <c r="BA168" s="21"/>
      <c r="BB168" s="21"/>
      <c r="BC168" s="21"/>
      <c r="BD168" s="21"/>
      <c r="BE168" s="21"/>
      <c r="BF168" s="21"/>
      <c r="BG168" s="21"/>
      <c r="BH168" s="21"/>
      <c r="BI168" s="21"/>
      <c r="BJ168" s="21"/>
      <c r="BK168" s="21"/>
      <c r="BL168" s="21"/>
      <c r="BM168" s="21"/>
      <c r="BN168" s="21"/>
      <c r="BO168" s="21"/>
      <c r="BP168" s="21"/>
      <c r="BQ168" s="21"/>
      <c r="BR168" s="21"/>
      <c r="BS168" s="21"/>
      <c r="BT168" s="21"/>
      <c r="BU168" s="21"/>
      <c r="BV168" s="21"/>
      <c r="BW168" s="21"/>
      <c r="BX168" s="21"/>
      <c r="BY168" s="21"/>
      <c r="BZ168" s="21"/>
      <c r="CA168" s="21"/>
    </row>
    <row r="169" s="14" customFormat="true" ht="16.5" hidden="true" customHeight="true" outlineLevel="1" collapsed="false">
      <c r="Q169" s="16"/>
      <c r="R169" s="16"/>
    </row>
    <row r="170" s="14" customFormat="true" ht="16.5" hidden="false" customHeight="true" outlineLevel="0" collapsed="false">
      <c r="Q170" s="16"/>
      <c r="R170" s="16"/>
    </row>
    <row r="171" s="14" customFormat="true" ht="16.5" hidden="false" customHeight="true" outlineLevel="0" collapsed="false">
      <c r="C171" s="19" t="s">
        <v>168</v>
      </c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20"/>
      <c r="R171" s="20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  <c r="AL171" s="19"/>
      <c r="AM171" s="19"/>
      <c r="AN171" s="19"/>
      <c r="AO171" s="19"/>
      <c r="AP171" s="19"/>
      <c r="AQ171" s="19"/>
      <c r="AR171" s="19"/>
      <c r="AS171" s="19"/>
      <c r="AT171" s="19"/>
      <c r="AU171" s="19"/>
      <c r="AV171" s="19"/>
      <c r="AW171" s="19"/>
      <c r="AX171" s="19"/>
      <c r="AY171" s="19"/>
      <c r="AZ171" s="19"/>
      <c r="BA171" s="19"/>
      <c r="BB171" s="19"/>
      <c r="BC171" s="19"/>
      <c r="BD171" s="19"/>
      <c r="BE171" s="19"/>
      <c r="BF171" s="19"/>
      <c r="BG171" s="19"/>
      <c r="BH171" s="19"/>
      <c r="BI171" s="19"/>
      <c r="BJ171" s="19"/>
      <c r="BK171" s="19"/>
      <c r="BL171" s="19"/>
      <c r="BM171" s="19"/>
      <c r="BN171" s="19"/>
      <c r="BO171" s="19"/>
      <c r="BP171" s="19"/>
      <c r="BQ171" s="19"/>
      <c r="BR171" s="19"/>
      <c r="BS171" s="19"/>
      <c r="BT171" s="19"/>
      <c r="BU171" s="19"/>
      <c r="BV171" s="19"/>
      <c r="BW171" s="19"/>
      <c r="BX171" s="19"/>
      <c r="BY171" s="19"/>
      <c r="BZ171" s="19"/>
      <c r="CA171" s="19"/>
      <c r="CB171" s="19"/>
      <c r="CC171" s="19"/>
      <c r="CD171" s="19"/>
      <c r="CE171" s="19"/>
      <c r="CF171" s="19"/>
      <c r="CG171" s="19"/>
      <c r="CH171" s="19"/>
      <c r="CI171" s="19"/>
      <c r="CJ171" s="19"/>
      <c r="CK171" s="19"/>
      <c r="CL171" s="19"/>
      <c r="CM171" s="19"/>
    </row>
  </sheetData>
  <mergeCells count="3">
    <mergeCell ref="F8:J10"/>
    <mergeCell ref="CI62:CM62"/>
    <mergeCell ref="CI90:CM90"/>
  </mergeCells>
  <conditionalFormatting sqref="J26">
    <cfRule type="expression" priority="2" aboveAverage="0" equalAverage="0" bottom="0" percent="0" rank="0" text="" dxfId="0">
      <formula>AND($F26="Yes")</formula>
    </cfRule>
    <cfRule type="expression" priority="3" aboveAverage="0" equalAverage="0" bottom="0" percent="0" rank="0" text="" dxfId="1">
      <formula>AND($F26="No")</formula>
    </cfRule>
  </conditionalFormatting>
  <conditionalFormatting sqref="T79:CA86">
    <cfRule type="expression" priority="4" aboveAverage="0" equalAverage="0" bottom="0" percent="0" rank="0" text="" dxfId="0">
      <formula>AND($F79="Yes")</formula>
    </cfRule>
    <cfRule type="expression" priority="5" aboveAverage="0" equalAverage="0" bottom="0" percent="0" rank="0" text="" dxfId="1">
      <formula>AND($F79="No")</formula>
    </cfRule>
  </conditionalFormatting>
  <conditionalFormatting sqref="I84:P86">
    <cfRule type="expression" priority="6" aboveAverage="0" equalAverage="0" bottom="0" percent="0" rank="0" text="" dxfId="0">
      <formula>AND($F84="Yes")</formula>
    </cfRule>
    <cfRule type="expression" priority="7" aboveAverage="0" equalAverage="0" bottom="0" percent="0" rank="0" text="" dxfId="1">
      <formula>AND($F84="No")</formula>
    </cfRule>
  </conditionalFormatting>
  <conditionalFormatting sqref="I112:K113">
    <cfRule type="expression" priority="8" aboveAverage="0" equalAverage="0" bottom="0" percent="0" rank="0" text="" dxfId="0">
      <formula>AND($F112="Yes")</formula>
    </cfRule>
    <cfRule type="expression" priority="9" aboveAverage="0" equalAverage="0" bottom="0" percent="0" rank="0" text="" dxfId="1">
      <formula>AND($F112="No")</formula>
    </cfRule>
  </conditionalFormatting>
  <conditionalFormatting sqref="E94:E95">
    <cfRule type="expression" priority="10" aboveAverage="0" equalAverage="0" bottom="0" percent="0" rank="0" text="" dxfId="0">
      <formula>AND($F94="Yes")</formula>
    </cfRule>
    <cfRule type="expression" priority="11" aboveAverage="0" equalAverage="0" bottom="0" percent="0" rank="0" text="" dxfId="1">
      <formula>AND($F94="No")</formula>
    </cfRule>
  </conditionalFormatting>
  <conditionalFormatting sqref="E107:E111">
    <cfRule type="expression" priority="12" aboveAverage="0" equalAverage="0" bottom="0" percent="0" rank="0" text="" dxfId="0">
      <formula>AND($F107="Yes")</formula>
    </cfRule>
    <cfRule type="expression" priority="13" aboveAverage="0" equalAverage="0" bottom="0" percent="0" rank="0" text="" dxfId="1">
      <formula>AND($F107="No")</formula>
    </cfRule>
  </conditionalFormatting>
  <conditionalFormatting sqref="E141:E143">
    <cfRule type="expression" priority="14" aboveAverage="0" equalAverage="0" bottom="0" percent="0" rank="0" text="" dxfId="0">
      <formula>AND($F141="Yes")</formula>
    </cfRule>
    <cfRule type="expression" priority="15" aboveAverage="0" equalAverage="0" bottom="0" percent="0" rank="0" text="" dxfId="1">
      <formula>AND($F141="No")</formula>
    </cfRule>
  </conditionalFormatting>
  <conditionalFormatting sqref="E136:E137">
    <cfRule type="expression" priority="16" aboveAverage="0" equalAverage="0" bottom="0" percent="0" rank="0" text="" dxfId="0">
      <formula>AND($F136="Yes")</formula>
    </cfRule>
    <cfRule type="expression" priority="17" aboveAverage="0" equalAverage="0" bottom="0" percent="0" rank="0" text="" dxfId="1">
      <formula>AND($F136="No")</formula>
    </cfRule>
  </conditionalFormatting>
  <conditionalFormatting sqref="E126:E127">
    <cfRule type="expression" priority="18" aboveAverage="0" equalAverage="0" bottom="0" percent="0" rank="0" text="" dxfId="0">
      <formula>AND($F126="Yes")</formula>
    </cfRule>
    <cfRule type="expression" priority="19" aboveAverage="0" equalAverage="0" bottom="0" percent="0" rank="0" text="" dxfId="1">
      <formula>AND($F126="No")</formula>
    </cfRule>
  </conditionalFormatting>
  <conditionalFormatting sqref="E66:E67">
    <cfRule type="expression" priority="20" aboveAverage="0" equalAverage="0" bottom="0" percent="0" rank="0" text="" dxfId="0">
      <formula>AND($F66="Yes")</formula>
    </cfRule>
    <cfRule type="expression" priority="21" aboveAverage="0" equalAverage="0" bottom="0" percent="0" rank="0" text="" dxfId="1">
      <formula>AND($F66="No")</formula>
    </cfRule>
  </conditionalFormatting>
  <conditionalFormatting sqref="CJ152:CM152">
    <cfRule type="containsText" priority="22" operator="containsText" aboveAverage="0" equalAverage="0" bottom="0" percent="0" rank="0" text="FALSE" dxfId="2">
      <formula>NOT(ISERROR(SEARCH("FALSE",CJ152)))</formula>
    </cfRule>
  </conditionalFormatting>
  <conditionalFormatting sqref="Q141:Q143">
    <cfRule type="containsText" priority="23" operator="containsText" aboveAverage="0" equalAverage="0" bottom="0" percent="0" rank="0" text="Error" dxfId="2">
      <formula>NOT(ISERROR(SEARCH("Error",Q141)))</formula>
    </cfRule>
    <cfRule type="containsText" priority="24" operator="containsText" aboveAverage="0" equalAverage="0" bottom="0" percent="0" rank="0" text="FALSE" dxfId="2">
      <formula>NOT(ISERROR(SEARCH("FALSE",Q141)))</formula>
    </cfRule>
  </conditionalFormatting>
  <conditionalFormatting sqref="Q136:Q137">
    <cfRule type="containsText" priority="25" operator="containsText" aboveAverage="0" equalAverage="0" bottom="0" percent="0" rank="0" text="Error" dxfId="2">
      <formula>NOT(ISERROR(SEARCH("Error",Q136)))</formula>
    </cfRule>
    <cfRule type="containsText" priority="26" operator="containsText" aboveAverage="0" equalAverage="0" bottom="0" percent="0" rank="0" text="FALSE" dxfId="2">
      <formula>NOT(ISERROR(SEARCH("FALSE",Q136)))</formula>
    </cfRule>
  </conditionalFormatting>
  <conditionalFormatting sqref="Q126:Q127">
    <cfRule type="containsText" priority="27" operator="containsText" aboveAverage="0" equalAverage="0" bottom="0" percent="0" rank="0" text="Error" dxfId="2">
      <formula>NOT(ISERROR(SEARCH("Error",Q126)))</formula>
    </cfRule>
    <cfRule type="containsText" priority="28" operator="containsText" aboveAverage="0" equalAverage="0" bottom="0" percent="0" rank="0" text="FALSE" dxfId="2">
      <formula>NOT(ISERROR(SEARCH("FALSE",Q126)))</formula>
    </cfRule>
  </conditionalFormatting>
  <conditionalFormatting sqref="J56:J57">
    <cfRule type="expression" priority="29" aboveAverage="0" equalAverage="0" bottom="0" percent="0" rank="0" text="" dxfId="0">
      <formula>AND($F56="Yes")</formula>
    </cfRule>
    <cfRule type="expression" priority="30" aboveAverage="0" equalAverage="0" bottom="0" percent="0" rank="0" text="" dxfId="1">
      <formula>AND($F56="No")</formula>
    </cfRule>
  </conditionalFormatting>
  <conditionalFormatting sqref="J46:J47 J51">
    <cfRule type="expression" priority="31" aboveAverage="0" equalAverage="0" bottom="0" percent="0" rank="0" text="" dxfId="0">
      <formula>AND($F46="Yes")</formula>
    </cfRule>
    <cfRule type="expression" priority="32" aboveAverage="0" equalAverage="0" bottom="0" percent="0" rank="0" text="" dxfId="1">
      <formula>AND($F46="No")</formula>
    </cfRule>
  </conditionalFormatting>
  <conditionalFormatting sqref="J52">
    <cfRule type="expression" priority="33" aboveAverage="0" equalAverage="0" bottom="0" percent="0" rank="0" text="" dxfId="0">
      <formula>AND(#ref!="Yes")</formula>
    </cfRule>
    <cfRule type="expression" priority="34" aboveAverage="0" equalAverage="0" bottom="0" percent="0" rank="0" text="" dxfId="1">
      <formula>AND(#ref!="No")</formula>
    </cfRule>
  </conditionalFormatting>
  <conditionalFormatting sqref="J42:J43">
    <cfRule type="expression" priority="35" aboveAverage="0" equalAverage="0" bottom="0" percent="0" rank="0" text="" dxfId="0">
      <formula>AND($F42="Yes")</formula>
    </cfRule>
    <cfRule type="expression" priority="36" aboveAverage="0" equalAverage="0" bottom="0" percent="0" rank="0" text="" dxfId="1">
      <formula>AND($F42="No")</formula>
    </cfRule>
  </conditionalFormatting>
  <conditionalFormatting sqref="J32:J33 J37">
    <cfRule type="expression" priority="37" aboveAverage="0" equalAverage="0" bottom="0" percent="0" rank="0" text="" dxfId="0">
      <formula>AND($F32="Yes")</formula>
    </cfRule>
    <cfRule type="expression" priority="38" aboveAverage="0" equalAverage="0" bottom="0" percent="0" rank="0" text="" dxfId="1">
      <formula>AND($F32="No")</formula>
    </cfRule>
  </conditionalFormatting>
  <conditionalFormatting sqref="J38">
    <cfRule type="expression" priority="39" aboveAverage="0" equalAverage="0" bottom="0" percent="0" rank="0" text="" dxfId="0">
      <formula>AND(#ref!="Yes")</formula>
    </cfRule>
    <cfRule type="expression" priority="40" aboveAverage="0" equalAverage="0" bottom="0" percent="0" rank="0" text="" dxfId="1">
      <formula>AND(#ref!="No")</formula>
    </cfRule>
  </conditionalFormatting>
  <conditionalFormatting sqref="CJ171:CM171">
    <cfRule type="containsText" priority="41" operator="containsText" aboveAverage="0" equalAverage="0" bottom="0" percent="0" rank="0" text="FALSE" dxfId="2">
      <formula>NOT(ISERROR(SEARCH("FALSE",CJ171)))</formula>
    </cfRule>
  </conditionalFormatting>
  <conditionalFormatting sqref="CJ120:CM120">
    <cfRule type="containsText" priority="42" operator="containsText" aboveAverage="0" equalAverage="0" bottom="0" percent="0" rank="0" text="FALSE" dxfId="2">
      <formula>NOT(ISERROR(SEARCH("FALSE",CJ120)))</formula>
    </cfRule>
  </conditionalFormatting>
  <conditionalFormatting sqref="P18:P21">
    <cfRule type="containsText" priority="43" operator="containsText" aboveAverage="0" equalAverage="0" bottom="0" percent="0" rank="0" text="PASS" dxfId="3">
      <formula>NOT(ISERROR(SEARCH("PASS",P18)))</formula>
    </cfRule>
  </conditionalFormatting>
  <conditionalFormatting sqref="CI141:CM144">
    <cfRule type="expression" priority="44" aboveAverage="0" equalAverage="0" bottom="0" percent="0" rank="0" text="" dxfId="0">
      <formula>AND($F141="Yes")</formula>
    </cfRule>
    <cfRule type="expression" priority="45" aboveAverage="0" equalAverage="0" bottom="0" percent="0" rank="0" text="" dxfId="1">
      <formula>AND($F141="No")</formula>
    </cfRule>
  </conditionalFormatting>
  <conditionalFormatting sqref="CI136:CM138">
    <cfRule type="expression" priority="46" aboveAverage="0" equalAverage="0" bottom="0" percent="0" rank="0" text="" dxfId="0">
      <formula>AND($F136="Yes")</formula>
    </cfRule>
    <cfRule type="expression" priority="47" aboveAverage="0" equalAverage="0" bottom="0" percent="0" rank="0" text="" dxfId="1">
      <formula>AND($F136="No")</formula>
    </cfRule>
  </conditionalFormatting>
  <conditionalFormatting sqref="CC141:CG144">
    <cfRule type="expression" priority="48" aboveAverage="0" equalAverage="0" bottom="0" percent="0" rank="0" text="" dxfId="0">
      <formula>AND($F141="Yes")</formula>
    </cfRule>
    <cfRule type="expression" priority="49" aboveAverage="0" equalAverage="0" bottom="0" percent="0" rank="0" text="" dxfId="1">
      <formula>AND($F141="No")</formula>
    </cfRule>
  </conditionalFormatting>
  <conditionalFormatting sqref="CC136:CG138">
    <cfRule type="expression" priority="50" aboveAverage="0" equalAverage="0" bottom="0" percent="0" rank="0" text="" dxfId="0">
      <formula>AND($F136="Yes")</formula>
    </cfRule>
    <cfRule type="expression" priority="51" aboveAverage="0" equalAverage="0" bottom="0" percent="0" rank="0" text="" dxfId="1">
      <formula>AND($F136="No")</formula>
    </cfRule>
  </conditionalFormatting>
  <conditionalFormatting sqref="V112:CA113">
    <cfRule type="expression" priority="52" aboveAverage="0" equalAverage="0" bottom="0" percent="0" rank="0" text="" dxfId="0">
      <formula>AND($F112="Yes")</formula>
    </cfRule>
    <cfRule type="expression" priority="53" aboveAverage="0" equalAverage="0" bottom="0" percent="0" rank="0" text="" dxfId="1">
      <formula>AND($F112="No")</formula>
    </cfRule>
  </conditionalFormatting>
  <conditionalFormatting sqref="T136:CA138">
    <cfRule type="expression" priority="54" aboveAverage="0" equalAverage="0" bottom="0" percent="0" rank="0" text="" dxfId="0">
      <formula>AND($F136="Yes")</formula>
    </cfRule>
    <cfRule type="expression" priority="55" aboveAverage="0" equalAverage="0" bottom="0" percent="0" rank="0" text="" dxfId="1">
      <formula>AND($F136="No")</formula>
    </cfRule>
  </conditionalFormatting>
  <conditionalFormatting sqref="V85:CA85">
    <cfRule type="expression" priority="56" aboveAverage="0" equalAverage="0" bottom="0" percent="0" rank="0" text="" dxfId="0">
      <formula>AND($F85="Yes")</formula>
    </cfRule>
    <cfRule type="expression" priority="57" aboveAverage="0" equalAverage="0" bottom="0" percent="0" rank="0" text="" dxfId="1">
      <formula>AND($F85="No")</formula>
    </cfRule>
  </conditionalFormatting>
  <conditionalFormatting sqref="T141:CA146">
    <cfRule type="expression" priority="58" aboveAverage="0" equalAverage="0" bottom="0" percent="0" rank="0" text="" dxfId="0">
      <formula>AND($F141="Yes")</formula>
    </cfRule>
    <cfRule type="expression" priority="59" aboveAverage="0" equalAverage="0" bottom="0" percent="0" rank="0" text="" dxfId="1">
      <formula>AND($F141="No")</formula>
    </cfRule>
  </conditionalFormatting>
  <conditionalFormatting sqref="Q63:R113 Q123">
    <cfRule type="containsText" priority="60" operator="containsText" aboveAverage="0" equalAverage="0" bottom="0" percent="0" rank="0" text="Error" dxfId="2">
      <formula>NOT(ISERROR(SEARCH("Error",Q63)))</formula>
    </cfRule>
  </conditionalFormatting>
  <conditionalFormatting sqref="Q66:R90 Q92:R113 CI66:CM119 CI121:CM149">
    <cfRule type="containsText" priority="61" operator="containsText" aboveAverage="0" equalAverage="0" bottom="0" percent="0" rank="0" text="FALSE" dxfId="2">
      <formula>NOT(ISERROR(SEARCH("FALSE",Q66)))</formula>
    </cfRule>
  </conditionalFormatting>
  <conditionalFormatting sqref="L136:P138">
    <cfRule type="expression" priority="62" aboveAverage="0" equalAverage="0" bottom="0" percent="0" rank="0" text="" dxfId="0">
      <formula>AND($F136="Yes")</formula>
    </cfRule>
    <cfRule type="expression" priority="63" aboveAverage="0" equalAverage="0" bottom="0" percent="0" rank="0" text="" dxfId="1">
      <formula>AND($F136="No")</formula>
    </cfRule>
  </conditionalFormatting>
  <conditionalFormatting sqref="Q117:R117">
    <cfRule type="containsText" priority="64" operator="containsText" aboveAverage="0" equalAverage="0" bottom="0" percent="0" rank="0" text="Error" dxfId="2">
      <formula>NOT(ISERROR(SEARCH("Error",Q117)))</formula>
    </cfRule>
    <cfRule type="containsText" priority="65" operator="containsText" aboveAverage="0" equalAverage="0" bottom="0" percent="0" rank="0" text="FALSE" dxfId="2">
      <formula>NOT(ISERROR(SEARCH("FALSE",Q117)))</formula>
    </cfRule>
  </conditionalFormatting>
  <conditionalFormatting sqref="I96:K96">
    <cfRule type="expression" priority="66" aboveAverage="0" equalAverage="0" bottom="0" percent="0" rank="0" text="" dxfId="0">
      <formula>AND($F96="Yes")</formula>
    </cfRule>
    <cfRule type="expression" priority="67" aboveAverage="0" equalAverage="0" bottom="0" percent="0" rank="0" text="" dxfId="1">
      <formula>AND($F96="No")</formula>
    </cfRule>
  </conditionalFormatting>
  <conditionalFormatting sqref="I104:K104">
    <cfRule type="expression" priority="68" aboveAverage="0" equalAverage="0" bottom="0" percent="0" rank="0" text="" dxfId="0">
      <formula>AND($F104="Yes")</formula>
    </cfRule>
    <cfRule type="expression" priority="69" aboveAverage="0" equalAverage="0" bottom="0" percent="0" rank="0" text="" dxfId="1">
      <formula>AND($F104="No")</formula>
    </cfRule>
  </conditionalFormatting>
  <conditionalFormatting sqref="E71:E75 E79:E83 E99:E103 F6:G6 I66:J67 I71:J75 I79:J83 I94:J95 I99:J103 I107:J111 J18:J21 J29 L66:P67 L71:P75 L79:P83 L94:P96 L99:P104 L107:P113 L126:P129 L141:P146 T66:CA68 T71:CA76 T94:CA96 T99:CA104 T107:CA113 T126:CA129 CC66:CG68 CC71:CG76 CC79:CG86 CC94:CG96 CC99:CG104 CC107:CG113 CC126:CG128 CI66:CM68 CI71:CM76 CI79:CM86 CI94:CM96 CI99:CM104 CI107:CM113 CI126:CM128">
    <cfRule type="expression" priority="70" aboveAverage="0" equalAverage="0" bottom="0" percent="0" rank="0" text="" dxfId="0">
      <formula>AND($F6="Yes")</formula>
    </cfRule>
    <cfRule type="expression" priority="71" aboveAverage="0" equalAverage="0" bottom="0" percent="0" rank="0" text="" dxfId="1">
      <formula>AND($F6="No")</formula>
    </cfRule>
  </conditionalFormatting>
  <conditionalFormatting sqref="E97">
    <cfRule type="expression" priority="72" aboveAverage="0" equalAverage="0" bottom="0" percent="0" rank="0" text="" dxfId="4">
      <formula>AND($F97="Yes")</formula>
    </cfRule>
    <cfRule type="expression" priority="73" aboveAverage="0" equalAverage="0" bottom="0" percent="0" rank="0" text="" dxfId="5">
      <formula>AND($F97="No")</formula>
    </cfRule>
  </conditionalFormatting>
  <conditionalFormatting sqref="E114">
    <cfRule type="expression" priority="74" aboveAverage="0" equalAverage="0" bottom="0" percent="0" rank="0" text="" dxfId="4">
      <formula>AND($F114="Yes")</formula>
    </cfRule>
    <cfRule type="expression" priority="75" aboveAverage="0" equalAverage="0" bottom="0" percent="0" rank="0" text="" dxfId="5">
      <formula>AND($F114="No")</formula>
    </cfRule>
  </conditionalFormatting>
  <conditionalFormatting sqref="I68:P68">
    <cfRule type="expression" priority="76" aboveAverage="0" equalAverage="0" bottom="0" percent="0" rank="0" text="" dxfId="0">
      <formula>AND($F68="Yes")</formula>
    </cfRule>
    <cfRule type="expression" priority="77" aboveAverage="0" equalAverage="0" bottom="0" percent="0" rank="0" text="" dxfId="1">
      <formula>AND($F68="No")</formula>
    </cfRule>
  </conditionalFormatting>
  <conditionalFormatting sqref="D136:D137 E69 E132">
    <cfRule type="expression" priority="78" aboveAverage="0" equalAverage="0" bottom="0" percent="0" rank="0" text="" dxfId="4">
      <formula>AND($F69="Yes")</formula>
    </cfRule>
    <cfRule type="expression" priority="79" aboveAverage="0" equalAverage="0" bottom="0" percent="0" rank="0" text="" dxfId="5">
      <formula>AND($F69="No")</formula>
    </cfRule>
  </conditionalFormatting>
  <conditionalFormatting sqref="I76:P76">
    <cfRule type="expression" priority="80" aboveAverage="0" equalAverage="0" bottom="0" percent="0" rank="0" text="" dxfId="0">
      <formula>AND($F76="Yes")</formula>
    </cfRule>
    <cfRule type="expression" priority="81" aboveAverage="0" equalAverage="0" bottom="0" percent="0" rank="0" text="" dxfId="1">
      <formula>AND($F76="No")</formula>
    </cfRule>
  </conditionalFormatting>
  <conditionalFormatting sqref="E87">
    <cfRule type="expression" priority="82" aboveAverage="0" equalAverage="0" bottom="0" percent="0" rank="0" text="" dxfId="4">
      <formula>AND($F87="Yes")</formula>
    </cfRule>
    <cfRule type="expression" priority="83" aboveAverage="0" equalAverage="0" bottom="0" percent="0" rank="0" text="" dxfId="5">
      <formula>AND($F87="No")</formula>
    </cfRule>
  </conditionalFormatting>
  <conditionalFormatting sqref="G167 J24:J25">
    <cfRule type="expression" priority="84" aboveAverage="0" equalAverage="0" bottom="0" percent="0" rank="0" text="" dxfId="0">
      <formula>AND(#ref!="Yes")</formula>
    </cfRule>
    <cfRule type="expression" priority="85" aboveAverage="0" equalAverage="0" bottom="0" percent="0" rank="0" text="" dxfId="1">
      <formula>AND(#ref!="No")</formula>
    </cfRule>
  </conditionalFormatting>
  <printOptions headings="false" gridLines="false" gridLinesSet="true" horizontalCentered="true" verticalCentered="false"/>
  <pageMargins left="0.25" right="0.25" top="0.75" bottom="0.75" header="0.511811023622047" footer="0.511811023622047"/>
  <pageSetup paperSize="1" scale="27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C1:CM171"/>
  <sheetViews>
    <sheetView showFormulas="false" showGridLines="false" showRowColHeaders="true" showZeros="true" rightToLeft="false" tabSelected="false" showOutlineSymbols="true" defaultGridColor="true" view="normal" topLeftCell="A1" colorId="64" zoomScale="50" zoomScaleNormal="5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H18" activeCellId="0" sqref="H18"/>
    </sheetView>
  </sheetViews>
  <sheetFormatPr defaultColWidth="8.5390625" defaultRowHeight="14.25" zeroHeight="false" outlineLevelRow="1" outlineLevelCol="1"/>
  <cols>
    <col collapsed="false" customWidth="true" hidden="false" outlineLevel="0" max="4" min="1" style="0" width="2.81"/>
    <col collapsed="false" customWidth="true" hidden="false" outlineLevel="0" max="5" min="5" style="0" width="65.81"/>
    <col collapsed="false" customWidth="true" hidden="false" outlineLevel="0" max="6" min="6" style="0" width="16.54"/>
    <col collapsed="false" customWidth="true" hidden="false" outlineLevel="0" max="7" min="7" style="0" width="16.18"/>
    <col collapsed="false" customWidth="true" hidden="false" outlineLevel="0" max="8" min="8" style="0" width="22.45"/>
    <col collapsed="false" customWidth="true" hidden="false" outlineLevel="0" max="16" min="9" style="0" width="13.54"/>
    <col collapsed="false" customWidth="true" hidden="false" outlineLevel="0" max="17" min="17" style="13" width="13.54"/>
    <col collapsed="false" customWidth="true" hidden="false" outlineLevel="0" max="18" min="18" style="13" width="16.45"/>
    <col collapsed="false" customWidth="true" hidden="false" outlineLevel="0" max="19" min="19" style="0" width="2.81"/>
    <col collapsed="false" customWidth="true" hidden="false" outlineLevel="0" max="67" min="20" style="0" width="16.54"/>
    <col collapsed="false" customWidth="true" hidden="true" outlineLevel="1" max="79" min="68" style="0" width="16.54"/>
    <col collapsed="false" customWidth="true" hidden="false" outlineLevel="0" max="80" min="80" style="0" width="2.81"/>
    <col collapsed="false" customWidth="true" hidden="false" outlineLevel="0" max="85" min="81" style="0" width="16.54"/>
    <col collapsed="false" customWidth="true" hidden="false" outlineLevel="0" max="86" min="86" style="0" width="2.81"/>
    <col collapsed="false" customWidth="true" hidden="false" outlineLevel="0" max="91" min="87" style="0" width="16.54"/>
  </cols>
  <sheetData>
    <row r="1" s="14" customFormat="true" ht="16.5" hidden="true" customHeight="true" outlineLevel="1" collapsed="false">
      <c r="L1" s="15" t="n">
        <v>1</v>
      </c>
      <c r="M1" s="15" t="n">
        <v>2</v>
      </c>
      <c r="N1" s="15" t="n">
        <v>3</v>
      </c>
      <c r="O1" s="15" t="n">
        <v>4</v>
      </c>
      <c r="P1" s="15" t="n">
        <v>5</v>
      </c>
      <c r="Q1" s="16"/>
      <c r="R1" s="17" t="n">
        <f aca="false">COUNTIFS($R$66:$R$117, "Error")</f>
        <v>0</v>
      </c>
      <c r="T1" s="17" t="n">
        <v>2026</v>
      </c>
      <c r="U1" s="17" t="n">
        <v>2026</v>
      </c>
      <c r="V1" s="17" t="n">
        <v>2026</v>
      </c>
      <c r="W1" s="17" t="n">
        <v>2026</v>
      </c>
      <c r="X1" s="17" t="n">
        <v>2026</v>
      </c>
      <c r="Y1" s="17" t="n">
        <v>2026</v>
      </c>
      <c r="Z1" s="17" t="n">
        <v>2026</v>
      </c>
      <c r="AA1" s="17" t="n">
        <v>2026</v>
      </c>
      <c r="AB1" s="17" t="n">
        <v>2026</v>
      </c>
      <c r="AC1" s="17" t="n">
        <v>2026</v>
      </c>
      <c r="AD1" s="17" t="n">
        <v>2026</v>
      </c>
      <c r="AE1" s="17" t="n">
        <v>2026</v>
      </c>
      <c r="AF1" s="17" t="n">
        <v>2027</v>
      </c>
      <c r="AG1" s="17" t="n">
        <v>2027</v>
      </c>
      <c r="AH1" s="17" t="n">
        <v>2027</v>
      </c>
      <c r="AI1" s="17" t="n">
        <v>2027</v>
      </c>
      <c r="AJ1" s="17" t="n">
        <v>2027</v>
      </c>
      <c r="AK1" s="17" t="n">
        <v>2027</v>
      </c>
      <c r="AL1" s="17" t="n">
        <v>2027</v>
      </c>
      <c r="AM1" s="17" t="n">
        <v>2027</v>
      </c>
      <c r="AN1" s="17" t="n">
        <v>2027</v>
      </c>
      <c r="AO1" s="17" t="n">
        <v>2027</v>
      </c>
      <c r="AP1" s="17" t="n">
        <v>2027</v>
      </c>
      <c r="AQ1" s="17" t="n">
        <v>2027</v>
      </c>
      <c r="AR1" s="17" t="n">
        <v>2028</v>
      </c>
      <c r="AS1" s="17" t="n">
        <v>2028</v>
      </c>
      <c r="AT1" s="17" t="n">
        <v>2028</v>
      </c>
      <c r="AU1" s="17" t="n">
        <v>2028</v>
      </c>
      <c r="AV1" s="17" t="n">
        <v>2028</v>
      </c>
      <c r="AW1" s="17" t="n">
        <v>2028</v>
      </c>
      <c r="AX1" s="17" t="n">
        <v>2028</v>
      </c>
      <c r="AY1" s="17" t="n">
        <v>2028</v>
      </c>
      <c r="AZ1" s="17" t="n">
        <v>2028</v>
      </c>
      <c r="BA1" s="17" t="n">
        <v>2028</v>
      </c>
      <c r="BB1" s="17" t="n">
        <v>2028</v>
      </c>
      <c r="BC1" s="17" t="n">
        <v>2028</v>
      </c>
      <c r="BD1" s="17" t="n">
        <v>2029</v>
      </c>
      <c r="BE1" s="17" t="n">
        <v>2029</v>
      </c>
      <c r="BF1" s="17" t="n">
        <v>2029</v>
      </c>
      <c r="BG1" s="17" t="n">
        <v>2029</v>
      </c>
      <c r="BH1" s="17" t="n">
        <v>2029</v>
      </c>
      <c r="BI1" s="17" t="n">
        <v>2029</v>
      </c>
      <c r="BJ1" s="17" t="n">
        <v>2029</v>
      </c>
      <c r="BK1" s="17" t="n">
        <v>2029</v>
      </c>
      <c r="BL1" s="17" t="n">
        <v>2029</v>
      </c>
      <c r="BM1" s="17" t="n">
        <v>2029</v>
      </c>
      <c r="BN1" s="17" t="n">
        <v>2029</v>
      </c>
      <c r="BO1" s="17" t="n">
        <v>2029</v>
      </c>
      <c r="BP1" s="17" t="n">
        <v>2030</v>
      </c>
      <c r="BQ1" s="17" t="n">
        <v>2030</v>
      </c>
      <c r="BR1" s="17" t="n">
        <v>2030</v>
      </c>
      <c r="BS1" s="17" t="n">
        <v>2030</v>
      </c>
      <c r="BT1" s="17" t="n">
        <v>2030</v>
      </c>
      <c r="BU1" s="17" t="n">
        <v>2030</v>
      </c>
      <c r="BV1" s="17" t="n">
        <v>2030</v>
      </c>
      <c r="BW1" s="17" t="n">
        <v>2030</v>
      </c>
      <c r="BX1" s="17" t="n">
        <v>2030</v>
      </c>
      <c r="BY1" s="17" t="n">
        <v>2030</v>
      </c>
      <c r="BZ1" s="17" t="n">
        <v>2030</v>
      </c>
      <c r="CA1" s="17" t="n">
        <v>2030</v>
      </c>
      <c r="CI1" s="17" t="n">
        <f aca="false">COUNTIFS(CI$66:CI$149, "FALSE")</f>
        <v>0</v>
      </c>
      <c r="CJ1" s="17" t="n">
        <f aca="false">COUNTIFS(CJ$66:CJ$149, "FALSE")</f>
        <v>0</v>
      </c>
      <c r="CK1" s="17" t="n">
        <f aca="false">COUNTIFS(CK$66:CK$149, "FALSE")</f>
        <v>0</v>
      </c>
      <c r="CL1" s="17" t="n">
        <f aca="false">COUNTIFS(CL$66:CL$149, "FALSE")</f>
        <v>0</v>
      </c>
      <c r="CM1" s="17" t="n">
        <f aca="false">COUNTIFS(CM$66:CM$149, "FALSE")</f>
        <v>0</v>
      </c>
    </row>
    <row r="2" s="14" customFormat="true" ht="30.75" hidden="false" customHeight="true" outlineLevel="0" collapsed="false">
      <c r="C2" s="18" t="str">
        <f aca="false">"#"&amp;$F$6&amp;" Initiative Business Case"</f>
        <v># Initiative Business Case</v>
      </c>
      <c r="Q2" s="16"/>
      <c r="R2" s="16"/>
    </row>
    <row r="3" s="14" customFormat="true" ht="16.5" hidden="false" customHeight="true" outlineLevel="0" collapsed="false">
      <c r="Q3" s="16"/>
      <c r="R3" s="16"/>
    </row>
    <row r="4" s="14" customFormat="true" ht="16.5" hidden="false" customHeight="true" outlineLevel="0" collapsed="false">
      <c r="C4" s="19" t="s">
        <v>51</v>
      </c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</row>
    <row r="5" s="14" customFormat="true" ht="16.5" hidden="false" customHeight="true" outlineLevel="0" collapsed="false">
      <c r="Q5" s="16"/>
      <c r="R5" s="16"/>
    </row>
    <row r="6" s="14" customFormat="true" ht="16.5" hidden="false" customHeight="true" outlineLevel="0" collapsed="false">
      <c r="D6" s="21" t="s">
        <v>52</v>
      </c>
      <c r="F6" s="22"/>
      <c r="G6" s="23"/>
      <c r="Q6" s="16"/>
      <c r="R6" s="16"/>
    </row>
    <row r="7" customFormat="false" ht="16.5" hidden="false" customHeight="true" outlineLevel="0" collapsed="false">
      <c r="D7" s="21" t="s">
        <v>53</v>
      </c>
      <c r="F7" s="195"/>
      <c r="G7" s="196"/>
      <c r="I7" s="14"/>
      <c r="J7" s="14"/>
      <c r="K7" s="14"/>
    </row>
    <row r="8" s="14" customFormat="true" ht="16.5" hidden="false" customHeight="true" outlineLevel="0" collapsed="false">
      <c r="D8" s="21" t="s">
        <v>55</v>
      </c>
      <c r="F8" s="26"/>
      <c r="G8" s="26"/>
      <c r="H8" s="26"/>
      <c r="I8" s="26"/>
      <c r="J8" s="26"/>
      <c r="Q8" s="16"/>
      <c r="R8" s="16"/>
    </row>
    <row r="9" s="14" customFormat="true" ht="16.5" hidden="false" customHeight="true" outlineLevel="0" collapsed="false">
      <c r="D9" s="21"/>
      <c r="F9" s="26"/>
      <c r="G9" s="26"/>
      <c r="H9" s="26"/>
      <c r="I9" s="26"/>
      <c r="J9" s="26"/>
      <c r="N9" s="21"/>
      <c r="Q9" s="16"/>
      <c r="R9" s="16"/>
    </row>
    <row r="10" s="14" customFormat="true" ht="16.5" hidden="false" customHeight="true" outlineLevel="0" collapsed="false">
      <c r="F10" s="26"/>
      <c r="G10" s="26"/>
      <c r="H10" s="26"/>
      <c r="I10" s="26"/>
      <c r="J10" s="26"/>
      <c r="Q10" s="16"/>
      <c r="R10" s="16"/>
    </row>
    <row r="11" s="14" customFormat="true" ht="16.5" hidden="false" customHeight="true" outlineLevel="0" collapsed="false">
      <c r="D11" s="21" t="s">
        <v>59</v>
      </c>
      <c r="F11" s="229"/>
      <c r="M11" s="21"/>
      <c r="Q11" s="16"/>
      <c r="R11" s="16"/>
    </row>
    <row r="12" s="14" customFormat="true" ht="16.5" hidden="false" customHeight="true" outlineLevel="0" collapsed="false">
      <c r="D12" s="21" t="s">
        <v>60</v>
      </c>
      <c r="F12" s="28" t="n">
        <f aca="false">$K$117</f>
        <v>0</v>
      </c>
      <c r="M12" s="21"/>
      <c r="Q12" s="16"/>
      <c r="R12" s="16"/>
    </row>
    <row r="13" s="14" customFormat="true" ht="17.25" hidden="false" customHeight="true" outlineLevel="0" collapsed="false">
      <c r="Q13" s="16"/>
      <c r="R13" s="16"/>
    </row>
    <row r="14" s="14" customFormat="true" ht="16.5" hidden="false" customHeight="true" outlineLevel="0" collapsed="false">
      <c r="C14" s="19" t="s">
        <v>61</v>
      </c>
      <c r="D14" s="19"/>
      <c r="E14" s="19"/>
      <c r="F14" s="19"/>
      <c r="G14" s="19"/>
      <c r="H14" s="19"/>
      <c r="I14" s="19"/>
      <c r="J14" s="19"/>
      <c r="L14" s="19"/>
      <c r="M14" s="19"/>
      <c r="N14" s="19"/>
      <c r="O14" s="19"/>
      <c r="P14" s="19"/>
      <c r="Q14" s="20"/>
      <c r="R14" s="20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19"/>
      <c r="BQ14" s="19"/>
      <c r="BR14" s="1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19"/>
      <c r="CH14" s="19"/>
      <c r="CI14" s="19"/>
      <c r="CJ14" s="19"/>
      <c r="CK14" s="19"/>
      <c r="CL14" s="19"/>
      <c r="CM14" s="19"/>
    </row>
    <row r="15" s="14" customFormat="true" ht="17.25" hidden="false" customHeight="true" outlineLevel="0" collapsed="false">
      <c r="Q15" s="16"/>
      <c r="R15" s="16"/>
    </row>
    <row r="16" s="14" customFormat="true" ht="17.25" hidden="false" customHeight="true" outlineLevel="0" collapsed="false">
      <c r="D16" s="29" t="s">
        <v>63</v>
      </c>
    </row>
    <row r="17" s="14" customFormat="true" ht="17.25" hidden="false" customHeight="true" outlineLevel="0" collapsed="false">
      <c r="D17" s="32" t="s">
        <v>67</v>
      </c>
      <c r="E17" s="33"/>
      <c r="F17" s="33"/>
      <c r="G17" s="33"/>
      <c r="H17" s="32" t="s">
        <v>68</v>
      </c>
      <c r="I17" s="32" t="s">
        <v>69</v>
      </c>
      <c r="J17" s="34" t="s">
        <v>70</v>
      </c>
    </row>
    <row r="18" s="14" customFormat="true" ht="17.25" hidden="false" customHeight="true" outlineLevel="0" collapsed="false">
      <c r="D18" s="33"/>
      <c r="E18" s="33" t="s">
        <v>450</v>
      </c>
      <c r="F18" s="33"/>
      <c r="G18" s="36"/>
      <c r="H18" s="198" t="s">
        <v>391</v>
      </c>
      <c r="I18" s="37" t="s">
        <v>268</v>
      </c>
      <c r="J18" s="38"/>
      <c r="P18" s="16"/>
      <c r="Q18" s="35"/>
      <c r="R18" s="16"/>
    </row>
    <row r="19" s="14" customFormat="true" ht="17.25" hidden="false" customHeight="true" outlineLevel="0" collapsed="false">
      <c r="D19" s="33"/>
      <c r="E19" s="33" t="s">
        <v>451</v>
      </c>
      <c r="F19" s="33"/>
      <c r="G19" s="36"/>
      <c r="H19" s="198" t="str">
        <f aca="false">$H$18</f>
        <v>TTM 6/1/26</v>
      </c>
      <c r="I19" s="37" t="s">
        <v>452</v>
      </c>
      <c r="J19" s="38"/>
      <c r="P19" s="16"/>
      <c r="Q19" s="35"/>
      <c r="R19" s="16"/>
    </row>
    <row r="20" s="14" customFormat="true" ht="17.25" hidden="false" customHeight="true" outlineLevel="0" collapsed="false">
      <c r="D20" s="33"/>
      <c r="E20" s="33" t="s">
        <v>453</v>
      </c>
      <c r="F20" s="33"/>
      <c r="G20" s="36"/>
      <c r="H20" s="198" t="str">
        <f aca="false">$H$18</f>
        <v>TTM 6/1/26</v>
      </c>
      <c r="I20" s="37" t="s">
        <v>454</v>
      </c>
      <c r="J20" s="138"/>
      <c r="L20" s="201"/>
      <c r="P20" s="16"/>
      <c r="Q20" s="35"/>
      <c r="R20" s="16"/>
    </row>
    <row r="21" s="14" customFormat="true" ht="17.25" hidden="false" customHeight="true" outlineLevel="0" collapsed="false">
      <c r="D21" s="33"/>
      <c r="E21" s="40" t="s">
        <v>455</v>
      </c>
      <c r="F21" s="40"/>
      <c r="G21" s="41"/>
      <c r="H21" s="202" t="str">
        <f aca="false">$H$18</f>
        <v>TTM 6/1/26</v>
      </c>
      <c r="I21" s="42" t="s">
        <v>92</v>
      </c>
      <c r="J21" s="55" t="n">
        <f aca="false">(J18*J19*J20)/1000000</f>
        <v>0</v>
      </c>
      <c r="P21" s="16"/>
      <c r="Q21" s="35"/>
      <c r="R21" s="16"/>
    </row>
    <row r="22" s="14" customFormat="true" ht="17.25" hidden="false" customHeight="true" outlineLevel="0" collapsed="false">
      <c r="D22" s="33"/>
      <c r="E22" s="33"/>
      <c r="F22" s="33"/>
      <c r="G22" s="36"/>
      <c r="H22" s="33"/>
      <c r="I22" s="37"/>
      <c r="J22" s="33"/>
      <c r="Q22" s="16"/>
      <c r="R22" s="16"/>
    </row>
    <row r="23" s="14" customFormat="true" ht="17.25" hidden="false" customHeight="true" outlineLevel="0" collapsed="false">
      <c r="D23" s="32" t="s">
        <v>94</v>
      </c>
      <c r="E23" s="33"/>
      <c r="F23" s="33"/>
      <c r="G23" s="36"/>
      <c r="H23" s="32"/>
      <c r="I23" s="32"/>
      <c r="J23" s="34"/>
      <c r="Q23" s="16"/>
      <c r="R23" s="16"/>
    </row>
    <row r="24" s="14" customFormat="true" ht="17.25" hidden="false" customHeight="true" outlineLevel="0" collapsed="false">
      <c r="D24" s="33"/>
      <c r="E24" s="33" t="s">
        <v>456</v>
      </c>
      <c r="F24" s="33"/>
      <c r="G24" s="36"/>
      <c r="H24" s="33" t="s">
        <v>100</v>
      </c>
      <c r="I24" s="37" t="s">
        <v>457</v>
      </c>
      <c r="J24" s="230"/>
      <c r="Q24" s="16"/>
      <c r="R24" s="16"/>
    </row>
    <row r="25" s="14" customFormat="true" ht="17.25" hidden="false" customHeight="true" outlineLevel="0" collapsed="false">
      <c r="D25" s="33"/>
      <c r="E25" s="33" t="s">
        <v>458</v>
      </c>
      <c r="F25" s="33"/>
      <c r="G25" s="36"/>
      <c r="H25" s="33" t="s">
        <v>100</v>
      </c>
      <c r="I25" s="37" t="s">
        <v>446</v>
      </c>
      <c r="J25" s="230"/>
      <c r="Q25" s="16"/>
      <c r="R25" s="16"/>
    </row>
    <row r="26" s="14" customFormat="true" ht="17.25" hidden="false" customHeight="true" outlineLevel="0" collapsed="false">
      <c r="D26" s="33"/>
      <c r="E26" s="40" t="s">
        <v>459</v>
      </c>
      <c r="F26" s="40"/>
      <c r="G26" s="41"/>
      <c r="H26" s="40" t="s">
        <v>100</v>
      </c>
      <c r="I26" s="42" t="s">
        <v>460</v>
      </c>
      <c r="J26" s="55" t="n">
        <f aca="false">(J24*J25)/1000000</f>
        <v>0</v>
      </c>
      <c r="K26" s="45"/>
      <c r="Q26" s="16"/>
      <c r="R26" s="16"/>
    </row>
    <row r="27" s="14" customFormat="true" ht="17.25" hidden="false" customHeight="true" outlineLevel="0" collapsed="false">
      <c r="D27" s="33"/>
      <c r="E27" s="46"/>
      <c r="F27" s="46"/>
      <c r="G27" s="47"/>
      <c r="H27" s="46"/>
      <c r="I27" s="48"/>
      <c r="J27" s="49"/>
      <c r="K27" s="50"/>
      <c r="Q27" s="16"/>
      <c r="R27" s="16"/>
    </row>
    <row r="28" s="14" customFormat="true" ht="17.25" hidden="false" customHeight="true" outlineLevel="0" collapsed="false">
      <c r="D28" s="32" t="s">
        <v>101</v>
      </c>
      <c r="E28" s="46"/>
      <c r="F28" s="46"/>
      <c r="G28" s="47"/>
      <c r="H28" s="46"/>
      <c r="I28" s="48"/>
      <c r="J28" s="49"/>
      <c r="K28" s="50"/>
      <c r="L28" s="51"/>
      <c r="Q28" s="16"/>
      <c r="R28" s="16"/>
    </row>
    <row r="29" s="14" customFormat="true" ht="17.25" hidden="false" customHeight="true" outlineLevel="0" collapsed="false">
      <c r="D29" s="32"/>
      <c r="E29" s="204" t="s">
        <v>461</v>
      </c>
      <c r="F29" s="40"/>
      <c r="G29" s="41"/>
      <c r="H29" s="40"/>
      <c r="I29" s="42" t="s">
        <v>460</v>
      </c>
      <c r="J29" s="231" t="n">
        <f aca="false">J21-J26</f>
        <v>0</v>
      </c>
      <c r="Q29" s="16"/>
      <c r="R29" s="16"/>
    </row>
    <row r="30" s="14" customFormat="true" ht="17.25" hidden="false" customHeight="true" outlineLevel="0" collapsed="false">
      <c r="D30" s="16"/>
      <c r="E30" s="16"/>
      <c r="F30" s="16"/>
      <c r="G30" s="16"/>
      <c r="H30" s="16"/>
      <c r="I30" s="16"/>
      <c r="J30" s="16"/>
      <c r="Q30" s="16"/>
      <c r="R30" s="16"/>
    </row>
    <row r="31" s="14" customFormat="true" ht="17.25" hidden="true" customHeight="true" outlineLevel="1" collapsed="false">
      <c r="D31" s="32" t="s">
        <v>67</v>
      </c>
      <c r="E31" s="33"/>
      <c r="F31" s="33"/>
      <c r="G31" s="33"/>
      <c r="H31" s="32" t="s">
        <v>68</v>
      </c>
      <c r="I31" s="42" t="s">
        <v>92</v>
      </c>
      <c r="J31" s="34" t="s">
        <v>70</v>
      </c>
      <c r="Q31" s="16"/>
      <c r="R31" s="16"/>
    </row>
    <row r="32" s="14" customFormat="true" ht="17.25" hidden="true" customHeight="true" outlineLevel="1" collapsed="false">
      <c r="D32" s="33"/>
      <c r="E32" s="33" t="s">
        <v>108</v>
      </c>
      <c r="F32" s="33"/>
      <c r="G32" s="36"/>
      <c r="H32" s="198" t="str">
        <f aca="false">$H$18</f>
        <v>TTM 6/1/26</v>
      </c>
      <c r="I32" s="37" t="s">
        <v>108</v>
      </c>
      <c r="J32" s="38" t="n">
        <v>0</v>
      </c>
      <c r="Q32" s="16"/>
      <c r="R32" s="16"/>
    </row>
    <row r="33" s="14" customFormat="true" ht="17.25" hidden="true" customHeight="true" outlineLevel="1" collapsed="false">
      <c r="D33" s="33"/>
      <c r="E33" s="33" t="s">
        <v>109</v>
      </c>
      <c r="F33" s="33"/>
      <c r="G33" s="36" t="s">
        <v>73</v>
      </c>
      <c r="H33" s="33" t="s">
        <v>74</v>
      </c>
      <c r="I33" s="37" t="s">
        <v>110</v>
      </c>
      <c r="J33" s="39" t="n">
        <v>0</v>
      </c>
      <c r="Q33" s="16"/>
      <c r="R33" s="16"/>
    </row>
    <row r="34" s="14" customFormat="true" ht="17.25" hidden="true" customHeight="true" outlineLevel="1" collapsed="false">
      <c r="D34" s="33"/>
      <c r="E34" s="40" t="s">
        <v>111</v>
      </c>
      <c r="F34" s="40"/>
      <c r="G34" s="41" t="s">
        <v>78</v>
      </c>
      <c r="H34" s="40" t="s">
        <v>74</v>
      </c>
      <c r="I34" s="42" t="s">
        <v>112</v>
      </c>
      <c r="J34" s="53" t="n">
        <f aca="false">(J32*J33)/1000</f>
        <v>0</v>
      </c>
      <c r="Q34" s="16"/>
      <c r="R34" s="16"/>
    </row>
    <row r="35" s="14" customFormat="true" ht="17.25" hidden="true" customHeight="true" outlineLevel="1" collapsed="false">
      <c r="D35" s="33"/>
      <c r="E35" s="33"/>
      <c r="F35" s="33"/>
      <c r="G35" s="36"/>
      <c r="H35" s="33"/>
      <c r="I35" s="37"/>
      <c r="J35" s="33"/>
      <c r="Q35" s="16"/>
      <c r="R35" s="16"/>
    </row>
    <row r="36" s="14" customFormat="true" ht="17.25" hidden="true" customHeight="true" outlineLevel="1" collapsed="false">
      <c r="D36" s="32" t="s">
        <v>94</v>
      </c>
      <c r="E36" s="33"/>
      <c r="F36" s="33"/>
      <c r="G36" s="36"/>
      <c r="H36" s="32"/>
      <c r="I36" s="32"/>
      <c r="J36" s="34"/>
      <c r="Q36" s="16"/>
      <c r="R36" s="16"/>
    </row>
    <row r="37" s="14" customFormat="true" ht="17.25" hidden="true" customHeight="true" outlineLevel="1" collapsed="false">
      <c r="D37" s="33"/>
      <c r="E37" s="33" t="s">
        <v>108</v>
      </c>
      <c r="F37" s="33"/>
      <c r="G37" s="36"/>
      <c r="H37" s="33" t="s">
        <v>74</v>
      </c>
      <c r="I37" s="37" t="s">
        <v>108</v>
      </c>
      <c r="J37" s="54" t="n">
        <f aca="false">$J$18</f>
        <v>0</v>
      </c>
      <c r="Q37" s="16"/>
      <c r="R37" s="16"/>
    </row>
    <row r="38" s="14" customFormat="true" ht="17.25" hidden="true" customHeight="true" outlineLevel="1" collapsed="false">
      <c r="D38" s="33"/>
      <c r="E38" s="33" t="s">
        <v>109</v>
      </c>
      <c r="F38" s="33"/>
      <c r="G38" s="36" t="s">
        <v>83</v>
      </c>
      <c r="H38" s="33" t="s">
        <v>100</v>
      </c>
      <c r="I38" s="37" t="s">
        <v>110</v>
      </c>
      <c r="J38" s="44" t="n">
        <v>0</v>
      </c>
      <c r="Q38" s="16"/>
      <c r="R38" s="16"/>
    </row>
    <row r="39" s="14" customFormat="true" ht="17.25" hidden="true" customHeight="true" outlineLevel="1" collapsed="false">
      <c r="D39" s="33"/>
      <c r="E39" s="40" t="s">
        <v>111</v>
      </c>
      <c r="F39" s="40"/>
      <c r="G39" s="41" t="s">
        <v>91</v>
      </c>
      <c r="H39" s="40" t="s">
        <v>100</v>
      </c>
      <c r="I39" s="42" t="s">
        <v>112</v>
      </c>
      <c r="J39" s="53" t="n">
        <f aca="false">(J37*J38)/1000</f>
        <v>0</v>
      </c>
      <c r="Q39" s="16"/>
      <c r="R39" s="16"/>
    </row>
    <row r="40" s="14" customFormat="true" ht="17.25" hidden="true" customHeight="true" outlineLevel="1" collapsed="false">
      <c r="D40" s="33"/>
      <c r="E40" s="46"/>
      <c r="F40" s="46"/>
      <c r="G40" s="47"/>
      <c r="H40" s="46"/>
      <c r="I40" s="48"/>
      <c r="J40" s="49"/>
      <c r="Q40" s="16"/>
      <c r="R40" s="16"/>
    </row>
    <row r="41" s="14" customFormat="true" ht="17.25" hidden="true" customHeight="true" outlineLevel="1" collapsed="false">
      <c r="D41" s="32" t="s">
        <v>101</v>
      </c>
      <c r="E41" s="46"/>
      <c r="F41" s="46"/>
      <c r="G41" s="47"/>
      <c r="H41" s="46"/>
      <c r="I41" s="48"/>
      <c r="J41" s="49"/>
      <c r="Q41" s="16"/>
      <c r="R41" s="16"/>
    </row>
    <row r="42" s="14" customFormat="true" ht="17.25" hidden="true" customHeight="true" outlineLevel="1" collapsed="false">
      <c r="D42" s="32"/>
      <c r="E42" s="33" t="str">
        <f aca="false">E38</f>
        <v>xxxx unit cost</v>
      </c>
      <c r="F42" s="46"/>
      <c r="G42" s="36" t="s">
        <v>113</v>
      </c>
      <c r="H42" s="46"/>
      <c r="I42" s="37" t="s">
        <v>114</v>
      </c>
      <c r="J42" s="52" t="n">
        <f aca="false">J33-J38</f>
        <v>0</v>
      </c>
      <c r="Q42" s="16"/>
      <c r="R42" s="16"/>
    </row>
    <row r="43" s="14" customFormat="true" ht="17.25" hidden="true" customHeight="true" outlineLevel="1" collapsed="false">
      <c r="D43" s="32"/>
      <c r="E43" s="33" t="str">
        <f aca="false">E39</f>
        <v>xxxx total spend</v>
      </c>
      <c r="F43" s="46"/>
      <c r="G43" s="36" t="s">
        <v>115</v>
      </c>
      <c r="H43" s="46"/>
      <c r="I43" s="37" t="s">
        <v>112</v>
      </c>
      <c r="J43" s="55" t="n">
        <f aca="false">J34-J39</f>
        <v>0</v>
      </c>
      <c r="Q43" s="16"/>
      <c r="R43" s="16"/>
    </row>
    <row r="44" s="14" customFormat="true" ht="17.25" hidden="false" customHeight="true" outlineLevel="0" collapsed="false">
      <c r="E44" s="21"/>
      <c r="F44" s="21"/>
      <c r="G44" s="21"/>
      <c r="H44" s="21"/>
      <c r="I44" s="56"/>
      <c r="J44" s="57"/>
      <c r="Q44" s="16"/>
      <c r="R44" s="16"/>
    </row>
    <row r="45" s="14" customFormat="true" ht="17.25" hidden="true" customHeight="true" outlineLevel="1" collapsed="false">
      <c r="D45" s="32" t="s">
        <v>67</v>
      </c>
      <c r="E45" s="33"/>
      <c r="F45" s="33"/>
      <c r="G45" s="33"/>
      <c r="H45" s="32" t="s">
        <v>68</v>
      </c>
      <c r="I45" s="32" t="s">
        <v>69</v>
      </c>
      <c r="J45" s="34" t="s">
        <v>70</v>
      </c>
      <c r="Q45" s="16"/>
      <c r="R45" s="16"/>
    </row>
    <row r="46" s="14" customFormat="true" ht="17.25" hidden="true" customHeight="true" outlineLevel="1" collapsed="false">
      <c r="D46" s="33"/>
      <c r="E46" s="33" t="s">
        <v>108</v>
      </c>
      <c r="F46" s="33"/>
      <c r="G46" s="36"/>
      <c r="H46" s="33" t="s">
        <v>74</v>
      </c>
      <c r="I46" s="37" t="s">
        <v>108</v>
      </c>
      <c r="J46" s="38" t="n">
        <v>0</v>
      </c>
      <c r="Q46" s="16"/>
      <c r="R46" s="16"/>
    </row>
    <row r="47" s="14" customFormat="true" ht="17.25" hidden="true" customHeight="true" outlineLevel="1" collapsed="false">
      <c r="D47" s="33"/>
      <c r="E47" s="33" t="s">
        <v>109</v>
      </c>
      <c r="F47" s="33"/>
      <c r="G47" s="36" t="s">
        <v>73</v>
      </c>
      <c r="H47" s="33" t="s">
        <v>74</v>
      </c>
      <c r="I47" s="37" t="s">
        <v>110</v>
      </c>
      <c r="J47" s="39" t="n">
        <v>0</v>
      </c>
      <c r="Q47" s="16"/>
      <c r="R47" s="16"/>
    </row>
    <row r="48" s="14" customFormat="true" ht="17.25" hidden="true" customHeight="true" outlineLevel="1" collapsed="false">
      <c r="D48" s="33"/>
      <c r="E48" s="40" t="s">
        <v>111</v>
      </c>
      <c r="F48" s="40"/>
      <c r="G48" s="41" t="s">
        <v>78</v>
      </c>
      <c r="H48" s="40" t="s">
        <v>74</v>
      </c>
      <c r="I48" s="42" t="s">
        <v>112</v>
      </c>
      <c r="J48" s="53" t="n">
        <f aca="false">(J46*J47)/1000</f>
        <v>0</v>
      </c>
      <c r="Q48" s="16"/>
      <c r="R48" s="16"/>
    </row>
    <row r="49" s="14" customFormat="true" ht="17.25" hidden="true" customHeight="true" outlineLevel="1" collapsed="false">
      <c r="D49" s="33"/>
      <c r="E49" s="33"/>
      <c r="F49" s="33"/>
      <c r="G49" s="36"/>
      <c r="H49" s="33"/>
      <c r="I49" s="37"/>
      <c r="J49" s="33"/>
      <c r="Q49" s="16"/>
      <c r="R49" s="16"/>
    </row>
    <row r="50" s="14" customFormat="true" ht="17.25" hidden="true" customHeight="true" outlineLevel="1" collapsed="false">
      <c r="D50" s="32" t="s">
        <v>94</v>
      </c>
      <c r="E50" s="33"/>
      <c r="F50" s="33"/>
      <c r="G50" s="36"/>
      <c r="H50" s="32"/>
      <c r="I50" s="32"/>
      <c r="J50" s="34"/>
      <c r="Q50" s="16"/>
      <c r="R50" s="16"/>
    </row>
    <row r="51" s="14" customFormat="true" ht="17.25" hidden="true" customHeight="true" outlineLevel="1" collapsed="false">
      <c r="D51" s="33"/>
      <c r="E51" s="33" t="s">
        <v>108</v>
      </c>
      <c r="F51" s="33"/>
      <c r="G51" s="36"/>
      <c r="H51" s="33" t="s">
        <v>74</v>
      </c>
      <c r="I51" s="37" t="s">
        <v>108</v>
      </c>
      <c r="J51" s="54" t="n">
        <f aca="false">$J$18</f>
        <v>0</v>
      </c>
      <c r="Q51" s="16"/>
      <c r="R51" s="16"/>
    </row>
    <row r="52" s="14" customFormat="true" ht="17.25" hidden="true" customHeight="true" outlineLevel="1" collapsed="false">
      <c r="D52" s="33"/>
      <c r="E52" s="33" t="s">
        <v>109</v>
      </c>
      <c r="F52" s="33"/>
      <c r="G52" s="36" t="s">
        <v>83</v>
      </c>
      <c r="H52" s="33" t="s">
        <v>100</v>
      </c>
      <c r="I52" s="37" t="s">
        <v>110</v>
      </c>
      <c r="J52" s="44" t="n">
        <v>0</v>
      </c>
      <c r="Q52" s="16"/>
      <c r="R52" s="16"/>
    </row>
    <row r="53" s="14" customFormat="true" ht="17.25" hidden="true" customHeight="true" outlineLevel="1" collapsed="false">
      <c r="D53" s="33"/>
      <c r="E53" s="40" t="s">
        <v>111</v>
      </c>
      <c r="F53" s="40"/>
      <c r="G53" s="41" t="s">
        <v>91</v>
      </c>
      <c r="H53" s="40" t="s">
        <v>100</v>
      </c>
      <c r="I53" s="42" t="s">
        <v>112</v>
      </c>
      <c r="J53" s="53" t="n">
        <f aca="false">(J51*J52)/1000</f>
        <v>0</v>
      </c>
      <c r="Q53" s="16"/>
      <c r="R53" s="16"/>
    </row>
    <row r="54" s="14" customFormat="true" ht="17.25" hidden="true" customHeight="true" outlineLevel="1" collapsed="false">
      <c r="D54" s="33"/>
      <c r="E54" s="46"/>
      <c r="F54" s="46"/>
      <c r="G54" s="47"/>
      <c r="H54" s="46"/>
      <c r="I54" s="48"/>
      <c r="J54" s="49"/>
      <c r="Q54" s="16"/>
      <c r="R54" s="16"/>
    </row>
    <row r="55" s="14" customFormat="true" ht="17.25" hidden="true" customHeight="true" outlineLevel="1" collapsed="false">
      <c r="D55" s="32" t="s">
        <v>101</v>
      </c>
      <c r="E55" s="46"/>
      <c r="F55" s="46"/>
      <c r="G55" s="47"/>
      <c r="H55" s="46"/>
      <c r="I55" s="48"/>
      <c r="J55" s="49"/>
      <c r="Q55" s="16"/>
      <c r="R55" s="16"/>
    </row>
    <row r="56" s="14" customFormat="true" ht="17.25" hidden="true" customHeight="true" outlineLevel="1" collapsed="false">
      <c r="D56" s="32"/>
      <c r="E56" s="33" t="str">
        <f aca="false">E52</f>
        <v>xxxx unit cost</v>
      </c>
      <c r="F56" s="46"/>
      <c r="G56" s="36" t="s">
        <v>113</v>
      </c>
      <c r="H56" s="46"/>
      <c r="I56" s="37" t="s">
        <v>114</v>
      </c>
      <c r="J56" s="52" t="n">
        <f aca="false">J47-J52</f>
        <v>0</v>
      </c>
      <c r="Q56" s="16"/>
      <c r="R56" s="16"/>
    </row>
    <row r="57" s="14" customFormat="true" ht="17.25" hidden="true" customHeight="true" outlineLevel="1" collapsed="false">
      <c r="D57" s="32"/>
      <c r="E57" s="33" t="str">
        <f aca="false">E53</f>
        <v>xxxx total spend</v>
      </c>
      <c r="F57" s="46"/>
      <c r="G57" s="36" t="s">
        <v>115</v>
      </c>
      <c r="H57" s="46"/>
      <c r="I57" s="37" t="s">
        <v>112</v>
      </c>
      <c r="J57" s="55" t="n">
        <f aca="false">J48-J53</f>
        <v>0</v>
      </c>
      <c r="Q57" s="16"/>
      <c r="R57" s="16"/>
    </row>
    <row r="58" s="14" customFormat="true" ht="17.25" hidden="true" customHeight="true" outlineLevel="1" collapsed="false">
      <c r="E58" s="21"/>
      <c r="F58" s="21"/>
      <c r="G58" s="21"/>
      <c r="H58" s="21"/>
      <c r="I58" s="56"/>
      <c r="J58" s="57"/>
      <c r="Q58" s="16"/>
      <c r="R58" s="16"/>
    </row>
    <row r="59" s="14" customFormat="true" ht="16.5" hidden="true" customHeight="true" outlineLevel="1" collapsed="false">
      <c r="H59" s="58"/>
      <c r="Q59" s="16"/>
      <c r="R59" s="16"/>
    </row>
    <row r="60" s="14" customFormat="true" ht="16.5" hidden="false" customHeight="true" outlineLevel="0" collapsed="false">
      <c r="C60" s="19" t="s">
        <v>116</v>
      </c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20"/>
      <c r="R60" s="20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/>
      <c r="BG60" s="19"/>
      <c r="BH60" s="19"/>
      <c r="BI60" s="19"/>
      <c r="BJ60" s="19"/>
      <c r="BK60" s="19"/>
      <c r="BL60" s="19"/>
      <c r="BM60" s="19"/>
      <c r="BN60" s="19"/>
      <c r="BO60" s="19"/>
      <c r="BP60" s="19"/>
      <c r="BQ60" s="19"/>
      <c r="BR60" s="19"/>
      <c r="BS60" s="19"/>
      <c r="BT60" s="19"/>
      <c r="BU60" s="19"/>
      <c r="BV60" s="19"/>
      <c r="BW60" s="19"/>
      <c r="BX60" s="19"/>
      <c r="BY60" s="19"/>
      <c r="BZ60" s="19"/>
      <c r="CA60" s="19"/>
      <c r="CC60" s="19" t="s">
        <v>117</v>
      </c>
      <c r="CD60" s="19"/>
      <c r="CE60" s="19"/>
      <c r="CF60" s="19"/>
      <c r="CG60" s="19"/>
      <c r="CI60" s="19" t="s">
        <v>118</v>
      </c>
      <c r="CJ60" s="19"/>
      <c r="CK60" s="19"/>
      <c r="CL60" s="19"/>
      <c r="CM60" s="19"/>
    </row>
    <row r="61" s="14" customFormat="true" ht="16.5" hidden="false" customHeight="true" outlineLevel="0" collapsed="false">
      <c r="Q61" s="16"/>
    </row>
    <row r="62" s="14" customFormat="true" ht="16.5" hidden="false" customHeight="true" outlineLevel="0" collapsed="false">
      <c r="Q62" s="16"/>
      <c r="R62" s="16"/>
      <c r="T62" s="62" t="n">
        <v>2026</v>
      </c>
      <c r="U62" s="129"/>
      <c r="V62" s="129"/>
      <c r="W62" s="129"/>
      <c r="X62" s="129"/>
      <c r="Y62" s="129"/>
      <c r="Z62" s="129"/>
      <c r="AA62" s="129"/>
      <c r="AB62" s="129"/>
      <c r="AC62" s="129"/>
      <c r="AD62" s="129"/>
      <c r="AE62" s="129"/>
      <c r="AF62" s="62" t="n">
        <v>2027</v>
      </c>
      <c r="AG62" s="129"/>
      <c r="AH62" s="129"/>
      <c r="AI62" s="129"/>
      <c r="AJ62" s="129"/>
      <c r="AK62" s="129"/>
      <c r="AL62" s="129"/>
      <c r="AM62" s="129"/>
      <c r="AN62" s="129"/>
      <c r="AO62" s="129"/>
      <c r="AP62" s="129"/>
      <c r="AQ62" s="129"/>
      <c r="AR62" s="62" t="n">
        <v>2028</v>
      </c>
      <c r="AS62" s="129"/>
      <c r="AT62" s="129"/>
      <c r="AU62" s="129"/>
      <c r="AV62" s="129"/>
      <c r="AW62" s="129"/>
      <c r="AX62" s="129"/>
      <c r="AY62" s="129"/>
      <c r="AZ62" s="129"/>
      <c r="BA62" s="129"/>
      <c r="BB62" s="129"/>
      <c r="BC62" s="129"/>
      <c r="BD62" s="62" t="n">
        <v>2029</v>
      </c>
      <c r="BE62" s="129"/>
      <c r="BF62" s="129"/>
      <c r="BG62" s="129"/>
      <c r="BH62" s="129"/>
      <c r="BI62" s="129"/>
      <c r="BJ62" s="129"/>
      <c r="BK62" s="129"/>
      <c r="BL62" s="129"/>
      <c r="BM62" s="129"/>
      <c r="BN62" s="129"/>
      <c r="BO62" s="129"/>
      <c r="BP62" s="62" t="n">
        <v>2030</v>
      </c>
      <c r="BQ62" s="130"/>
      <c r="BR62" s="130"/>
      <c r="BS62" s="130"/>
      <c r="BT62" s="130"/>
      <c r="BU62" s="130"/>
      <c r="BV62" s="130"/>
      <c r="BW62" s="130"/>
      <c r="BX62" s="130"/>
      <c r="BY62" s="130"/>
      <c r="BZ62" s="130"/>
      <c r="CA62" s="130"/>
      <c r="CC62" s="206"/>
      <c r="CD62" s="130"/>
      <c r="CE62" s="130"/>
      <c r="CF62" s="130"/>
      <c r="CG62" s="130"/>
      <c r="CI62" s="206" t="s">
        <v>398</v>
      </c>
      <c r="CJ62" s="206"/>
      <c r="CK62" s="206"/>
      <c r="CL62" s="206"/>
      <c r="CM62" s="206"/>
    </row>
    <row r="63" s="14" customFormat="true" ht="16.5" hidden="false" customHeight="true" outlineLevel="0" collapsed="false">
      <c r="D63" s="30" t="s">
        <v>119</v>
      </c>
      <c r="E63" s="31"/>
      <c r="F63" s="31"/>
      <c r="G63" s="31"/>
      <c r="H63" s="30" t="s">
        <v>120</v>
      </c>
      <c r="I63" s="31" t="s">
        <v>67</v>
      </c>
      <c r="J63" s="31" t="s">
        <v>94</v>
      </c>
      <c r="K63" s="31" t="s">
        <v>121</v>
      </c>
      <c r="L63" s="31" t="n">
        <v>2026</v>
      </c>
      <c r="M63" s="31" t="n">
        <f aca="false">L63+1</f>
        <v>2027</v>
      </c>
      <c r="N63" s="31" t="n">
        <f aca="false">M63+1</f>
        <v>2028</v>
      </c>
      <c r="O63" s="31" t="n">
        <f aca="false">N63+1</f>
        <v>2029</v>
      </c>
      <c r="P63" s="31" t="n">
        <f aca="false">O63+1</f>
        <v>2030</v>
      </c>
      <c r="Q63" s="31" t="s">
        <v>122</v>
      </c>
      <c r="R63" s="31" t="s">
        <v>65</v>
      </c>
      <c r="T63" s="59" t="n">
        <v>46023</v>
      </c>
      <c r="U63" s="60" t="n">
        <f aca="false">EOMONTH(T63, 1)</f>
        <v>46081</v>
      </c>
      <c r="V63" s="60" t="n">
        <f aca="false">EOMONTH(U63, 1)</f>
        <v>46112</v>
      </c>
      <c r="W63" s="60" t="n">
        <f aca="false">EOMONTH(V63, 1)</f>
        <v>46142</v>
      </c>
      <c r="X63" s="60" t="n">
        <f aca="false">EOMONTH(W63, 1)</f>
        <v>46173</v>
      </c>
      <c r="Y63" s="60" t="n">
        <f aca="false">EOMONTH(X63, 1)</f>
        <v>46203</v>
      </c>
      <c r="Z63" s="60" t="n">
        <f aca="false">EOMONTH(Y63, 1)</f>
        <v>46234</v>
      </c>
      <c r="AA63" s="60" t="n">
        <f aca="false">EOMONTH(Z63, 1)</f>
        <v>46265</v>
      </c>
      <c r="AB63" s="60" t="n">
        <f aca="false">EOMONTH(AA63, 1)</f>
        <v>46295</v>
      </c>
      <c r="AC63" s="60" t="n">
        <f aca="false">EOMONTH(AB63, 1)</f>
        <v>46326</v>
      </c>
      <c r="AD63" s="60" t="n">
        <f aca="false">EOMONTH(AC63, 1)</f>
        <v>46356</v>
      </c>
      <c r="AE63" s="61" t="n">
        <f aca="false">EOMONTH(AD63, 1)</f>
        <v>46387</v>
      </c>
      <c r="AF63" s="59" t="n">
        <f aca="false">EOMONTH(AE63, 1)</f>
        <v>46418</v>
      </c>
      <c r="AG63" s="60" t="n">
        <f aca="false">EOMONTH(AF63, 1)</f>
        <v>46446</v>
      </c>
      <c r="AH63" s="60" t="n">
        <f aca="false">EOMONTH(AG63, 1)</f>
        <v>46477</v>
      </c>
      <c r="AI63" s="60" t="n">
        <f aca="false">EOMONTH(AH63, 1)</f>
        <v>46507</v>
      </c>
      <c r="AJ63" s="60" t="n">
        <f aca="false">EOMONTH(AI63, 1)</f>
        <v>46538</v>
      </c>
      <c r="AK63" s="60" t="n">
        <f aca="false">EOMONTH(AJ63, 1)</f>
        <v>46568</v>
      </c>
      <c r="AL63" s="60" t="n">
        <f aca="false">EOMONTH(AK63, 1)</f>
        <v>46599</v>
      </c>
      <c r="AM63" s="60" t="n">
        <f aca="false">EOMONTH(AL63, 1)</f>
        <v>46630</v>
      </c>
      <c r="AN63" s="60" t="n">
        <f aca="false">EOMONTH(AM63, 1)</f>
        <v>46660</v>
      </c>
      <c r="AO63" s="60" t="n">
        <f aca="false">EOMONTH(AN63, 1)</f>
        <v>46691</v>
      </c>
      <c r="AP63" s="60" t="n">
        <f aca="false">EOMONTH(AO63, 1)</f>
        <v>46721</v>
      </c>
      <c r="AQ63" s="61" t="n">
        <f aca="false">EOMONTH(AP63, 1)</f>
        <v>46752</v>
      </c>
      <c r="AR63" s="59" t="n">
        <f aca="false">EOMONTH(AQ63, 1)</f>
        <v>46783</v>
      </c>
      <c r="AS63" s="60" t="n">
        <f aca="false">EOMONTH(AR63, 1)</f>
        <v>46812</v>
      </c>
      <c r="AT63" s="60" t="n">
        <f aca="false">EOMONTH(AS63, 1)</f>
        <v>46843</v>
      </c>
      <c r="AU63" s="60" t="n">
        <f aca="false">EOMONTH(AT63, 1)</f>
        <v>46873</v>
      </c>
      <c r="AV63" s="60" t="n">
        <f aca="false">EOMONTH(AU63, 1)</f>
        <v>46904</v>
      </c>
      <c r="AW63" s="60" t="n">
        <f aca="false">EOMONTH(AV63, 1)</f>
        <v>46934</v>
      </c>
      <c r="AX63" s="60" t="n">
        <f aca="false">EOMONTH(AW63, 1)</f>
        <v>46965</v>
      </c>
      <c r="AY63" s="60" t="n">
        <f aca="false">EOMONTH(AX63, 1)</f>
        <v>46996</v>
      </c>
      <c r="AZ63" s="60" t="n">
        <f aca="false">EOMONTH(AY63, 1)</f>
        <v>47026</v>
      </c>
      <c r="BA63" s="60" t="n">
        <f aca="false">EOMONTH(AZ63, 1)</f>
        <v>47057</v>
      </c>
      <c r="BB63" s="60" t="n">
        <f aca="false">EOMONTH(BA63, 1)</f>
        <v>47087</v>
      </c>
      <c r="BC63" s="61" t="n">
        <f aca="false">EOMONTH(BB63, 1)</f>
        <v>47118</v>
      </c>
      <c r="BD63" s="59" t="n">
        <f aca="false">EOMONTH(BC63, 1)</f>
        <v>47149</v>
      </c>
      <c r="BE63" s="60" t="n">
        <f aca="false">EOMONTH(BD63, 1)</f>
        <v>47177</v>
      </c>
      <c r="BF63" s="60" t="n">
        <f aca="false">EOMONTH(BE63, 1)</f>
        <v>47208</v>
      </c>
      <c r="BG63" s="60" t="n">
        <f aca="false">EOMONTH(BF63, 1)</f>
        <v>47238</v>
      </c>
      <c r="BH63" s="60" t="n">
        <f aca="false">EOMONTH(BG63, 1)</f>
        <v>47269</v>
      </c>
      <c r="BI63" s="60" t="n">
        <f aca="false">EOMONTH(BH63, 1)</f>
        <v>47299</v>
      </c>
      <c r="BJ63" s="60" t="n">
        <f aca="false">EOMONTH(BI63, 1)</f>
        <v>47330</v>
      </c>
      <c r="BK63" s="60" t="n">
        <f aca="false">EOMONTH(BJ63, 1)</f>
        <v>47361</v>
      </c>
      <c r="BL63" s="60" t="n">
        <f aca="false">EOMONTH(BK63, 1)</f>
        <v>47391</v>
      </c>
      <c r="BM63" s="60" t="n">
        <f aca="false">EOMONTH(BL63, 1)</f>
        <v>47422</v>
      </c>
      <c r="BN63" s="60" t="n">
        <f aca="false">EOMONTH(BM63, 1)</f>
        <v>47452</v>
      </c>
      <c r="BO63" s="61" t="n">
        <f aca="false">EOMONTH(BN63, 1)</f>
        <v>47483</v>
      </c>
      <c r="BP63" s="59" t="n">
        <f aca="false">EOMONTH(BO63, 1)</f>
        <v>47514</v>
      </c>
      <c r="BQ63" s="60" t="n">
        <f aca="false">EOMONTH(BP63, 1)</f>
        <v>47542</v>
      </c>
      <c r="BR63" s="60" t="n">
        <f aca="false">EOMONTH(BQ63, 1)</f>
        <v>47573</v>
      </c>
      <c r="BS63" s="60" t="n">
        <f aca="false">EOMONTH(BR63, 1)</f>
        <v>47603</v>
      </c>
      <c r="BT63" s="60" t="n">
        <f aca="false">EOMONTH(BS63, 1)</f>
        <v>47634</v>
      </c>
      <c r="BU63" s="60" t="n">
        <f aca="false">EOMONTH(BT63, 1)</f>
        <v>47664</v>
      </c>
      <c r="BV63" s="60" t="n">
        <f aca="false">EOMONTH(BU63, 1)</f>
        <v>47695</v>
      </c>
      <c r="BW63" s="60" t="n">
        <f aca="false">EOMONTH(BV63, 1)</f>
        <v>47726</v>
      </c>
      <c r="BX63" s="60" t="n">
        <f aca="false">EOMONTH(BW63, 1)</f>
        <v>47756</v>
      </c>
      <c r="BY63" s="60" t="n">
        <f aca="false">EOMONTH(BX63, 1)</f>
        <v>47787</v>
      </c>
      <c r="BZ63" s="60" t="n">
        <f aca="false">EOMONTH(BY63, 1)</f>
        <v>47817</v>
      </c>
      <c r="CA63" s="60" t="n">
        <f aca="false">EOMONTH(BZ63, 1)</f>
        <v>47848</v>
      </c>
      <c r="CC63" s="62" t="n">
        <v>2026</v>
      </c>
      <c r="CD63" s="62" t="n">
        <f aca="false">CC63+1</f>
        <v>2027</v>
      </c>
      <c r="CE63" s="62" t="n">
        <f aca="false">CD63+1</f>
        <v>2028</v>
      </c>
      <c r="CF63" s="62" t="n">
        <f aca="false">CE63+1</f>
        <v>2029</v>
      </c>
      <c r="CG63" s="62" t="n">
        <f aca="false">CF63+1</f>
        <v>2030</v>
      </c>
      <c r="CI63" s="62" t="n">
        <v>2026</v>
      </c>
      <c r="CJ63" s="62" t="n">
        <f aca="false">CI63+1</f>
        <v>2027</v>
      </c>
      <c r="CK63" s="62" t="n">
        <f aca="false">CJ63+1</f>
        <v>2028</v>
      </c>
      <c r="CL63" s="62" t="n">
        <f aca="false">CK63+1</f>
        <v>2029</v>
      </c>
      <c r="CM63" s="62" t="n">
        <f aca="false">CL63+1</f>
        <v>2030</v>
      </c>
    </row>
    <row r="64" s="14" customFormat="true" ht="16.5" hidden="false" customHeight="true" outlineLevel="0" collapsed="false">
      <c r="D64" s="63"/>
      <c r="E64" s="64" t="s">
        <v>92</v>
      </c>
      <c r="H64" s="16"/>
      <c r="I64" s="65" t="str">
        <f aca="false">"TTM "&amp;TEXT($H$18,"m/d/yy")</f>
        <v>TTM TTM 6/1/26</v>
      </c>
      <c r="J64" s="65" t="s">
        <v>124</v>
      </c>
      <c r="K64" s="65" t="s">
        <v>125</v>
      </c>
      <c r="L64" s="66"/>
      <c r="M64" s="66"/>
      <c r="N64" s="66"/>
      <c r="O64" s="66"/>
      <c r="P64" s="66"/>
      <c r="Q64" s="16"/>
      <c r="R64" s="16"/>
      <c r="T64" s="66"/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7"/>
      <c r="AG64" s="66"/>
      <c r="AH64" s="66"/>
      <c r="AI64" s="66"/>
      <c r="AJ64" s="66"/>
      <c r="AK64" s="66"/>
      <c r="AL64" s="66"/>
      <c r="AM64" s="66"/>
      <c r="AN64" s="66"/>
      <c r="AO64" s="66"/>
      <c r="AP64" s="66"/>
      <c r="AQ64" s="66"/>
      <c r="AR64" s="67"/>
      <c r="AS64" s="66"/>
      <c r="AT64" s="66"/>
      <c r="AU64" s="66"/>
      <c r="AV64" s="66"/>
      <c r="AW64" s="66"/>
      <c r="AX64" s="66"/>
      <c r="AY64" s="66"/>
      <c r="AZ64" s="66"/>
      <c r="BA64" s="66"/>
      <c r="BB64" s="66"/>
      <c r="BC64" s="66"/>
      <c r="BD64" s="67"/>
      <c r="BE64" s="66"/>
      <c r="BF64" s="66"/>
      <c r="BG64" s="66"/>
      <c r="BH64" s="66"/>
      <c r="BI64" s="66"/>
      <c r="BJ64" s="66"/>
      <c r="BK64" s="66"/>
      <c r="BL64" s="66"/>
      <c r="BM64" s="66"/>
      <c r="BN64" s="66"/>
      <c r="BO64" s="66"/>
      <c r="BP64" s="67"/>
      <c r="BQ64" s="66"/>
      <c r="BR64" s="66"/>
      <c r="BS64" s="66"/>
      <c r="BT64" s="66"/>
      <c r="BU64" s="66"/>
      <c r="BV64" s="66"/>
      <c r="BW64" s="66"/>
      <c r="BX64" s="66"/>
      <c r="BY64" s="66"/>
      <c r="BZ64" s="66"/>
      <c r="CA64" s="66"/>
    </row>
    <row r="65" s="14" customFormat="true" ht="16.5" hidden="false" customHeight="true" outlineLevel="0" collapsed="false">
      <c r="E65" s="68" t="s">
        <v>126</v>
      </c>
      <c r="F65" s="21"/>
      <c r="G65" s="21"/>
      <c r="H65" s="16"/>
      <c r="I65" s="65"/>
      <c r="J65" s="65"/>
      <c r="K65" s="65"/>
      <c r="Q65" s="16"/>
      <c r="R65" s="16"/>
      <c r="AF65" s="69"/>
      <c r="AR65" s="69"/>
      <c r="BD65" s="69"/>
      <c r="BP65" s="69"/>
    </row>
    <row r="66" s="14" customFormat="true" ht="16.5" hidden="false" customHeight="true" outlineLevel="0" collapsed="false">
      <c r="E66" s="70"/>
      <c r="H66" s="71"/>
      <c r="I66" s="76" t="n">
        <v>0</v>
      </c>
      <c r="J66" s="76" t="n">
        <v>0</v>
      </c>
      <c r="K66" s="207" t="n">
        <f aca="false">J66-I66</f>
        <v>0</v>
      </c>
      <c r="L66" s="76"/>
      <c r="M66" s="76"/>
      <c r="N66" s="76"/>
      <c r="O66" s="76"/>
      <c r="P66" s="77"/>
      <c r="Q66" s="75"/>
      <c r="R66" s="16" t="str">
        <f aca="false">IF(K66=P66, "", "Error")</f>
        <v/>
      </c>
      <c r="T66" s="76"/>
      <c r="U66" s="76"/>
      <c r="V66" s="76"/>
      <c r="W66" s="76"/>
      <c r="X66" s="76"/>
      <c r="Y66" s="76"/>
      <c r="Z66" s="76"/>
      <c r="AA66" s="76"/>
      <c r="AB66" s="76"/>
      <c r="AC66" s="76"/>
      <c r="AD66" s="76"/>
      <c r="AE66" s="77"/>
      <c r="AF66" s="78"/>
      <c r="AG66" s="76"/>
      <c r="AH66" s="76"/>
      <c r="AI66" s="76"/>
      <c r="AJ66" s="76"/>
      <c r="AK66" s="76"/>
      <c r="AL66" s="76"/>
      <c r="AM66" s="76"/>
      <c r="AN66" s="76"/>
      <c r="AO66" s="76"/>
      <c r="AP66" s="76"/>
      <c r="AQ66" s="77"/>
      <c r="AR66" s="78"/>
      <c r="AS66" s="76"/>
      <c r="AT66" s="76"/>
      <c r="AU66" s="76"/>
      <c r="AV66" s="76"/>
      <c r="AW66" s="76"/>
      <c r="AX66" s="76"/>
      <c r="AY66" s="76"/>
      <c r="AZ66" s="76"/>
      <c r="BA66" s="76"/>
      <c r="BB66" s="76"/>
      <c r="BC66" s="77"/>
      <c r="BD66" s="78"/>
      <c r="BE66" s="76"/>
      <c r="BF66" s="76"/>
      <c r="BG66" s="76"/>
      <c r="BH66" s="76"/>
      <c r="BI66" s="76"/>
      <c r="BJ66" s="76"/>
      <c r="BK66" s="76"/>
      <c r="BL66" s="76"/>
      <c r="BM66" s="76"/>
      <c r="BN66" s="76"/>
      <c r="BO66" s="77"/>
      <c r="BP66" s="78"/>
      <c r="BQ66" s="76"/>
      <c r="BR66" s="76"/>
      <c r="BS66" s="76"/>
      <c r="BT66" s="76"/>
      <c r="BU66" s="76"/>
      <c r="BV66" s="76"/>
      <c r="BW66" s="76"/>
      <c r="BX66" s="76"/>
      <c r="BY66" s="76"/>
      <c r="BZ66" s="76"/>
      <c r="CA66" s="76"/>
      <c r="CC66" s="79" t="n">
        <f aca="false">SUMIFS($T66:$CA66, $T$1:$CA$1, CC$63)</f>
        <v>0</v>
      </c>
      <c r="CD66" s="79" t="n">
        <f aca="false">SUMIFS($T66:$CA66, $T$1:$CA$1, CD$63)</f>
        <v>0</v>
      </c>
      <c r="CE66" s="79" t="n">
        <f aca="false">SUMIFS($T66:$CA66, $T$1:$CA$1, CE$63)</f>
        <v>0</v>
      </c>
      <c r="CF66" s="79" t="n">
        <f aca="false">SUMIFS($T66:$CA66, $T$1:$CA$1, CF$63)</f>
        <v>0</v>
      </c>
      <c r="CG66" s="79" t="n">
        <f aca="false">SUMIFS($T66:$CA66, $T$1:$CA$1, CG$63)</f>
        <v>0</v>
      </c>
      <c r="CI66" s="79" t="n">
        <f aca="false">CC66=L66</f>
        <v>1</v>
      </c>
      <c r="CJ66" s="79" t="n">
        <f aca="false">CD66=M66</f>
        <v>1</v>
      </c>
      <c r="CK66" s="79" t="n">
        <f aca="false">CE66=N66</f>
        <v>1</v>
      </c>
      <c r="CL66" s="79" t="n">
        <f aca="false">CF66=O66</f>
        <v>1</v>
      </c>
      <c r="CM66" s="79" t="n">
        <f aca="false">CG66=P66</f>
        <v>1</v>
      </c>
    </row>
    <row r="67" s="14" customFormat="true" ht="16.5" hidden="false" customHeight="true" outlineLevel="0" collapsed="false">
      <c r="E67" s="70"/>
      <c r="H67" s="71"/>
      <c r="I67" s="76" t="n">
        <v>0</v>
      </c>
      <c r="J67" s="76" t="n">
        <v>0</v>
      </c>
      <c r="K67" s="207" t="n">
        <f aca="false">J67-I67</f>
        <v>0</v>
      </c>
      <c r="L67" s="76"/>
      <c r="M67" s="76"/>
      <c r="N67" s="76"/>
      <c r="O67" s="76"/>
      <c r="P67" s="77"/>
      <c r="Q67" s="75"/>
      <c r="R67" s="16" t="str">
        <f aca="false">IF(K67=P67, "", "Error")</f>
        <v/>
      </c>
      <c r="T67" s="76"/>
      <c r="U67" s="76"/>
      <c r="V67" s="76"/>
      <c r="W67" s="76"/>
      <c r="X67" s="76"/>
      <c r="Y67" s="76"/>
      <c r="Z67" s="76"/>
      <c r="AA67" s="76"/>
      <c r="AB67" s="76"/>
      <c r="AC67" s="76"/>
      <c r="AD67" s="76"/>
      <c r="AE67" s="77"/>
      <c r="AF67" s="78"/>
      <c r="AG67" s="76"/>
      <c r="AH67" s="76"/>
      <c r="AI67" s="76"/>
      <c r="AJ67" s="76"/>
      <c r="AK67" s="76"/>
      <c r="AL67" s="76"/>
      <c r="AM67" s="76"/>
      <c r="AN67" s="76"/>
      <c r="AO67" s="76"/>
      <c r="AP67" s="76"/>
      <c r="AQ67" s="77"/>
      <c r="AR67" s="78"/>
      <c r="AS67" s="76"/>
      <c r="AT67" s="76"/>
      <c r="AU67" s="76"/>
      <c r="AV67" s="76"/>
      <c r="AW67" s="76"/>
      <c r="AX67" s="76"/>
      <c r="AY67" s="76"/>
      <c r="AZ67" s="76"/>
      <c r="BA67" s="76"/>
      <c r="BB67" s="76"/>
      <c r="BC67" s="77"/>
      <c r="BD67" s="78"/>
      <c r="BE67" s="76"/>
      <c r="BF67" s="76"/>
      <c r="BG67" s="76"/>
      <c r="BH67" s="76"/>
      <c r="BI67" s="76"/>
      <c r="BJ67" s="76"/>
      <c r="BK67" s="76"/>
      <c r="BL67" s="76"/>
      <c r="BM67" s="76"/>
      <c r="BN67" s="76"/>
      <c r="BO67" s="77"/>
      <c r="BP67" s="78"/>
      <c r="BQ67" s="76"/>
      <c r="BR67" s="76"/>
      <c r="BS67" s="76"/>
      <c r="BT67" s="76"/>
      <c r="BU67" s="76"/>
      <c r="BV67" s="76"/>
      <c r="BW67" s="76"/>
      <c r="BX67" s="76"/>
      <c r="BY67" s="76"/>
      <c r="BZ67" s="76"/>
      <c r="CA67" s="76"/>
      <c r="CC67" s="79" t="n">
        <f aca="false">SUMIFS($T67:$CA67, $T$1:$CA$1, CC$63)</f>
        <v>0</v>
      </c>
      <c r="CD67" s="79" t="n">
        <f aca="false">SUMIFS($T67:$CA67, $T$1:$CA$1, CD$63)</f>
        <v>0</v>
      </c>
      <c r="CE67" s="79" t="n">
        <f aca="false">SUMIFS($T67:$CA67, $T$1:$CA$1, CE$63)</f>
        <v>0</v>
      </c>
      <c r="CF67" s="79" t="n">
        <f aca="false">SUMIFS($T67:$CA67, $T$1:$CA$1, CF$63)</f>
        <v>0</v>
      </c>
      <c r="CG67" s="79" t="n">
        <f aca="false">SUMIFS($T67:$CA67, $T$1:$CA$1, CG$63)</f>
        <v>0</v>
      </c>
      <c r="CI67" s="79" t="n">
        <f aca="false">CC67=L67</f>
        <v>1</v>
      </c>
      <c r="CJ67" s="79" t="n">
        <f aca="false">CD67=M67</f>
        <v>1</v>
      </c>
      <c r="CK67" s="79" t="n">
        <f aca="false">CE67=N67</f>
        <v>1</v>
      </c>
      <c r="CL67" s="79" t="n">
        <f aca="false">CF67=O67</f>
        <v>1</v>
      </c>
      <c r="CM67" s="79" t="n">
        <f aca="false">CG67=P67</f>
        <v>1</v>
      </c>
    </row>
    <row r="68" s="14" customFormat="true" ht="16.5" hidden="false" customHeight="true" outlineLevel="0" collapsed="false">
      <c r="E68" s="80" t="s">
        <v>127</v>
      </c>
      <c r="H68" s="71"/>
      <c r="I68" s="82" t="n">
        <f aca="false">SUM(I66:I67)</f>
        <v>0</v>
      </c>
      <c r="J68" s="82" t="n">
        <f aca="false">SUM(J66:J67)</f>
        <v>0</v>
      </c>
      <c r="K68" s="82" t="n">
        <f aca="false">SUM(K66:K67)</f>
        <v>0</v>
      </c>
      <c r="L68" s="82" t="n">
        <f aca="false">SUM(L66:L67)</f>
        <v>0</v>
      </c>
      <c r="M68" s="82" t="n">
        <f aca="false">SUM(M66:M67)</f>
        <v>0</v>
      </c>
      <c r="N68" s="82" t="n">
        <f aca="false">SUM(N66:N67)</f>
        <v>0</v>
      </c>
      <c r="O68" s="82" t="n">
        <f aca="false">SUM(O66:O67)</f>
        <v>0</v>
      </c>
      <c r="P68" s="82" t="n">
        <f aca="false">SUM(P66:P67)</f>
        <v>0</v>
      </c>
      <c r="Q68" s="16"/>
      <c r="R68" s="16"/>
      <c r="T68" s="82" t="n">
        <f aca="false">SUM(T66:T67)</f>
        <v>0</v>
      </c>
      <c r="U68" s="82" t="n">
        <f aca="false">SUM(U66:U67)</f>
        <v>0</v>
      </c>
      <c r="V68" s="82" t="n">
        <f aca="false">SUM(V66:V67)</f>
        <v>0</v>
      </c>
      <c r="W68" s="82" t="n">
        <f aca="false">SUM(W66:W67)</f>
        <v>0</v>
      </c>
      <c r="X68" s="82" t="n">
        <f aca="false">SUM(X66:X67)</f>
        <v>0</v>
      </c>
      <c r="Y68" s="82" t="n">
        <f aca="false">SUM(Y66:Y67)</f>
        <v>0</v>
      </c>
      <c r="Z68" s="82" t="n">
        <f aca="false">SUM(Z66:Z67)</f>
        <v>0</v>
      </c>
      <c r="AA68" s="82" t="n">
        <f aca="false">SUM(AA66:AA67)</f>
        <v>0</v>
      </c>
      <c r="AB68" s="82" t="n">
        <f aca="false">SUM(AB66:AB67)</f>
        <v>0</v>
      </c>
      <c r="AC68" s="82" t="n">
        <f aca="false">SUM(AC66:AC67)</f>
        <v>0</v>
      </c>
      <c r="AD68" s="82" t="n">
        <f aca="false">SUM(AD66:AD67)</f>
        <v>0</v>
      </c>
      <c r="AE68" s="82" t="n">
        <f aca="false">SUM(AE66:AE67)</f>
        <v>0</v>
      </c>
      <c r="AF68" s="83" t="n">
        <f aca="false">SUM(AF66:AF67)</f>
        <v>0</v>
      </c>
      <c r="AG68" s="82" t="n">
        <f aca="false">SUM(AG66:AG67)</f>
        <v>0</v>
      </c>
      <c r="AH68" s="82" t="n">
        <f aca="false">SUM(AH66:AH67)</f>
        <v>0</v>
      </c>
      <c r="AI68" s="82" t="n">
        <f aca="false">SUM(AI66:AI67)</f>
        <v>0</v>
      </c>
      <c r="AJ68" s="82" t="n">
        <f aca="false">SUM(AJ66:AJ67)</f>
        <v>0</v>
      </c>
      <c r="AK68" s="82" t="n">
        <f aca="false">SUM(AK66:AK67)</f>
        <v>0</v>
      </c>
      <c r="AL68" s="82" t="n">
        <f aca="false">SUM(AL66:AL67)</f>
        <v>0</v>
      </c>
      <c r="AM68" s="82" t="n">
        <f aca="false">SUM(AM66:AM67)</f>
        <v>0</v>
      </c>
      <c r="AN68" s="82" t="n">
        <f aca="false">SUM(AN66:AN67)</f>
        <v>0</v>
      </c>
      <c r="AO68" s="82" t="n">
        <f aca="false">SUM(AO66:AO67)</f>
        <v>0</v>
      </c>
      <c r="AP68" s="82" t="n">
        <f aca="false">SUM(AP66:AP67)</f>
        <v>0</v>
      </c>
      <c r="AQ68" s="82" t="n">
        <f aca="false">SUM(AQ66:AQ67)</f>
        <v>0</v>
      </c>
      <c r="AR68" s="83" t="n">
        <f aca="false">SUM(AR66:AR67)</f>
        <v>0</v>
      </c>
      <c r="AS68" s="82" t="n">
        <f aca="false">SUM(AS66:AS67)</f>
        <v>0</v>
      </c>
      <c r="AT68" s="82" t="n">
        <f aca="false">SUM(AT66:AT67)</f>
        <v>0</v>
      </c>
      <c r="AU68" s="82" t="n">
        <f aca="false">SUM(AU66:AU67)</f>
        <v>0</v>
      </c>
      <c r="AV68" s="82" t="n">
        <f aca="false">SUM(AV66:AV67)</f>
        <v>0</v>
      </c>
      <c r="AW68" s="82" t="n">
        <f aca="false">SUM(AW66:AW67)</f>
        <v>0</v>
      </c>
      <c r="AX68" s="82" t="n">
        <f aca="false">SUM(AX66:AX67)</f>
        <v>0</v>
      </c>
      <c r="AY68" s="82" t="n">
        <f aca="false">SUM(AY66:AY67)</f>
        <v>0</v>
      </c>
      <c r="AZ68" s="82" t="n">
        <f aca="false">SUM(AZ66:AZ67)</f>
        <v>0</v>
      </c>
      <c r="BA68" s="82" t="n">
        <f aca="false">SUM(BA66:BA67)</f>
        <v>0</v>
      </c>
      <c r="BB68" s="82" t="n">
        <f aca="false">SUM(BB66:BB67)</f>
        <v>0</v>
      </c>
      <c r="BC68" s="82" t="n">
        <f aca="false">SUM(BC66:BC67)</f>
        <v>0</v>
      </c>
      <c r="BD68" s="83" t="n">
        <f aca="false">SUM(BD66:BD67)</f>
        <v>0</v>
      </c>
      <c r="BE68" s="82" t="n">
        <f aca="false">SUM(BE66:BE67)</f>
        <v>0</v>
      </c>
      <c r="BF68" s="82" t="n">
        <f aca="false">SUM(BF66:BF67)</f>
        <v>0</v>
      </c>
      <c r="BG68" s="82" t="n">
        <f aca="false">SUM(BG66:BG67)</f>
        <v>0</v>
      </c>
      <c r="BH68" s="82" t="n">
        <f aca="false">SUM(BH66:BH67)</f>
        <v>0</v>
      </c>
      <c r="BI68" s="82" t="n">
        <f aca="false">SUM(BI66:BI67)</f>
        <v>0</v>
      </c>
      <c r="BJ68" s="82" t="n">
        <f aca="false">SUM(BJ66:BJ67)</f>
        <v>0</v>
      </c>
      <c r="BK68" s="82" t="n">
        <f aca="false">SUM(BK66:BK67)</f>
        <v>0</v>
      </c>
      <c r="BL68" s="82" t="n">
        <f aca="false">SUM(BL66:BL67)</f>
        <v>0</v>
      </c>
      <c r="BM68" s="82" t="n">
        <f aca="false">SUM(BM66:BM67)</f>
        <v>0</v>
      </c>
      <c r="BN68" s="82" t="n">
        <f aca="false">SUM(BN66:BN67)</f>
        <v>0</v>
      </c>
      <c r="BO68" s="82" t="n">
        <f aca="false">SUM(BO66:BO67)</f>
        <v>0</v>
      </c>
      <c r="BP68" s="83" t="n">
        <f aca="false">SUM(BP66:BP67)</f>
        <v>0</v>
      </c>
      <c r="BQ68" s="82" t="n">
        <f aca="false">SUM(BQ66:BQ67)</f>
        <v>0</v>
      </c>
      <c r="BR68" s="82" t="n">
        <f aca="false">SUM(BR66:BR67)</f>
        <v>0</v>
      </c>
      <c r="BS68" s="82" t="n">
        <f aca="false">SUM(BS66:BS67)</f>
        <v>0</v>
      </c>
      <c r="BT68" s="82" t="n">
        <f aca="false">SUM(BT66:BT67)</f>
        <v>0</v>
      </c>
      <c r="BU68" s="82" t="n">
        <f aca="false">SUM(BU66:BU67)</f>
        <v>0</v>
      </c>
      <c r="BV68" s="82" t="n">
        <f aca="false">SUM(BV66:BV67)</f>
        <v>0</v>
      </c>
      <c r="BW68" s="82" t="n">
        <f aca="false">SUM(BW66:BW67)</f>
        <v>0</v>
      </c>
      <c r="BX68" s="82" t="n">
        <f aca="false">SUM(BX66:BX67)</f>
        <v>0</v>
      </c>
      <c r="BY68" s="82" t="n">
        <f aca="false">SUM(BY66:BY67)</f>
        <v>0</v>
      </c>
      <c r="BZ68" s="82" t="n">
        <f aca="false">SUM(BZ66:BZ67)</f>
        <v>0</v>
      </c>
      <c r="CA68" s="82" t="n">
        <f aca="false">SUM(CA66:CA67)</f>
        <v>0</v>
      </c>
      <c r="CC68" s="84" t="n">
        <f aca="false">SUM(CC66:CC67)</f>
        <v>0</v>
      </c>
      <c r="CD68" s="84" t="n">
        <f aca="false">SUM(CD66:CD67)</f>
        <v>0</v>
      </c>
      <c r="CE68" s="84" t="n">
        <f aca="false">SUM(CE66:CE67)</f>
        <v>0</v>
      </c>
      <c r="CF68" s="84" t="n">
        <f aca="false">SUM(CF66:CF67)</f>
        <v>0</v>
      </c>
      <c r="CG68" s="84" t="n">
        <f aca="false">SUM(CG66:CG67)</f>
        <v>0</v>
      </c>
      <c r="CI68" s="84" t="n">
        <f aca="false">CC68=L68</f>
        <v>1</v>
      </c>
      <c r="CJ68" s="84" t="n">
        <f aca="false">CD68=M68</f>
        <v>1</v>
      </c>
      <c r="CK68" s="84" t="n">
        <f aca="false">CE68=N68</f>
        <v>1</v>
      </c>
      <c r="CL68" s="84" t="n">
        <f aca="false">CF68=O68</f>
        <v>1</v>
      </c>
      <c r="CM68" s="84" t="n">
        <f aca="false">CG68=P68</f>
        <v>1</v>
      </c>
    </row>
    <row r="69" s="14" customFormat="true" ht="16.5" hidden="false" customHeight="true" outlineLevel="0" collapsed="false">
      <c r="E69" s="85"/>
      <c r="H69" s="86"/>
      <c r="I69" s="88"/>
      <c r="J69" s="88"/>
      <c r="K69" s="88"/>
      <c r="L69" s="88"/>
      <c r="M69" s="88"/>
      <c r="N69" s="88"/>
      <c r="O69" s="88"/>
      <c r="P69" s="88"/>
      <c r="Q69" s="16"/>
      <c r="R69" s="16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9"/>
      <c r="AG69" s="88"/>
      <c r="AH69" s="88"/>
      <c r="AI69" s="88"/>
      <c r="AJ69" s="88"/>
      <c r="AK69" s="88"/>
      <c r="AL69" s="88"/>
      <c r="AM69" s="88"/>
      <c r="AN69" s="88"/>
      <c r="AO69" s="88"/>
      <c r="AP69" s="88"/>
      <c r="AQ69" s="88"/>
      <c r="AR69" s="89"/>
      <c r="AS69" s="88"/>
      <c r="AT69" s="88"/>
      <c r="AU69" s="88"/>
      <c r="AV69" s="88"/>
      <c r="AW69" s="88"/>
      <c r="AX69" s="88"/>
      <c r="AY69" s="88"/>
      <c r="AZ69" s="88"/>
      <c r="BA69" s="88"/>
      <c r="BB69" s="88"/>
      <c r="BC69" s="88"/>
      <c r="BD69" s="89"/>
      <c r="BE69" s="88"/>
      <c r="BF69" s="88"/>
      <c r="BG69" s="88"/>
      <c r="BH69" s="88"/>
      <c r="BI69" s="88"/>
      <c r="BJ69" s="88"/>
      <c r="BK69" s="88"/>
      <c r="BL69" s="88"/>
      <c r="BM69" s="88"/>
      <c r="BN69" s="88"/>
      <c r="BO69" s="88"/>
      <c r="BP69" s="89"/>
      <c r="BQ69" s="88"/>
      <c r="BR69" s="88"/>
      <c r="BS69" s="88"/>
      <c r="BT69" s="88"/>
      <c r="BU69" s="88"/>
      <c r="BV69" s="88"/>
      <c r="BW69" s="88"/>
      <c r="BX69" s="88"/>
      <c r="BY69" s="88"/>
      <c r="BZ69" s="88"/>
      <c r="CA69" s="88"/>
      <c r="CC69" s="90"/>
      <c r="CD69" s="90"/>
      <c r="CE69" s="90"/>
      <c r="CF69" s="90"/>
      <c r="CG69" s="90"/>
      <c r="CI69" s="90"/>
      <c r="CJ69" s="90"/>
      <c r="CK69" s="90"/>
      <c r="CL69" s="90"/>
      <c r="CM69" s="90"/>
    </row>
    <row r="70" s="14" customFormat="true" ht="16.5" hidden="false" customHeight="true" outlineLevel="0" collapsed="false">
      <c r="E70" s="21" t="s">
        <v>128</v>
      </c>
      <c r="H70" s="71"/>
      <c r="I70" s="88"/>
      <c r="J70" s="88"/>
      <c r="K70" s="88"/>
      <c r="L70" s="88"/>
      <c r="M70" s="88"/>
      <c r="N70" s="88"/>
      <c r="O70" s="88"/>
      <c r="P70" s="88"/>
      <c r="Q70" s="16"/>
      <c r="R70" s="16"/>
      <c r="T70" s="88"/>
      <c r="U70" s="88"/>
      <c r="V70" s="88"/>
      <c r="W70" s="88"/>
      <c r="X70" s="88"/>
      <c r="Y70" s="88"/>
      <c r="Z70" s="88"/>
      <c r="AA70" s="88"/>
      <c r="AB70" s="88"/>
      <c r="AC70" s="88"/>
      <c r="AD70" s="88"/>
      <c r="AE70" s="88"/>
      <c r="AF70" s="89"/>
      <c r="AG70" s="88"/>
      <c r="AH70" s="88"/>
      <c r="AI70" s="88"/>
      <c r="AJ70" s="88"/>
      <c r="AK70" s="88"/>
      <c r="AL70" s="88"/>
      <c r="AM70" s="88"/>
      <c r="AN70" s="88"/>
      <c r="AO70" s="88"/>
      <c r="AP70" s="88"/>
      <c r="AQ70" s="88"/>
      <c r="AR70" s="89"/>
      <c r="AS70" s="88"/>
      <c r="AT70" s="88"/>
      <c r="AU70" s="88"/>
      <c r="AV70" s="88"/>
      <c r="AW70" s="88"/>
      <c r="AX70" s="88"/>
      <c r="AY70" s="88"/>
      <c r="AZ70" s="88"/>
      <c r="BA70" s="88"/>
      <c r="BB70" s="88"/>
      <c r="BC70" s="88"/>
      <c r="BD70" s="89"/>
      <c r="BE70" s="88"/>
      <c r="BF70" s="88"/>
      <c r="BG70" s="88"/>
      <c r="BH70" s="88"/>
      <c r="BI70" s="88"/>
      <c r="BJ70" s="88"/>
      <c r="BK70" s="88"/>
      <c r="BL70" s="88"/>
      <c r="BM70" s="88"/>
      <c r="BN70" s="88"/>
      <c r="BO70" s="88"/>
      <c r="BP70" s="89"/>
      <c r="BQ70" s="88"/>
      <c r="BR70" s="88"/>
      <c r="BS70" s="88"/>
      <c r="BT70" s="88"/>
      <c r="BU70" s="88"/>
      <c r="BV70" s="88"/>
      <c r="BW70" s="88"/>
      <c r="BX70" s="88"/>
      <c r="BY70" s="88"/>
      <c r="BZ70" s="88"/>
      <c r="CA70" s="88"/>
      <c r="CC70" s="90"/>
      <c r="CD70" s="90"/>
      <c r="CE70" s="90"/>
      <c r="CF70" s="90"/>
      <c r="CG70" s="90"/>
      <c r="CI70" s="90"/>
      <c r="CJ70" s="90"/>
      <c r="CK70" s="90"/>
      <c r="CL70" s="90"/>
      <c r="CM70" s="90"/>
    </row>
    <row r="71" s="14" customFormat="true" ht="16.5" hidden="false" customHeight="true" outlineLevel="0" collapsed="false">
      <c r="E71" s="91"/>
      <c r="H71" s="71"/>
      <c r="I71" s="91"/>
      <c r="J71" s="91"/>
      <c r="K71" s="207" t="n">
        <f aca="false">I71-J71</f>
        <v>0</v>
      </c>
      <c r="L71" s="91"/>
      <c r="M71" s="91"/>
      <c r="N71" s="91"/>
      <c r="O71" s="91"/>
      <c r="P71" s="91"/>
      <c r="Q71" s="93"/>
      <c r="R71" s="16" t="str">
        <f aca="false">IF(K71=P71, "", "Error")</f>
        <v/>
      </c>
      <c r="T71" s="91"/>
      <c r="U71" s="91"/>
      <c r="V71" s="91"/>
      <c r="W71" s="91"/>
      <c r="X71" s="91"/>
      <c r="Y71" s="91"/>
      <c r="Z71" s="91"/>
      <c r="AA71" s="91"/>
      <c r="AB71" s="91"/>
      <c r="AC71" s="91"/>
      <c r="AD71" s="91"/>
      <c r="AE71" s="94"/>
      <c r="AF71" s="95"/>
      <c r="AG71" s="91"/>
      <c r="AH71" s="91"/>
      <c r="AI71" s="91"/>
      <c r="AJ71" s="91"/>
      <c r="AK71" s="91"/>
      <c r="AL71" s="91"/>
      <c r="AM71" s="91"/>
      <c r="AN71" s="91"/>
      <c r="AO71" s="91"/>
      <c r="AP71" s="91"/>
      <c r="AQ71" s="94"/>
      <c r="AR71" s="95"/>
      <c r="AS71" s="91"/>
      <c r="AT71" s="91"/>
      <c r="AU71" s="91"/>
      <c r="AV71" s="91"/>
      <c r="AW71" s="91"/>
      <c r="AX71" s="91"/>
      <c r="AY71" s="91"/>
      <c r="AZ71" s="91"/>
      <c r="BA71" s="91"/>
      <c r="BB71" s="91"/>
      <c r="BC71" s="94"/>
      <c r="BD71" s="95"/>
      <c r="BE71" s="91"/>
      <c r="BF71" s="91"/>
      <c r="BG71" s="91"/>
      <c r="BH71" s="91"/>
      <c r="BI71" s="91"/>
      <c r="BJ71" s="91"/>
      <c r="BK71" s="91"/>
      <c r="BL71" s="91"/>
      <c r="BM71" s="91"/>
      <c r="BN71" s="91"/>
      <c r="BO71" s="94"/>
      <c r="BP71" s="95"/>
      <c r="BQ71" s="91"/>
      <c r="BR71" s="91"/>
      <c r="BS71" s="91"/>
      <c r="BT71" s="91"/>
      <c r="BU71" s="91"/>
      <c r="BV71" s="91"/>
      <c r="BW71" s="91"/>
      <c r="BX71" s="91"/>
      <c r="BY71" s="91"/>
      <c r="BZ71" s="91"/>
      <c r="CA71" s="91"/>
      <c r="CC71" s="79" t="n">
        <f aca="false">SUMIFS($T71:$CA71, $T$1:$CA$1, CC$63)</f>
        <v>0</v>
      </c>
      <c r="CD71" s="79" t="n">
        <f aca="false">SUMIFS($T71:$CA71, $T$1:$CA$1, CD$63)</f>
        <v>0</v>
      </c>
      <c r="CE71" s="79" t="n">
        <f aca="false">SUMIFS($T71:$CA71, $T$1:$CA$1, CE$63)</f>
        <v>0</v>
      </c>
      <c r="CF71" s="79" t="n">
        <f aca="false">SUMIFS($T71:$CA71, $T$1:$CA$1, CF$63)</f>
        <v>0</v>
      </c>
      <c r="CG71" s="79" t="n">
        <f aca="false">SUMIFS($T71:$CA71, $T$1:$CA$1, CG$63)</f>
        <v>0</v>
      </c>
      <c r="CI71" s="79" t="n">
        <f aca="false">CC71=L71</f>
        <v>1</v>
      </c>
      <c r="CJ71" s="79" t="n">
        <f aca="false">CD71=M71</f>
        <v>1</v>
      </c>
      <c r="CK71" s="79" t="n">
        <f aca="false">CE71=N71</f>
        <v>1</v>
      </c>
      <c r="CL71" s="79" t="n">
        <f aca="false">CF71=O71</f>
        <v>1</v>
      </c>
      <c r="CM71" s="79" t="n">
        <f aca="false">CG71=P71</f>
        <v>1</v>
      </c>
    </row>
    <row r="72" s="14" customFormat="true" ht="16.5" hidden="false" customHeight="true" outlineLevel="0" collapsed="false">
      <c r="E72" s="91"/>
      <c r="H72" s="71"/>
      <c r="I72" s="91" t="n">
        <v>0</v>
      </c>
      <c r="J72" s="91" t="n">
        <v>0</v>
      </c>
      <c r="K72" s="207" t="n">
        <f aca="false">I72-J72</f>
        <v>0</v>
      </c>
      <c r="L72" s="91"/>
      <c r="M72" s="91"/>
      <c r="N72" s="91"/>
      <c r="O72" s="91"/>
      <c r="P72" s="91"/>
      <c r="Q72" s="93"/>
      <c r="R72" s="16" t="str">
        <f aca="false">IF(K72=P72, "", "Error")</f>
        <v/>
      </c>
      <c r="T72" s="91"/>
      <c r="U72" s="91"/>
      <c r="V72" s="91"/>
      <c r="W72" s="91"/>
      <c r="X72" s="91"/>
      <c r="Y72" s="91"/>
      <c r="Z72" s="91"/>
      <c r="AA72" s="91"/>
      <c r="AB72" s="91"/>
      <c r="AC72" s="91"/>
      <c r="AD72" s="91"/>
      <c r="AE72" s="94"/>
      <c r="AF72" s="95"/>
      <c r="AG72" s="91"/>
      <c r="AH72" s="91"/>
      <c r="AI72" s="91"/>
      <c r="AJ72" s="91"/>
      <c r="AK72" s="91"/>
      <c r="AL72" s="91"/>
      <c r="AM72" s="91"/>
      <c r="AN72" s="91"/>
      <c r="AO72" s="91"/>
      <c r="AP72" s="91"/>
      <c r="AQ72" s="94"/>
      <c r="AR72" s="95"/>
      <c r="AS72" s="91"/>
      <c r="AT72" s="91"/>
      <c r="AU72" s="91"/>
      <c r="AV72" s="91"/>
      <c r="AW72" s="91"/>
      <c r="AX72" s="91"/>
      <c r="AY72" s="91"/>
      <c r="AZ72" s="91"/>
      <c r="BA72" s="91"/>
      <c r="BB72" s="91"/>
      <c r="BC72" s="94"/>
      <c r="BD72" s="95"/>
      <c r="BE72" s="91"/>
      <c r="BF72" s="91"/>
      <c r="BG72" s="91"/>
      <c r="BH72" s="91"/>
      <c r="BI72" s="91"/>
      <c r="BJ72" s="91"/>
      <c r="BK72" s="91"/>
      <c r="BL72" s="91"/>
      <c r="BM72" s="91"/>
      <c r="BN72" s="91"/>
      <c r="BO72" s="94"/>
      <c r="BP72" s="95"/>
      <c r="BQ72" s="91"/>
      <c r="BR72" s="91"/>
      <c r="BS72" s="91"/>
      <c r="BT72" s="91"/>
      <c r="BU72" s="91"/>
      <c r="BV72" s="91"/>
      <c r="BW72" s="91"/>
      <c r="BX72" s="91"/>
      <c r="BY72" s="91"/>
      <c r="BZ72" s="91"/>
      <c r="CA72" s="91"/>
      <c r="CC72" s="79" t="n">
        <f aca="false">SUMIFS($T72:$CA72, $T$1:$CA$1, CC$63)</f>
        <v>0</v>
      </c>
      <c r="CD72" s="79" t="n">
        <f aca="false">SUMIFS($T72:$CA72, $T$1:$CA$1, CD$63)</f>
        <v>0</v>
      </c>
      <c r="CE72" s="79" t="n">
        <f aca="false">SUMIFS($T72:$CA72, $T$1:$CA$1, CE$63)</f>
        <v>0</v>
      </c>
      <c r="CF72" s="79" t="n">
        <f aca="false">SUMIFS($T72:$CA72, $T$1:$CA$1, CF$63)</f>
        <v>0</v>
      </c>
      <c r="CG72" s="79" t="n">
        <f aca="false">SUMIFS($T72:$CA72, $T$1:$CA$1, CG$63)</f>
        <v>0</v>
      </c>
      <c r="CI72" s="79" t="n">
        <f aca="false">CC72=L72</f>
        <v>1</v>
      </c>
      <c r="CJ72" s="79" t="n">
        <f aca="false">CD72=M72</f>
        <v>1</v>
      </c>
      <c r="CK72" s="79" t="n">
        <f aca="false">CE72=N72</f>
        <v>1</v>
      </c>
      <c r="CL72" s="79" t="n">
        <f aca="false">CF72=O72</f>
        <v>1</v>
      </c>
      <c r="CM72" s="79" t="n">
        <f aca="false">CG72=P72</f>
        <v>1</v>
      </c>
    </row>
    <row r="73" s="14" customFormat="true" ht="16.5" hidden="false" customHeight="true" outlineLevel="0" collapsed="false">
      <c r="E73" s="91"/>
      <c r="H73" s="71"/>
      <c r="I73" s="91" t="n">
        <v>0</v>
      </c>
      <c r="J73" s="91" t="n">
        <v>0</v>
      </c>
      <c r="K73" s="207" t="n">
        <f aca="false">I73-J73</f>
        <v>0</v>
      </c>
      <c r="L73" s="91"/>
      <c r="M73" s="91"/>
      <c r="N73" s="91"/>
      <c r="O73" s="91"/>
      <c r="P73" s="91"/>
      <c r="Q73" s="93"/>
      <c r="R73" s="16" t="str">
        <f aca="false">IF(K73=P73, "", "Error")</f>
        <v/>
      </c>
      <c r="T73" s="91"/>
      <c r="U73" s="91"/>
      <c r="V73" s="91"/>
      <c r="W73" s="91"/>
      <c r="X73" s="91"/>
      <c r="Y73" s="91"/>
      <c r="Z73" s="91"/>
      <c r="AA73" s="91"/>
      <c r="AB73" s="91"/>
      <c r="AC73" s="91"/>
      <c r="AD73" s="91"/>
      <c r="AE73" s="94"/>
      <c r="AF73" s="95"/>
      <c r="AG73" s="91"/>
      <c r="AH73" s="91"/>
      <c r="AI73" s="91"/>
      <c r="AJ73" s="91"/>
      <c r="AK73" s="91"/>
      <c r="AL73" s="91"/>
      <c r="AM73" s="91"/>
      <c r="AN73" s="91"/>
      <c r="AO73" s="91"/>
      <c r="AP73" s="91"/>
      <c r="AQ73" s="94"/>
      <c r="AR73" s="95"/>
      <c r="AS73" s="91"/>
      <c r="AT73" s="91"/>
      <c r="AU73" s="91"/>
      <c r="AV73" s="91"/>
      <c r="AW73" s="91"/>
      <c r="AX73" s="91"/>
      <c r="AY73" s="91"/>
      <c r="AZ73" s="91"/>
      <c r="BA73" s="91"/>
      <c r="BB73" s="91"/>
      <c r="BC73" s="94"/>
      <c r="BD73" s="95"/>
      <c r="BE73" s="91"/>
      <c r="BF73" s="91"/>
      <c r="BG73" s="91"/>
      <c r="BH73" s="91"/>
      <c r="BI73" s="91"/>
      <c r="BJ73" s="91"/>
      <c r="BK73" s="91"/>
      <c r="BL73" s="91"/>
      <c r="BM73" s="91"/>
      <c r="BN73" s="91"/>
      <c r="BO73" s="94"/>
      <c r="BP73" s="95"/>
      <c r="BQ73" s="91"/>
      <c r="BR73" s="91"/>
      <c r="BS73" s="91"/>
      <c r="BT73" s="91"/>
      <c r="BU73" s="91"/>
      <c r="BV73" s="91"/>
      <c r="BW73" s="91"/>
      <c r="BX73" s="91"/>
      <c r="BY73" s="91"/>
      <c r="BZ73" s="91"/>
      <c r="CA73" s="91"/>
      <c r="CC73" s="79" t="n">
        <f aca="false">SUMIFS($T73:$CA73, $T$1:$CA$1, CC$63)</f>
        <v>0</v>
      </c>
      <c r="CD73" s="79" t="n">
        <f aca="false">SUMIFS($T73:$CA73, $T$1:$CA$1, CD$63)</f>
        <v>0</v>
      </c>
      <c r="CE73" s="79" t="n">
        <f aca="false">SUMIFS($T73:$CA73, $T$1:$CA$1, CE$63)</f>
        <v>0</v>
      </c>
      <c r="CF73" s="79" t="n">
        <f aca="false">SUMIFS($T73:$CA73, $T$1:$CA$1, CF$63)</f>
        <v>0</v>
      </c>
      <c r="CG73" s="79" t="n">
        <f aca="false">SUMIFS($T73:$CA73, $T$1:$CA$1, CG$63)</f>
        <v>0</v>
      </c>
      <c r="CI73" s="79" t="n">
        <f aca="false">CC73=L73</f>
        <v>1</v>
      </c>
      <c r="CJ73" s="79" t="n">
        <f aca="false">CD73=M73</f>
        <v>1</v>
      </c>
      <c r="CK73" s="79" t="n">
        <f aca="false">CE73=N73</f>
        <v>1</v>
      </c>
      <c r="CL73" s="79" t="n">
        <f aca="false">CF73=O73</f>
        <v>1</v>
      </c>
      <c r="CM73" s="79" t="n">
        <f aca="false">CG73=P73</f>
        <v>1</v>
      </c>
    </row>
    <row r="74" s="14" customFormat="true" ht="16.5" hidden="false" customHeight="true" outlineLevel="0" collapsed="false">
      <c r="E74" s="91"/>
      <c r="H74" s="71"/>
      <c r="I74" s="91" t="n">
        <v>0</v>
      </c>
      <c r="J74" s="91" t="n">
        <v>0</v>
      </c>
      <c r="K74" s="207" t="n">
        <f aca="false">I74-J74</f>
        <v>0</v>
      </c>
      <c r="L74" s="91"/>
      <c r="M74" s="91"/>
      <c r="N74" s="91"/>
      <c r="O74" s="91"/>
      <c r="P74" s="91"/>
      <c r="Q74" s="93"/>
      <c r="R74" s="16" t="str">
        <f aca="false">IF(K74=P74, "", "Error")</f>
        <v/>
      </c>
      <c r="T74" s="91"/>
      <c r="U74" s="91"/>
      <c r="V74" s="91"/>
      <c r="W74" s="91"/>
      <c r="X74" s="91"/>
      <c r="Y74" s="91"/>
      <c r="Z74" s="91"/>
      <c r="AA74" s="91"/>
      <c r="AB74" s="91"/>
      <c r="AC74" s="91"/>
      <c r="AD74" s="91"/>
      <c r="AE74" s="94"/>
      <c r="AF74" s="95"/>
      <c r="AG74" s="91"/>
      <c r="AH74" s="91"/>
      <c r="AI74" s="91"/>
      <c r="AJ74" s="91"/>
      <c r="AK74" s="91"/>
      <c r="AL74" s="91"/>
      <c r="AM74" s="91"/>
      <c r="AN74" s="91"/>
      <c r="AO74" s="91"/>
      <c r="AP74" s="91"/>
      <c r="AQ74" s="94"/>
      <c r="AR74" s="95"/>
      <c r="AS74" s="91"/>
      <c r="AT74" s="91"/>
      <c r="AU74" s="91"/>
      <c r="AV74" s="91"/>
      <c r="AW74" s="91"/>
      <c r="AX74" s="91"/>
      <c r="AY74" s="91"/>
      <c r="AZ74" s="91"/>
      <c r="BA74" s="91"/>
      <c r="BB74" s="91"/>
      <c r="BC74" s="94"/>
      <c r="BD74" s="95"/>
      <c r="BE74" s="91"/>
      <c r="BF74" s="91"/>
      <c r="BG74" s="91"/>
      <c r="BH74" s="91"/>
      <c r="BI74" s="91"/>
      <c r="BJ74" s="91"/>
      <c r="BK74" s="91"/>
      <c r="BL74" s="91"/>
      <c r="BM74" s="91"/>
      <c r="BN74" s="91"/>
      <c r="BO74" s="94"/>
      <c r="BP74" s="95"/>
      <c r="BQ74" s="91"/>
      <c r="BR74" s="91"/>
      <c r="BS74" s="91"/>
      <c r="BT74" s="91"/>
      <c r="BU74" s="91"/>
      <c r="BV74" s="91"/>
      <c r="BW74" s="91"/>
      <c r="BX74" s="91"/>
      <c r="BY74" s="91"/>
      <c r="BZ74" s="91"/>
      <c r="CA74" s="91"/>
      <c r="CC74" s="79" t="n">
        <f aca="false">SUMIFS($T74:$CA74, $T$1:$CA$1, CC$63)</f>
        <v>0</v>
      </c>
      <c r="CD74" s="79" t="n">
        <f aca="false">SUMIFS($T74:$CA74, $T$1:$CA$1, CD$63)</f>
        <v>0</v>
      </c>
      <c r="CE74" s="79" t="n">
        <f aca="false">SUMIFS($T74:$CA74, $T$1:$CA$1, CE$63)</f>
        <v>0</v>
      </c>
      <c r="CF74" s="79" t="n">
        <f aca="false">SUMIFS($T74:$CA74, $T$1:$CA$1, CF$63)</f>
        <v>0</v>
      </c>
      <c r="CG74" s="79" t="n">
        <f aca="false">SUMIFS($T74:$CA74, $T$1:$CA$1, CG$63)</f>
        <v>0</v>
      </c>
      <c r="CI74" s="79" t="n">
        <f aca="false">CC74=L74</f>
        <v>1</v>
      </c>
      <c r="CJ74" s="79" t="n">
        <f aca="false">CD74=M74</f>
        <v>1</v>
      </c>
      <c r="CK74" s="79" t="n">
        <f aca="false">CE74=N74</f>
        <v>1</v>
      </c>
      <c r="CL74" s="79" t="n">
        <f aca="false">CF74=O74</f>
        <v>1</v>
      </c>
      <c r="CM74" s="79" t="n">
        <f aca="false">CG74=P74</f>
        <v>1</v>
      </c>
    </row>
    <row r="75" s="14" customFormat="true" ht="16.5" hidden="false" customHeight="true" outlineLevel="0" collapsed="false">
      <c r="E75" s="91"/>
      <c r="H75" s="71"/>
      <c r="I75" s="91"/>
      <c r="J75" s="91"/>
      <c r="K75" s="207" t="n">
        <f aca="false">I75-J75</f>
        <v>0</v>
      </c>
      <c r="L75" s="91"/>
      <c r="M75" s="91"/>
      <c r="N75" s="91"/>
      <c r="O75" s="91"/>
      <c r="P75" s="91"/>
      <c r="Q75" s="93"/>
      <c r="R75" s="16" t="str">
        <f aca="false">IF(K75=P75, "", "Error")</f>
        <v/>
      </c>
      <c r="T75" s="91"/>
      <c r="U75" s="91"/>
      <c r="V75" s="91"/>
      <c r="W75" s="91"/>
      <c r="X75" s="91"/>
      <c r="Y75" s="91"/>
      <c r="Z75" s="91"/>
      <c r="AA75" s="91"/>
      <c r="AB75" s="91"/>
      <c r="AC75" s="91"/>
      <c r="AD75" s="91"/>
      <c r="AE75" s="94"/>
      <c r="AF75" s="95"/>
      <c r="AG75" s="91"/>
      <c r="AH75" s="91"/>
      <c r="AI75" s="91"/>
      <c r="AJ75" s="91"/>
      <c r="AK75" s="91"/>
      <c r="AL75" s="91"/>
      <c r="AM75" s="91"/>
      <c r="AN75" s="91"/>
      <c r="AO75" s="91"/>
      <c r="AP75" s="91"/>
      <c r="AQ75" s="94"/>
      <c r="AR75" s="95"/>
      <c r="AS75" s="91"/>
      <c r="AT75" s="91"/>
      <c r="AU75" s="91"/>
      <c r="AV75" s="91"/>
      <c r="AW75" s="91"/>
      <c r="AX75" s="91"/>
      <c r="AY75" s="91"/>
      <c r="AZ75" s="91"/>
      <c r="BA75" s="91"/>
      <c r="BB75" s="91"/>
      <c r="BC75" s="94"/>
      <c r="BD75" s="95"/>
      <c r="BE75" s="91"/>
      <c r="BF75" s="91"/>
      <c r="BG75" s="91"/>
      <c r="BH75" s="91"/>
      <c r="BI75" s="91"/>
      <c r="BJ75" s="91"/>
      <c r="BK75" s="91"/>
      <c r="BL75" s="91"/>
      <c r="BM75" s="91"/>
      <c r="BN75" s="91"/>
      <c r="BO75" s="94"/>
      <c r="BP75" s="95"/>
      <c r="BQ75" s="91"/>
      <c r="BR75" s="91"/>
      <c r="BS75" s="91"/>
      <c r="BT75" s="91"/>
      <c r="BU75" s="91"/>
      <c r="BV75" s="91"/>
      <c r="BW75" s="91"/>
      <c r="BX75" s="91"/>
      <c r="BY75" s="91"/>
      <c r="BZ75" s="91"/>
      <c r="CA75" s="91"/>
      <c r="CC75" s="79" t="n">
        <f aca="false">SUMIFS($T75:$CA75, $T$1:$CA$1, CC$63)</f>
        <v>0</v>
      </c>
      <c r="CD75" s="79" t="n">
        <f aca="false">SUMIFS($T75:$CA75, $T$1:$CA$1, CD$63)</f>
        <v>0</v>
      </c>
      <c r="CE75" s="79" t="n">
        <f aca="false">SUMIFS($T75:$CA75, $T$1:$CA$1, CE$63)</f>
        <v>0</v>
      </c>
      <c r="CF75" s="79" t="n">
        <f aca="false">SUMIFS($T75:$CA75, $T$1:$CA$1, CF$63)</f>
        <v>0</v>
      </c>
      <c r="CG75" s="79" t="n">
        <f aca="false">SUMIFS($T75:$CA75, $T$1:$CA$1, CG$63)</f>
        <v>0</v>
      </c>
      <c r="CI75" s="79" t="n">
        <f aca="false">CC75=L75</f>
        <v>1</v>
      </c>
      <c r="CJ75" s="79" t="n">
        <f aca="false">CD75=M75</f>
        <v>1</v>
      </c>
      <c r="CK75" s="79" t="n">
        <f aca="false">CE75=N75</f>
        <v>1</v>
      </c>
      <c r="CL75" s="79" t="n">
        <f aca="false">CF75=O75</f>
        <v>1</v>
      </c>
      <c r="CM75" s="79" t="n">
        <f aca="false">CG75=P75</f>
        <v>1</v>
      </c>
    </row>
    <row r="76" s="14" customFormat="true" ht="16.5" hidden="false" customHeight="true" outlineLevel="0" collapsed="false">
      <c r="E76" s="96" t="s">
        <v>129</v>
      </c>
      <c r="H76" s="71"/>
      <c r="I76" s="82" t="n">
        <f aca="false">SUM(I71:I75)</f>
        <v>0</v>
      </c>
      <c r="J76" s="82" t="n">
        <f aca="false">SUM(J71:J75)</f>
        <v>0</v>
      </c>
      <c r="K76" s="82" t="n">
        <f aca="false">SUM(K71:K75)</f>
        <v>0</v>
      </c>
      <c r="L76" s="82" t="n">
        <f aca="false">SUM(L71:L75)</f>
        <v>0</v>
      </c>
      <c r="M76" s="82" t="n">
        <f aca="false">SUM(M71:M75)</f>
        <v>0</v>
      </c>
      <c r="N76" s="82" t="n">
        <f aca="false">SUM(N71:N75)</f>
        <v>0</v>
      </c>
      <c r="O76" s="82" t="n">
        <f aca="false">SUM(O71:O75)</f>
        <v>0</v>
      </c>
      <c r="P76" s="82" t="n">
        <f aca="false">SUM(P71:P75)</f>
        <v>0</v>
      </c>
      <c r="Q76" s="16"/>
      <c r="R76" s="16"/>
      <c r="T76" s="82" t="n">
        <f aca="false">SUM(T71:T75)</f>
        <v>0</v>
      </c>
      <c r="U76" s="82" t="n">
        <f aca="false">SUM(U71:U75)</f>
        <v>0</v>
      </c>
      <c r="V76" s="82" t="n">
        <f aca="false">SUM(V71:V75)</f>
        <v>0</v>
      </c>
      <c r="W76" s="82" t="n">
        <f aca="false">SUM(W71:W75)</f>
        <v>0</v>
      </c>
      <c r="X76" s="82" t="n">
        <f aca="false">SUM(X71:X75)</f>
        <v>0</v>
      </c>
      <c r="Y76" s="82" t="n">
        <f aca="false">SUM(Y71:Y75)</f>
        <v>0</v>
      </c>
      <c r="Z76" s="82" t="n">
        <f aca="false">SUM(Z71:Z75)</f>
        <v>0</v>
      </c>
      <c r="AA76" s="82" t="n">
        <f aca="false">SUM(AA71:AA75)</f>
        <v>0</v>
      </c>
      <c r="AB76" s="82" t="n">
        <f aca="false">SUM(AB71:AB75)</f>
        <v>0</v>
      </c>
      <c r="AC76" s="82" t="n">
        <f aca="false">SUM(AC71:AC75)</f>
        <v>0</v>
      </c>
      <c r="AD76" s="82" t="n">
        <f aca="false">SUM(AD71:AD75)</f>
        <v>0</v>
      </c>
      <c r="AE76" s="82" t="n">
        <f aca="false">SUM(AE71:AE75)</f>
        <v>0</v>
      </c>
      <c r="AF76" s="83" t="n">
        <f aca="false">SUM(AF71:AF75)</f>
        <v>0</v>
      </c>
      <c r="AG76" s="82" t="n">
        <f aca="false">SUM(AG71:AG75)</f>
        <v>0</v>
      </c>
      <c r="AH76" s="82" t="n">
        <f aca="false">SUM(AH71:AH75)</f>
        <v>0</v>
      </c>
      <c r="AI76" s="82" t="n">
        <f aca="false">SUM(AI71:AI75)</f>
        <v>0</v>
      </c>
      <c r="AJ76" s="82" t="n">
        <f aca="false">SUM(AJ71:AJ75)</f>
        <v>0</v>
      </c>
      <c r="AK76" s="82" t="n">
        <f aca="false">SUM(AK71:AK75)</f>
        <v>0</v>
      </c>
      <c r="AL76" s="82" t="n">
        <f aca="false">SUM(AL71:AL75)</f>
        <v>0</v>
      </c>
      <c r="AM76" s="82" t="n">
        <f aca="false">SUM(AM71:AM75)</f>
        <v>0</v>
      </c>
      <c r="AN76" s="82" t="n">
        <f aca="false">SUM(AN71:AN75)</f>
        <v>0</v>
      </c>
      <c r="AO76" s="82" t="n">
        <f aca="false">SUM(AO71:AO75)</f>
        <v>0</v>
      </c>
      <c r="AP76" s="82" t="n">
        <f aca="false">SUM(AP71:AP75)</f>
        <v>0</v>
      </c>
      <c r="AQ76" s="82" t="n">
        <f aca="false">SUM(AQ71:AQ75)</f>
        <v>0</v>
      </c>
      <c r="AR76" s="83" t="n">
        <f aca="false">SUM(AR71:AR75)</f>
        <v>0</v>
      </c>
      <c r="AS76" s="82" t="n">
        <f aca="false">SUM(AS71:AS75)</f>
        <v>0</v>
      </c>
      <c r="AT76" s="82" t="n">
        <f aca="false">SUM(AT71:AT75)</f>
        <v>0</v>
      </c>
      <c r="AU76" s="82" t="n">
        <f aca="false">SUM(AU71:AU75)</f>
        <v>0</v>
      </c>
      <c r="AV76" s="82" t="n">
        <f aca="false">SUM(AV71:AV75)</f>
        <v>0</v>
      </c>
      <c r="AW76" s="82" t="n">
        <f aca="false">SUM(AW71:AW75)</f>
        <v>0</v>
      </c>
      <c r="AX76" s="82" t="n">
        <f aca="false">SUM(AX71:AX75)</f>
        <v>0</v>
      </c>
      <c r="AY76" s="82" t="n">
        <f aca="false">SUM(AY71:AY75)</f>
        <v>0</v>
      </c>
      <c r="AZ76" s="82" t="n">
        <f aca="false">SUM(AZ71:AZ75)</f>
        <v>0</v>
      </c>
      <c r="BA76" s="82" t="n">
        <f aca="false">SUM(BA71:BA75)</f>
        <v>0</v>
      </c>
      <c r="BB76" s="82" t="n">
        <f aca="false">SUM(BB71:BB75)</f>
        <v>0</v>
      </c>
      <c r="BC76" s="82" t="n">
        <f aca="false">SUM(BC71:BC75)</f>
        <v>0</v>
      </c>
      <c r="BD76" s="83" t="n">
        <f aca="false">SUM(BD71:BD75)</f>
        <v>0</v>
      </c>
      <c r="BE76" s="82" t="n">
        <f aca="false">SUM(BE71:BE75)</f>
        <v>0</v>
      </c>
      <c r="BF76" s="82" t="n">
        <f aca="false">SUM(BF71:BF75)</f>
        <v>0</v>
      </c>
      <c r="BG76" s="82" t="n">
        <f aca="false">SUM(BG71:BG75)</f>
        <v>0</v>
      </c>
      <c r="BH76" s="82" t="n">
        <f aca="false">SUM(BH71:BH75)</f>
        <v>0</v>
      </c>
      <c r="BI76" s="82" t="n">
        <f aca="false">SUM(BI71:BI75)</f>
        <v>0</v>
      </c>
      <c r="BJ76" s="82" t="n">
        <f aca="false">SUM(BJ71:BJ75)</f>
        <v>0</v>
      </c>
      <c r="BK76" s="82" t="n">
        <f aca="false">SUM(BK71:BK75)</f>
        <v>0</v>
      </c>
      <c r="BL76" s="82" t="n">
        <f aca="false">SUM(BL71:BL75)</f>
        <v>0</v>
      </c>
      <c r="BM76" s="82" t="n">
        <f aca="false">SUM(BM71:BM75)</f>
        <v>0</v>
      </c>
      <c r="BN76" s="82" t="n">
        <f aca="false">SUM(BN71:BN75)</f>
        <v>0</v>
      </c>
      <c r="BO76" s="82" t="n">
        <f aca="false">SUM(BO71:BO75)</f>
        <v>0</v>
      </c>
      <c r="BP76" s="83" t="n">
        <f aca="false">SUM(BP71:BP75)</f>
        <v>0</v>
      </c>
      <c r="BQ76" s="82" t="n">
        <f aca="false">SUM(BQ71:BQ75)</f>
        <v>0</v>
      </c>
      <c r="BR76" s="82" t="n">
        <f aca="false">SUM(BR71:BR75)</f>
        <v>0</v>
      </c>
      <c r="BS76" s="82" t="n">
        <f aca="false">SUM(BS71:BS75)</f>
        <v>0</v>
      </c>
      <c r="BT76" s="82" t="n">
        <f aca="false">SUM(BT71:BT75)</f>
        <v>0</v>
      </c>
      <c r="BU76" s="82" t="n">
        <f aca="false">SUM(BU71:BU75)</f>
        <v>0</v>
      </c>
      <c r="BV76" s="82" t="n">
        <f aca="false">SUM(BV71:BV75)</f>
        <v>0</v>
      </c>
      <c r="BW76" s="82" t="n">
        <f aca="false">SUM(BW71:BW75)</f>
        <v>0</v>
      </c>
      <c r="BX76" s="82" t="n">
        <f aca="false">SUM(BX71:BX75)</f>
        <v>0</v>
      </c>
      <c r="BY76" s="82" t="n">
        <f aca="false">SUM(BY71:BY75)</f>
        <v>0</v>
      </c>
      <c r="BZ76" s="82" t="n">
        <f aca="false">SUM(BZ71:BZ75)</f>
        <v>0</v>
      </c>
      <c r="CA76" s="82" t="n">
        <f aca="false">SUM(CA71:CA75)</f>
        <v>0</v>
      </c>
      <c r="CC76" s="84" t="n">
        <f aca="false">SUM(CC71:CC75)</f>
        <v>0</v>
      </c>
      <c r="CD76" s="84" t="n">
        <f aca="false">SUM(CD71:CD75)</f>
        <v>0</v>
      </c>
      <c r="CE76" s="84" t="n">
        <f aca="false">SUM(CE71:CE75)</f>
        <v>0</v>
      </c>
      <c r="CF76" s="84" t="n">
        <f aca="false">SUM(CF71:CF75)</f>
        <v>0</v>
      </c>
      <c r="CG76" s="84" t="n">
        <f aca="false">SUM(CG71:CG75)</f>
        <v>0</v>
      </c>
      <c r="CI76" s="84" t="n">
        <f aca="false">CC76=L76</f>
        <v>1</v>
      </c>
      <c r="CJ76" s="84" t="n">
        <f aca="false">CD76=M76</f>
        <v>1</v>
      </c>
      <c r="CK76" s="84" t="n">
        <f aca="false">CE76=N76</f>
        <v>1</v>
      </c>
      <c r="CL76" s="84" t="n">
        <f aca="false">CF76=O76</f>
        <v>1</v>
      </c>
      <c r="CM76" s="84" t="n">
        <f aca="false">CG76=P76</f>
        <v>1</v>
      </c>
    </row>
    <row r="77" s="14" customFormat="true" ht="16.5" hidden="false" customHeight="true" outlineLevel="0" collapsed="false">
      <c r="H77" s="71"/>
      <c r="I77" s="88"/>
      <c r="J77" s="88"/>
      <c r="K77" s="88"/>
      <c r="L77" s="88"/>
      <c r="M77" s="88"/>
      <c r="N77" s="88"/>
      <c r="O77" s="88"/>
      <c r="P77" s="88"/>
      <c r="Q77" s="16"/>
      <c r="R77" s="16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9"/>
      <c r="AG77" s="88"/>
      <c r="AH77" s="88"/>
      <c r="AI77" s="88"/>
      <c r="AJ77" s="88"/>
      <c r="AK77" s="88"/>
      <c r="AL77" s="88"/>
      <c r="AM77" s="88"/>
      <c r="AN77" s="88"/>
      <c r="AO77" s="88"/>
      <c r="AP77" s="88"/>
      <c r="AQ77" s="88"/>
      <c r="AR77" s="89"/>
      <c r="AS77" s="88"/>
      <c r="AT77" s="88"/>
      <c r="AU77" s="88"/>
      <c r="AV77" s="88"/>
      <c r="AW77" s="88"/>
      <c r="AX77" s="88"/>
      <c r="AY77" s="88"/>
      <c r="AZ77" s="88"/>
      <c r="BA77" s="88"/>
      <c r="BB77" s="88"/>
      <c r="BC77" s="88"/>
      <c r="BD77" s="89"/>
      <c r="BE77" s="88"/>
      <c r="BF77" s="88"/>
      <c r="BG77" s="88"/>
      <c r="BH77" s="88"/>
      <c r="BI77" s="88"/>
      <c r="BJ77" s="88"/>
      <c r="BK77" s="88"/>
      <c r="BL77" s="88"/>
      <c r="BM77" s="88"/>
      <c r="BN77" s="88"/>
      <c r="BO77" s="88"/>
      <c r="BP77" s="89"/>
      <c r="BQ77" s="88"/>
      <c r="BR77" s="88"/>
      <c r="BS77" s="88"/>
      <c r="BT77" s="88"/>
      <c r="BU77" s="88"/>
      <c r="BV77" s="88"/>
      <c r="BW77" s="88"/>
      <c r="BX77" s="88"/>
      <c r="BY77" s="88"/>
      <c r="BZ77" s="88"/>
      <c r="CA77" s="88"/>
      <c r="CC77" s="90"/>
      <c r="CD77" s="90"/>
      <c r="CE77" s="90"/>
      <c r="CF77" s="90"/>
      <c r="CG77" s="90"/>
      <c r="CI77" s="90"/>
      <c r="CJ77" s="90"/>
      <c r="CK77" s="90"/>
      <c r="CL77" s="90"/>
      <c r="CM77" s="90"/>
    </row>
    <row r="78" s="14" customFormat="true" ht="16.5" hidden="false" customHeight="true" outlineLevel="0" collapsed="false">
      <c r="E78" s="21" t="s">
        <v>130</v>
      </c>
      <c r="H78" s="71"/>
      <c r="I78" s="88"/>
      <c r="J78" s="88"/>
      <c r="K78" s="88"/>
      <c r="L78" s="88"/>
      <c r="M78" s="88"/>
      <c r="N78" s="88"/>
      <c r="O78" s="88"/>
      <c r="P78" s="88"/>
      <c r="Q78" s="16"/>
      <c r="R78" s="16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9"/>
      <c r="AG78" s="88"/>
      <c r="AH78" s="88"/>
      <c r="AI78" s="88"/>
      <c r="AJ78" s="88"/>
      <c r="AK78" s="88"/>
      <c r="AL78" s="88"/>
      <c r="AM78" s="88"/>
      <c r="AN78" s="88"/>
      <c r="AO78" s="88"/>
      <c r="AP78" s="88"/>
      <c r="AQ78" s="88"/>
      <c r="AR78" s="89"/>
      <c r="AS78" s="88"/>
      <c r="AT78" s="88"/>
      <c r="AU78" s="88"/>
      <c r="AV78" s="88"/>
      <c r="AW78" s="88"/>
      <c r="AX78" s="88"/>
      <c r="AY78" s="88"/>
      <c r="AZ78" s="88"/>
      <c r="BA78" s="88"/>
      <c r="BB78" s="88"/>
      <c r="BC78" s="88"/>
      <c r="BD78" s="89"/>
      <c r="BE78" s="88"/>
      <c r="BF78" s="88"/>
      <c r="BG78" s="88"/>
      <c r="BH78" s="88"/>
      <c r="BI78" s="88"/>
      <c r="BJ78" s="88"/>
      <c r="BK78" s="88"/>
      <c r="BL78" s="88"/>
      <c r="BM78" s="88"/>
      <c r="BN78" s="88"/>
      <c r="BO78" s="88"/>
      <c r="BP78" s="89"/>
      <c r="BQ78" s="88"/>
      <c r="BR78" s="88"/>
      <c r="BS78" s="88"/>
      <c r="BT78" s="88"/>
      <c r="BU78" s="88"/>
      <c r="BV78" s="88"/>
      <c r="BW78" s="88"/>
      <c r="BX78" s="88"/>
      <c r="BY78" s="88"/>
      <c r="BZ78" s="88"/>
      <c r="CA78" s="88"/>
      <c r="CC78" s="90"/>
      <c r="CD78" s="90"/>
      <c r="CE78" s="90"/>
      <c r="CF78" s="90"/>
      <c r="CG78" s="90"/>
      <c r="CI78" s="90"/>
      <c r="CJ78" s="90"/>
      <c r="CK78" s="90"/>
      <c r="CL78" s="90"/>
      <c r="CM78" s="90"/>
    </row>
    <row r="79" s="14" customFormat="true" ht="16.5" hidden="false" customHeight="true" outlineLevel="0" collapsed="false">
      <c r="E79" s="91"/>
      <c r="H79" s="71"/>
      <c r="I79" s="91" t="n">
        <f aca="false">J21</f>
        <v>0</v>
      </c>
      <c r="J79" s="91" t="n">
        <v>0</v>
      </c>
      <c r="K79" s="207" t="n">
        <f aca="false">I79-J79</f>
        <v>0</v>
      </c>
      <c r="L79" s="91" t="n">
        <v>0</v>
      </c>
      <c r="M79" s="91" t="n">
        <f aca="false">$K79</f>
        <v>0</v>
      </c>
      <c r="N79" s="91" t="n">
        <f aca="false">$K79</f>
        <v>0</v>
      </c>
      <c r="O79" s="91" t="n">
        <f aca="false">$K79</f>
        <v>0</v>
      </c>
      <c r="P79" s="91" t="n">
        <f aca="false">$K79</f>
        <v>0</v>
      </c>
      <c r="Q79" s="93"/>
      <c r="R79" s="16" t="str">
        <f aca="false">IF(K79=P79, "", "Error")</f>
        <v/>
      </c>
      <c r="T79" s="91" t="n">
        <v>0</v>
      </c>
      <c r="U79" s="91" t="n">
        <v>0</v>
      </c>
      <c r="V79" s="91" t="n">
        <v>0</v>
      </c>
      <c r="W79" s="91" t="n">
        <v>0</v>
      </c>
      <c r="X79" s="91" t="n">
        <v>0</v>
      </c>
      <c r="Y79" s="91" t="n">
        <v>0</v>
      </c>
      <c r="Z79" s="91" t="n">
        <v>0</v>
      </c>
      <c r="AA79" s="91" t="n">
        <v>0</v>
      </c>
      <c r="AB79" s="91" t="n">
        <v>0</v>
      </c>
      <c r="AC79" s="91" t="n">
        <v>0</v>
      </c>
      <c r="AD79" s="91" t="n">
        <v>0</v>
      </c>
      <c r="AE79" s="94" t="n">
        <v>0</v>
      </c>
      <c r="AF79" s="95" t="n">
        <f aca="false">$K$79/12</f>
        <v>0</v>
      </c>
      <c r="AG79" s="95" t="n">
        <f aca="false">$K$79/12</f>
        <v>0</v>
      </c>
      <c r="AH79" s="95" t="n">
        <f aca="false">$K$79/12</f>
        <v>0</v>
      </c>
      <c r="AI79" s="95" t="n">
        <f aca="false">$K$79/12</f>
        <v>0</v>
      </c>
      <c r="AJ79" s="95" t="n">
        <f aca="false">$K$79/12</f>
        <v>0</v>
      </c>
      <c r="AK79" s="95" t="n">
        <f aca="false">$K$79/12</f>
        <v>0</v>
      </c>
      <c r="AL79" s="95" t="n">
        <f aca="false">$K$79/12</f>
        <v>0</v>
      </c>
      <c r="AM79" s="95" t="n">
        <f aca="false">$K$79/12</f>
        <v>0</v>
      </c>
      <c r="AN79" s="95" t="n">
        <f aca="false">$K$79/12</f>
        <v>0</v>
      </c>
      <c r="AO79" s="95" t="n">
        <f aca="false">$K$79/12</f>
        <v>0</v>
      </c>
      <c r="AP79" s="95" t="n">
        <f aca="false">$K$79/12</f>
        <v>0</v>
      </c>
      <c r="AQ79" s="95" t="n">
        <f aca="false">$K$79/12</f>
        <v>0</v>
      </c>
      <c r="AR79" s="95" t="n">
        <f aca="false">$K$79/12</f>
        <v>0</v>
      </c>
      <c r="AS79" s="95" t="n">
        <f aca="false">$K$79/12</f>
        <v>0</v>
      </c>
      <c r="AT79" s="95" t="n">
        <f aca="false">$K$79/12</f>
        <v>0</v>
      </c>
      <c r="AU79" s="95" t="n">
        <f aca="false">$K$79/12</f>
        <v>0</v>
      </c>
      <c r="AV79" s="95" t="n">
        <f aca="false">$K$79/12</f>
        <v>0</v>
      </c>
      <c r="AW79" s="95" t="n">
        <f aca="false">$K$79/12</f>
        <v>0</v>
      </c>
      <c r="AX79" s="95" t="n">
        <f aca="false">$K$79/12</f>
        <v>0</v>
      </c>
      <c r="AY79" s="95" t="n">
        <f aca="false">$K$79/12</f>
        <v>0</v>
      </c>
      <c r="AZ79" s="95" t="n">
        <f aca="false">$K$79/12</f>
        <v>0</v>
      </c>
      <c r="BA79" s="95" t="n">
        <f aca="false">$K$79/12</f>
        <v>0</v>
      </c>
      <c r="BB79" s="95" t="n">
        <f aca="false">$K$79/12</f>
        <v>0</v>
      </c>
      <c r="BC79" s="95" t="n">
        <f aca="false">$K$79/12</f>
        <v>0</v>
      </c>
      <c r="BD79" s="95" t="n">
        <f aca="false">$K$79/12</f>
        <v>0</v>
      </c>
      <c r="BE79" s="95" t="n">
        <f aca="false">$K$79/12</f>
        <v>0</v>
      </c>
      <c r="BF79" s="95" t="n">
        <f aca="false">$K$79/12</f>
        <v>0</v>
      </c>
      <c r="BG79" s="95" t="n">
        <f aca="false">$K$79/12</f>
        <v>0</v>
      </c>
      <c r="BH79" s="95" t="n">
        <f aca="false">$K$79/12</f>
        <v>0</v>
      </c>
      <c r="BI79" s="95" t="n">
        <f aca="false">$K$79/12</f>
        <v>0</v>
      </c>
      <c r="BJ79" s="95" t="n">
        <f aca="false">$K$79/12</f>
        <v>0</v>
      </c>
      <c r="BK79" s="95" t="n">
        <f aca="false">$K$79/12</f>
        <v>0</v>
      </c>
      <c r="BL79" s="95" t="n">
        <f aca="false">$K$79/12</f>
        <v>0</v>
      </c>
      <c r="BM79" s="95" t="n">
        <f aca="false">$K$79/12</f>
        <v>0</v>
      </c>
      <c r="BN79" s="95" t="n">
        <f aca="false">$K$79/12</f>
        <v>0</v>
      </c>
      <c r="BO79" s="95" t="n">
        <f aca="false">$K$79/12</f>
        <v>0</v>
      </c>
      <c r="BP79" s="95"/>
      <c r="BQ79" s="95"/>
      <c r="BR79" s="95"/>
      <c r="BS79" s="95"/>
      <c r="BT79" s="95"/>
      <c r="BU79" s="95"/>
      <c r="BV79" s="95"/>
      <c r="BW79" s="95"/>
      <c r="BX79" s="95"/>
      <c r="BY79" s="95"/>
      <c r="BZ79" s="95"/>
      <c r="CA79" s="95"/>
      <c r="CC79" s="79" t="n">
        <f aca="false">SUMIFS($T79:$CA79, $T$1:$CA$1, CC$63)</f>
        <v>0</v>
      </c>
      <c r="CD79" s="79" t="n">
        <f aca="false">SUMIFS($T79:$CA79, $T$1:$CA$1, CD$63)</f>
        <v>0</v>
      </c>
      <c r="CE79" s="79" t="n">
        <f aca="false">SUMIFS($T79:$CA79, $T$1:$CA$1, CE$63)</f>
        <v>0</v>
      </c>
      <c r="CF79" s="79" t="n">
        <f aca="false">SUMIFS($T79:$CA79, $T$1:$CA$1, CF$63)</f>
        <v>0</v>
      </c>
      <c r="CG79" s="79" t="n">
        <f aca="false">SUMIFS($T79:$CA79, $T$1:$CA$1, CG$63)</f>
        <v>0</v>
      </c>
      <c r="CI79" s="79" t="n">
        <f aca="false">CC79=L79</f>
        <v>1</v>
      </c>
      <c r="CJ79" s="79" t="n">
        <f aca="false">CD79=M79</f>
        <v>1</v>
      </c>
      <c r="CK79" s="79" t="n">
        <f aca="false">CE79=N79</f>
        <v>1</v>
      </c>
      <c r="CL79" s="79" t="n">
        <f aca="false">CF79=O79</f>
        <v>1</v>
      </c>
      <c r="CM79" s="79" t="n">
        <f aca="false">CG79=P79</f>
        <v>1</v>
      </c>
    </row>
    <row r="80" s="14" customFormat="true" ht="16.5" hidden="false" customHeight="true" outlineLevel="0" collapsed="false">
      <c r="E80" s="91"/>
      <c r="H80" s="71"/>
      <c r="I80" s="91" t="n">
        <v>0</v>
      </c>
      <c r="J80" s="91" t="n">
        <v>0</v>
      </c>
      <c r="K80" s="207" t="n">
        <f aca="false">I80-J80</f>
        <v>0</v>
      </c>
      <c r="L80" s="91"/>
      <c r="M80" s="91"/>
      <c r="N80" s="91"/>
      <c r="O80" s="91"/>
      <c r="P80" s="91"/>
      <c r="Q80" s="93"/>
      <c r="R80" s="16" t="str">
        <f aca="false">IF(K80=P80, "", "Error")</f>
        <v/>
      </c>
      <c r="T80" s="91"/>
      <c r="U80" s="91"/>
      <c r="V80" s="91"/>
      <c r="W80" s="91"/>
      <c r="X80" s="91"/>
      <c r="Y80" s="91"/>
      <c r="Z80" s="91"/>
      <c r="AA80" s="91"/>
      <c r="AB80" s="91"/>
      <c r="AC80" s="91"/>
      <c r="AD80" s="91"/>
      <c r="AE80" s="94"/>
      <c r="AF80" s="95"/>
      <c r="AG80" s="91"/>
      <c r="AH80" s="91"/>
      <c r="AI80" s="91"/>
      <c r="AJ80" s="91"/>
      <c r="AK80" s="91"/>
      <c r="AL80" s="91"/>
      <c r="AM80" s="91"/>
      <c r="AN80" s="91"/>
      <c r="AO80" s="91"/>
      <c r="AP80" s="91"/>
      <c r="AQ80" s="94"/>
      <c r="AR80" s="95"/>
      <c r="AS80" s="91"/>
      <c r="AT80" s="91"/>
      <c r="AU80" s="91"/>
      <c r="AV80" s="91"/>
      <c r="AW80" s="91"/>
      <c r="AX80" s="91"/>
      <c r="AY80" s="91"/>
      <c r="AZ80" s="91"/>
      <c r="BA80" s="91"/>
      <c r="BB80" s="91"/>
      <c r="BC80" s="94"/>
      <c r="BD80" s="95"/>
      <c r="BE80" s="91"/>
      <c r="BF80" s="91"/>
      <c r="BG80" s="91"/>
      <c r="BH80" s="91"/>
      <c r="BI80" s="91"/>
      <c r="BJ80" s="91"/>
      <c r="BK80" s="91"/>
      <c r="BL80" s="91"/>
      <c r="BM80" s="91"/>
      <c r="BN80" s="91"/>
      <c r="BO80" s="94"/>
      <c r="BP80" s="95"/>
      <c r="BQ80" s="91"/>
      <c r="BR80" s="91"/>
      <c r="BS80" s="91"/>
      <c r="BT80" s="91"/>
      <c r="BU80" s="91"/>
      <c r="BV80" s="91"/>
      <c r="BW80" s="91"/>
      <c r="BX80" s="91"/>
      <c r="BY80" s="91"/>
      <c r="BZ80" s="91"/>
      <c r="CA80" s="91"/>
      <c r="CC80" s="79" t="n">
        <f aca="false">SUMIFS($T80:$CA80, $T$1:$CA$1, CC$63)</f>
        <v>0</v>
      </c>
      <c r="CD80" s="79" t="n">
        <f aca="false">SUMIFS($T80:$CA80, $T$1:$CA$1, CD$63)</f>
        <v>0</v>
      </c>
      <c r="CE80" s="79" t="n">
        <f aca="false">SUMIFS($T80:$CA80, $T$1:$CA$1, CE$63)</f>
        <v>0</v>
      </c>
      <c r="CF80" s="79" t="n">
        <f aca="false">SUMIFS($T80:$CA80, $T$1:$CA$1, CF$63)</f>
        <v>0</v>
      </c>
      <c r="CG80" s="79" t="n">
        <f aca="false">SUMIFS($T80:$CA80, $T$1:$CA$1, CG$63)</f>
        <v>0</v>
      </c>
      <c r="CI80" s="79" t="n">
        <f aca="false">CC80=L80</f>
        <v>1</v>
      </c>
      <c r="CJ80" s="79" t="n">
        <f aca="false">CD80=M80</f>
        <v>1</v>
      </c>
      <c r="CK80" s="79" t="n">
        <f aca="false">CE80=N80</f>
        <v>1</v>
      </c>
      <c r="CL80" s="79" t="n">
        <f aca="false">CF80=O80</f>
        <v>1</v>
      </c>
      <c r="CM80" s="79" t="n">
        <f aca="false">CG80=P80</f>
        <v>1</v>
      </c>
    </row>
    <row r="81" s="14" customFormat="true" ht="16.5" hidden="false" customHeight="true" outlineLevel="0" collapsed="false">
      <c r="E81" s="91"/>
      <c r="H81" s="71"/>
      <c r="I81" s="91" t="n">
        <v>0</v>
      </c>
      <c r="J81" s="91" t="n">
        <v>0</v>
      </c>
      <c r="K81" s="207" t="n">
        <f aca="false">I81-J81</f>
        <v>0</v>
      </c>
      <c r="L81" s="91"/>
      <c r="M81" s="91"/>
      <c r="N81" s="91"/>
      <c r="O81" s="91"/>
      <c r="P81" s="91"/>
      <c r="Q81" s="93"/>
      <c r="R81" s="16" t="str">
        <f aca="false">IF(K81=P81, "", "Error")</f>
        <v/>
      </c>
      <c r="T81" s="91"/>
      <c r="U81" s="91"/>
      <c r="V81" s="91"/>
      <c r="W81" s="91"/>
      <c r="X81" s="91"/>
      <c r="Y81" s="91"/>
      <c r="Z81" s="91"/>
      <c r="AA81" s="91"/>
      <c r="AB81" s="91"/>
      <c r="AC81" s="91"/>
      <c r="AD81" s="91"/>
      <c r="AE81" s="94"/>
      <c r="AF81" s="95"/>
      <c r="AG81" s="91"/>
      <c r="AH81" s="91"/>
      <c r="AI81" s="91"/>
      <c r="AJ81" s="91"/>
      <c r="AK81" s="91"/>
      <c r="AL81" s="91"/>
      <c r="AM81" s="91"/>
      <c r="AN81" s="91"/>
      <c r="AO81" s="91"/>
      <c r="AP81" s="91"/>
      <c r="AQ81" s="94"/>
      <c r="AR81" s="95"/>
      <c r="AS81" s="91"/>
      <c r="AT81" s="91"/>
      <c r="AU81" s="91"/>
      <c r="AV81" s="91"/>
      <c r="AW81" s="91"/>
      <c r="AX81" s="91"/>
      <c r="AY81" s="91"/>
      <c r="AZ81" s="91"/>
      <c r="BA81" s="91"/>
      <c r="BB81" s="91"/>
      <c r="BC81" s="94"/>
      <c r="BD81" s="95"/>
      <c r="BE81" s="91"/>
      <c r="BF81" s="91"/>
      <c r="BG81" s="91"/>
      <c r="BH81" s="91"/>
      <c r="BI81" s="91"/>
      <c r="BJ81" s="91"/>
      <c r="BK81" s="91"/>
      <c r="BL81" s="91"/>
      <c r="BM81" s="91"/>
      <c r="BN81" s="91"/>
      <c r="BO81" s="94"/>
      <c r="BP81" s="95"/>
      <c r="BQ81" s="91"/>
      <c r="BR81" s="91"/>
      <c r="BS81" s="91"/>
      <c r="BT81" s="91"/>
      <c r="BU81" s="91"/>
      <c r="BV81" s="91"/>
      <c r="BW81" s="91"/>
      <c r="BX81" s="91"/>
      <c r="BY81" s="91"/>
      <c r="BZ81" s="91"/>
      <c r="CA81" s="91"/>
      <c r="CC81" s="79" t="n">
        <f aca="false">SUMIFS($T81:$CA81, $T$1:$CA$1, CC$63)</f>
        <v>0</v>
      </c>
      <c r="CD81" s="79" t="n">
        <f aca="false">SUMIFS($T81:$CA81, $T$1:$CA$1, CD$63)</f>
        <v>0</v>
      </c>
      <c r="CE81" s="79" t="n">
        <f aca="false">SUMIFS($T81:$CA81, $T$1:$CA$1, CE$63)</f>
        <v>0</v>
      </c>
      <c r="CF81" s="79" t="n">
        <f aca="false">SUMIFS($T81:$CA81, $T$1:$CA$1, CF$63)</f>
        <v>0</v>
      </c>
      <c r="CG81" s="79" t="n">
        <f aca="false">SUMIFS($T81:$CA81, $T$1:$CA$1, CG$63)</f>
        <v>0</v>
      </c>
      <c r="CI81" s="79" t="n">
        <f aca="false">CC81=L81</f>
        <v>1</v>
      </c>
      <c r="CJ81" s="79" t="n">
        <f aca="false">CD81=M81</f>
        <v>1</v>
      </c>
      <c r="CK81" s="79" t="n">
        <f aca="false">CE81=N81</f>
        <v>1</v>
      </c>
      <c r="CL81" s="79" t="n">
        <f aca="false">CF81=O81</f>
        <v>1</v>
      </c>
      <c r="CM81" s="79" t="n">
        <f aca="false">CG81=P81</f>
        <v>1</v>
      </c>
    </row>
    <row r="82" s="14" customFormat="true" ht="16.5" hidden="false" customHeight="true" outlineLevel="0" collapsed="false">
      <c r="E82" s="91"/>
      <c r="H82" s="71"/>
      <c r="I82" s="91" t="n">
        <v>0</v>
      </c>
      <c r="J82" s="91" t="n">
        <v>0</v>
      </c>
      <c r="K82" s="207" t="n">
        <f aca="false">I82-J82</f>
        <v>0</v>
      </c>
      <c r="L82" s="91"/>
      <c r="M82" s="91"/>
      <c r="N82" s="91"/>
      <c r="O82" s="91"/>
      <c r="P82" s="91"/>
      <c r="Q82" s="93"/>
      <c r="R82" s="16" t="str">
        <f aca="false">IF(K82=P82, "", "Error")</f>
        <v/>
      </c>
      <c r="T82" s="91"/>
      <c r="U82" s="91"/>
      <c r="V82" s="91"/>
      <c r="W82" s="91"/>
      <c r="X82" s="91"/>
      <c r="Y82" s="91"/>
      <c r="Z82" s="91"/>
      <c r="AA82" s="91"/>
      <c r="AB82" s="91"/>
      <c r="AC82" s="91"/>
      <c r="AD82" s="91"/>
      <c r="AE82" s="94"/>
      <c r="AF82" s="95"/>
      <c r="AG82" s="91"/>
      <c r="AH82" s="91"/>
      <c r="AI82" s="91"/>
      <c r="AJ82" s="91"/>
      <c r="AK82" s="91"/>
      <c r="AL82" s="91"/>
      <c r="AM82" s="91"/>
      <c r="AN82" s="91"/>
      <c r="AO82" s="91"/>
      <c r="AP82" s="91"/>
      <c r="AQ82" s="94"/>
      <c r="AR82" s="95"/>
      <c r="AS82" s="91"/>
      <c r="AT82" s="91"/>
      <c r="AU82" s="91"/>
      <c r="AV82" s="91"/>
      <c r="AW82" s="91"/>
      <c r="AX82" s="91"/>
      <c r="AY82" s="91"/>
      <c r="AZ82" s="91"/>
      <c r="BA82" s="91"/>
      <c r="BB82" s="91"/>
      <c r="BC82" s="94"/>
      <c r="BD82" s="95"/>
      <c r="BE82" s="91"/>
      <c r="BF82" s="91"/>
      <c r="BG82" s="91"/>
      <c r="BH82" s="91"/>
      <c r="BI82" s="91"/>
      <c r="BJ82" s="91"/>
      <c r="BK82" s="91"/>
      <c r="BL82" s="91"/>
      <c r="BM82" s="91"/>
      <c r="BN82" s="91"/>
      <c r="BO82" s="94"/>
      <c r="BP82" s="95"/>
      <c r="BQ82" s="91"/>
      <c r="BR82" s="91"/>
      <c r="BS82" s="91"/>
      <c r="BT82" s="91"/>
      <c r="BU82" s="91"/>
      <c r="BV82" s="91"/>
      <c r="BW82" s="91"/>
      <c r="BX82" s="91"/>
      <c r="BY82" s="91"/>
      <c r="BZ82" s="91"/>
      <c r="CA82" s="91"/>
      <c r="CC82" s="79" t="n">
        <f aca="false">SUMIFS($T82:$CA82, $T$1:$CA$1, CC$63)</f>
        <v>0</v>
      </c>
      <c r="CD82" s="79" t="n">
        <f aca="false">SUMIFS($T82:$CA82, $T$1:$CA$1, CD$63)</f>
        <v>0</v>
      </c>
      <c r="CE82" s="79" t="n">
        <f aca="false">SUMIFS($T82:$CA82, $T$1:$CA$1, CE$63)</f>
        <v>0</v>
      </c>
      <c r="CF82" s="79" t="n">
        <f aca="false">SUMIFS($T82:$CA82, $T$1:$CA$1, CF$63)</f>
        <v>0</v>
      </c>
      <c r="CG82" s="79" t="n">
        <f aca="false">SUMIFS($T82:$CA82, $T$1:$CA$1, CG$63)</f>
        <v>0</v>
      </c>
      <c r="CI82" s="79" t="n">
        <f aca="false">CC82=L82</f>
        <v>1</v>
      </c>
      <c r="CJ82" s="79" t="n">
        <f aca="false">CD82=M82</f>
        <v>1</v>
      </c>
      <c r="CK82" s="79" t="n">
        <f aca="false">CE82=N82</f>
        <v>1</v>
      </c>
      <c r="CL82" s="79" t="n">
        <f aca="false">CF82=O82</f>
        <v>1</v>
      </c>
      <c r="CM82" s="79" t="n">
        <f aca="false">CG82=P82</f>
        <v>1</v>
      </c>
    </row>
    <row r="83" s="14" customFormat="true" ht="16.5" hidden="false" customHeight="true" outlineLevel="0" collapsed="false">
      <c r="E83" s="91"/>
      <c r="H83" s="71"/>
      <c r="I83" s="91" t="n">
        <v>0</v>
      </c>
      <c r="J83" s="91" t="n">
        <v>0</v>
      </c>
      <c r="K83" s="207" t="n">
        <f aca="false">I83-J83</f>
        <v>0</v>
      </c>
      <c r="L83" s="91"/>
      <c r="M83" s="91"/>
      <c r="N83" s="91"/>
      <c r="O83" s="91"/>
      <c r="P83" s="91"/>
      <c r="Q83" s="93"/>
      <c r="R83" s="16" t="str">
        <f aca="false">IF(K83=P83, "", "Error")</f>
        <v/>
      </c>
      <c r="T83" s="91"/>
      <c r="U83" s="91"/>
      <c r="V83" s="91"/>
      <c r="W83" s="91"/>
      <c r="X83" s="91"/>
      <c r="Y83" s="91"/>
      <c r="Z83" s="91"/>
      <c r="AA83" s="91"/>
      <c r="AB83" s="91"/>
      <c r="AC83" s="91"/>
      <c r="AD83" s="91"/>
      <c r="AE83" s="94"/>
      <c r="AF83" s="95"/>
      <c r="AG83" s="91"/>
      <c r="AH83" s="91"/>
      <c r="AI83" s="91"/>
      <c r="AJ83" s="91"/>
      <c r="AK83" s="91"/>
      <c r="AL83" s="91"/>
      <c r="AM83" s="91"/>
      <c r="AN83" s="91"/>
      <c r="AO83" s="91"/>
      <c r="AP83" s="91"/>
      <c r="AQ83" s="94"/>
      <c r="AR83" s="95"/>
      <c r="AS83" s="91"/>
      <c r="AT83" s="91"/>
      <c r="AU83" s="91"/>
      <c r="AV83" s="91"/>
      <c r="AW83" s="91"/>
      <c r="AX83" s="91"/>
      <c r="AY83" s="91"/>
      <c r="AZ83" s="91"/>
      <c r="BA83" s="91"/>
      <c r="BB83" s="91"/>
      <c r="BC83" s="94"/>
      <c r="BD83" s="95"/>
      <c r="BE83" s="91"/>
      <c r="BF83" s="91"/>
      <c r="BG83" s="91"/>
      <c r="BH83" s="91"/>
      <c r="BI83" s="91"/>
      <c r="BJ83" s="91"/>
      <c r="BK83" s="91"/>
      <c r="BL83" s="91"/>
      <c r="BM83" s="91"/>
      <c r="BN83" s="91"/>
      <c r="BO83" s="94"/>
      <c r="BP83" s="95"/>
      <c r="BQ83" s="91"/>
      <c r="BR83" s="91"/>
      <c r="BS83" s="91"/>
      <c r="BT83" s="91"/>
      <c r="BU83" s="91"/>
      <c r="BV83" s="91"/>
      <c r="BW83" s="91"/>
      <c r="BX83" s="91"/>
      <c r="BY83" s="91"/>
      <c r="BZ83" s="91"/>
      <c r="CA83" s="91"/>
      <c r="CC83" s="79" t="n">
        <f aca="false">SUMIFS($T83:$CA83, $T$1:$CA$1, CC$63)</f>
        <v>0</v>
      </c>
      <c r="CD83" s="79" t="n">
        <f aca="false">SUMIFS($T83:$CA83, $T$1:$CA$1, CD$63)</f>
        <v>0</v>
      </c>
      <c r="CE83" s="79" t="n">
        <f aca="false">SUMIFS($T83:$CA83, $T$1:$CA$1, CE$63)</f>
        <v>0</v>
      </c>
      <c r="CF83" s="79" t="n">
        <f aca="false">SUMIFS($T83:$CA83, $T$1:$CA$1, CF$63)</f>
        <v>0</v>
      </c>
      <c r="CG83" s="79" t="n">
        <f aca="false">SUMIFS($T83:$CA83, $T$1:$CA$1, CG$63)</f>
        <v>0</v>
      </c>
      <c r="CI83" s="79" t="n">
        <f aca="false">CC83=L83</f>
        <v>1</v>
      </c>
      <c r="CJ83" s="79" t="n">
        <f aca="false">CD83=M83</f>
        <v>1</v>
      </c>
      <c r="CK83" s="79" t="n">
        <f aca="false">CE83=N83</f>
        <v>1</v>
      </c>
      <c r="CL83" s="79" t="n">
        <f aca="false">CF83=O83</f>
        <v>1</v>
      </c>
      <c r="CM83" s="79" t="n">
        <f aca="false">CG83=P83</f>
        <v>1</v>
      </c>
    </row>
    <row r="84" s="14" customFormat="true" ht="16.5" hidden="false" customHeight="true" outlineLevel="0" collapsed="false">
      <c r="E84" s="96" t="s">
        <v>133</v>
      </c>
      <c r="H84" s="71"/>
      <c r="I84" s="82" t="n">
        <f aca="false">SUM(I79:I83)</f>
        <v>0</v>
      </c>
      <c r="J84" s="82" t="n">
        <f aca="false">SUM(J79:J83)</f>
        <v>0</v>
      </c>
      <c r="K84" s="82" t="n">
        <f aca="false">SUM(K79:K83)</f>
        <v>0</v>
      </c>
      <c r="L84" s="82" t="n">
        <f aca="false">SUM(L79:L83)</f>
        <v>0</v>
      </c>
      <c r="M84" s="82" t="n">
        <f aca="false">SUM(M79:M83)</f>
        <v>0</v>
      </c>
      <c r="N84" s="82" t="n">
        <f aca="false">SUM(N79:N83)</f>
        <v>0</v>
      </c>
      <c r="O84" s="82" t="n">
        <f aca="false">SUM(O79:O83)</f>
        <v>0</v>
      </c>
      <c r="P84" s="82" t="n">
        <f aca="false">SUM(P79:P83)</f>
        <v>0</v>
      </c>
      <c r="Q84" s="103"/>
      <c r="R84" s="103"/>
      <c r="S84" s="104"/>
      <c r="T84" s="82" t="n">
        <f aca="false">SUM(T79:T83)</f>
        <v>0</v>
      </c>
      <c r="U84" s="82" t="n">
        <f aca="false">SUM(U79:U83)</f>
        <v>0</v>
      </c>
      <c r="V84" s="82" t="n">
        <f aca="false">SUM(V79:V83)</f>
        <v>0</v>
      </c>
      <c r="W84" s="82" t="n">
        <f aca="false">SUM(W79:W83)</f>
        <v>0</v>
      </c>
      <c r="X84" s="82" t="n">
        <f aca="false">SUM(X79:X83)</f>
        <v>0</v>
      </c>
      <c r="Y84" s="82" t="n">
        <f aca="false">SUM(Y79:Y83)</f>
        <v>0</v>
      </c>
      <c r="Z84" s="82" t="n">
        <f aca="false">SUM(Z79:Z83)</f>
        <v>0</v>
      </c>
      <c r="AA84" s="82" t="n">
        <f aca="false">SUM(AA79:AA83)</f>
        <v>0</v>
      </c>
      <c r="AB84" s="82" t="n">
        <f aca="false">SUM(AB79:AB83)</f>
        <v>0</v>
      </c>
      <c r="AC84" s="82" t="n">
        <f aca="false">SUM(AC79:AC83)</f>
        <v>0</v>
      </c>
      <c r="AD84" s="82" t="n">
        <f aca="false">SUM(AD79:AD83)</f>
        <v>0</v>
      </c>
      <c r="AE84" s="82" t="n">
        <f aca="false">SUM(AE79:AE83)</f>
        <v>0</v>
      </c>
      <c r="AF84" s="82" t="n">
        <f aca="false">SUM(AF79:AF83)</f>
        <v>0</v>
      </c>
      <c r="AG84" s="82" t="n">
        <f aca="false">SUM(AG79:AG83)</f>
        <v>0</v>
      </c>
      <c r="AH84" s="82" t="n">
        <f aca="false">SUM(AH79:AH83)</f>
        <v>0</v>
      </c>
      <c r="AI84" s="82" t="n">
        <f aca="false">SUM(AI79:AI83)</f>
        <v>0</v>
      </c>
      <c r="AJ84" s="82" t="n">
        <f aca="false">SUM(AJ79:AJ83)</f>
        <v>0</v>
      </c>
      <c r="AK84" s="82" t="n">
        <f aca="false">SUM(AK79:AK83)</f>
        <v>0</v>
      </c>
      <c r="AL84" s="82" t="n">
        <f aca="false">SUM(AL79:AL83)</f>
        <v>0</v>
      </c>
      <c r="AM84" s="82" t="n">
        <f aca="false">SUM(AM79:AM83)</f>
        <v>0</v>
      </c>
      <c r="AN84" s="82" t="n">
        <f aca="false">SUM(AN79:AN83)</f>
        <v>0</v>
      </c>
      <c r="AO84" s="82" t="n">
        <f aca="false">SUM(AO79:AO83)</f>
        <v>0</v>
      </c>
      <c r="AP84" s="82" t="n">
        <f aca="false">SUM(AP79:AP83)</f>
        <v>0</v>
      </c>
      <c r="AQ84" s="82" t="n">
        <f aca="false">SUM(AQ79:AQ83)</f>
        <v>0</v>
      </c>
      <c r="AR84" s="82" t="n">
        <f aca="false">SUM(AR79:AR83)</f>
        <v>0</v>
      </c>
      <c r="AS84" s="82" t="n">
        <f aca="false">SUM(AS79:AS83)</f>
        <v>0</v>
      </c>
      <c r="AT84" s="82" t="n">
        <f aca="false">SUM(AT79:AT83)</f>
        <v>0</v>
      </c>
      <c r="AU84" s="82" t="n">
        <f aca="false">SUM(AU79:AU83)</f>
        <v>0</v>
      </c>
      <c r="AV84" s="82" t="n">
        <f aca="false">SUM(AV79:AV83)</f>
        <v>0</v>
      </c>
      <c r="AW84" s="82" t="n">
        <f aca="false">SUM(AW79:AW83)</f>
        <v>0</v>
      </c>
      <c r="AX84" s="82" t="n">
        <f aca="false">SUM(AX79:AX83)</f>
        <v>0</v>
      </c>
      <c r="AY84" s="82" t="n">
        <f aca="false">SUM(AY79:AY83)</f>
        <v>0</v>
      </c>
      <c r="AZ84" s="82" t="n">
        <f aca="false">SUM(AZ79:AZ83)</f>
        <v>0</v>
      </c>
      <c r="BA84" s="82" t="n">
        <f aca="false">SUM(BA79:BA83)</f>
        <v>0</v>
      </c>
      <c r="BB84" s="82" t="n">
        <f aca="false">SUM(BB79:BB83)</f>
        <v>0</v>
      </c>
      <c r="BC84" s="82" t="n">
        <f aca="false">SUM(BC79:BC83)</f>
        <v>0</v>
      </c>
      <c r="BD84" s="82" t="n">
        <f aca="false">SUM(BD79:BD83)</f>
        <v>0</v>
      </c>
      <c r="BE84" s="82" t="n">
        <f aca="false">SUM(BE79:BE83)</f>
        <v>0</v>
      </c>
      <c r="BF84" s="82" t="n">
        <f aca="false">SUM(BF79:BF83)</f>
        <v>0</v>
      </c>
      <c r="BG84" s="82" t="n">
        <f aca="false">SUM(BG79:BG83)</f>
        <v>0</v>
      </c>
      <c r="BH84" s="82" t="n">
        <f aca="false">SUM(BH79:BH83)</f>
        <v>0</v>
      </c>
      <c r="BI84" s="82" t="n">
        <f aca="false">SUM(BI79:BI83)</f>
        <v>0</v>
      </c>
      <c r="BJ84" s="82" t="n">
        <f aca="false">SUM(BJ79:BJ83)</f>
        <v>0</v>
      </c>
      <c r="BK84" s="82" t="n">
        <f aca="false">SUM(BK79:BK83)</f>
        <v>0</v>
      </c>
      <c r="BL84" s="82" t="n">
        <f aca="false">SUM(BL79:BL83)</f>
        <v>0</v>
      </c>
      <c r="BM84" s="82" t="n">
        <f aca="false">SUM(BM79:BM83)</f>
        <v>0</v>
      </c>
      <c r="BN84" s="82" t="n">
        <f aca="false">SUM(BN79:BN83)</f>
        <v>0</v>
      </c>
      <c r="BO84" s="82" t="n">
        <f aca="false">SUM(BO79:BO83)</f>
        <v>0</v>
      </c>
      <c r="BP84" s="82" t="n">
        <f aca="false">SUM(BP79:BP83)</f>
        <v>0</v>
      </c>
      <c r="BQ84" s="82" t="n">
        <f aca="false">SUM(BQ79:BQ83)</f>
        <v>0</v>
      </c>
      <c r="BR84" s="82" t="n">
        <f aca="false">SUM(BR79:BR83)</f>
        <v>0</v>
      </c>
      <c r="BS84" s="82" t="n">
        <f aca="false">SUM(BS79:BS83)</f>
        <v>0</v>
      </c>
      <c r="BT84" s="82" t="n">
        <f aca="false">SUM(BT79:BT83)</f>
        <v>0</v>
      </c>
      <c r="BU84" s="82" t="n">
        <f aca="false">SUM(BU79:BU83)</f>
        <v>0</v>
      </c>
      <c r="BV84" s="82" t="n">
        <f aca="false">SUM(BV79:BV83)</f>
        <v>0</v>
      </c>
      <c r="BW84" s="82" t="n">
        <f aca="false">SUM(BW79:BW83)</f>
        <v>0</v>
      </c>
      <c r="BX84" s="82" t="n">
        <f aca="false">SUM(BX79:BX83)</f>
        <v>0</v>
      </c>
      <c r="BY84" s="82" t="n">
        <f aca="false">SUM(BY79:BY83)</f>
        <v>0</v>
      </c>
      <c r="BZ84" s="82" t="n">
        <f aca="false">SUM(BZ79:BZ83)</f>
        <v>0</v>
      </c>
      <c r="CA84" s="82" t="n">
        <f aca="false">SUM(CA79:CA83)</f>
        <v>0</v>
      </c>
      <c r="CB84" s="104"/>
      <c r="CC84" s="105" t="n">
        <f aca="false">SUM(CC79:CC83)</f>
        <v>0</v>
      </c>
      <c r="CD84" s="105" t="n">
        <f aca="false">SUM(CD79:CD83)</f>
        <v>0</v>
      </c>
      <c r="CE84" s="105" t="n">
        <f aca="false">SUM(CE79:CE83)</f>
        <v>0</v>
      </c>
      <c r="CF84" s="105" t="n">
        <f aca="false">SUM(CF79:CF83)</f>
        <v>0</v>
      </c>
      <c r="CG84" s="105" t="n">
        <f aca="false">SUM(CG79:CG83)</f>
        <v>0</v>
      </c>
      <c r="CI84" s="84" t="n">
        <f aca="false">CC84=L84</f>
        <v>1</v>
      </c>
      <c r="CJ84" s="84" t="n">
        <f aca="false">CD84=M84</f>
        <v>1</v>
      </c>
      <c r="CK84" s="84" t="n">
        <f aca="false">CE84=N84</f>
        <v>1</v>
      </c>
      <c r="CL84" s="84" t="n">
        <f aca="false">CF84=O84</f>
        <v>1</v>
      </c>
      <c r="CM84" s="84" t="n">
        <f aca="false">CG84=P84</f>
        <v>1</v>
      </c>
    </row>
    <row r="85" s="14" customFormat="true" ht="16.5" hidden="false" customHeight="true" outlineLevel="0" collapsed="false">
      <c r="E85" s="96"/>
      <c r="H85" s="71"/>
      <c r="I85" s="82"/>
      <c r="J85" s="82"/>
      <c r="K85" s="82"/>
      <c r="L85" s="82"/>
      <c r="M85" s="82"/>
      <c r="N85" s="82"/>
      <c r="O85" s="82"/>
      <c r="P85" s="82"/>
      <c r="Q85" s="16"/>
      <c r="R85" s="16"/>
      <c r="T85" s="82"/>
      <c r="U85" s="82"/>
      <c r="V85" s="82"/>
      <c r="W85" s="82"/>
      <c r="X85" s="82"/>
      <c r="Y85" s="82"/>
      <c r="Z85" s="82"/>
      <c r="AA85" s="82"/>
      <c r="AB85" s="82"/>
      <c r="AC85" s="82"/>
      <c r="AD85" s="82"/>
      <c r="AE85" s="82"/>
      <c r="AF85" s="83"/>
      <c r="AG85" s="82"/>
      <c r="AH85" s="82"/>
      <c r="AI85" s="82"/>
      <c r="AJ85" s="82"/>
      <c r="AK85" s="82"/>
      <c r="AL85" s="82"/>
      <c r="AM85" s="82"/>
      <c r="AN85" s="82"/>
      <c r="AO85" s="82"/>
      <c r="AP85" s="82"/>
      <c r="AQ85" s="82"/>
      <c r="AR85" s="83"/>
      <c r="AS85" s="82"/>
      <c r="AT85" s="82"/>
      <c r="AU85" s="82"/>
      <c r="AV85" s="82"/>
      <c r="AW85" s="82"/>
      <c r="AX85" s="82"/>
      <c r="AY85" s="82"/>
      <c r="AZ85" s="82"/>
      <c r="BA85" s="82"/>
      <c r="BB85" s="82"/>
      <c r="BC85" s="82"/>
      <c r="BD85" s="83"/>
      <c r="BE85" s="82"/>
      <c r="BF85" s="82"/>
      <c r="BG85" s="82"/>
      <c r="BH85" s="82"/>
      <c r="BI85" s="82"/>
      <c r="BJ85" s="82"/>
      <c r="BK85" s="82"/>
      <c r="BL85" s="82"/>
      <c r="BM85" s="82"/>
      <c r="BN85" s="82"/>
      <c r="BO85" s="82"/>
      <c r="BP85" s="83"/>
      <c r="BQ85" s="82"/>
      <c r="BR85" s="82"/>
      <c r="BS85" s="82"/>
      <c r="BT85" s="82"/>
      <c r="BU85" s="82"/>
      <c r="BV85" s="82"/>
      <c r="BW85" s="82"/>
      <c r="BX85" s="82"/>
      <c r="BY85" s="82"/>
      <c r="BZ85" s="82"/>
      <c r="CA85" s="82"/>
      <c r="CC85" s="84"/>
      <c r="CD85" s="84"/>
      <c r="CE85" s="84"/>
      <c r="CF85" s="84"/>
      <c r="CG85" s="84"/>
      <c r="CI85" s="84"/>
      <c r="CJ85" s="84"/>
      <c r="CK85" s="84"/>
      <c r="CL85" s="84"/>
      <c r="CM85" s="84"/>
    </row>
    <row r="86" s="14" customFormat="true" ht="16.5" hidden="false" customHeight="true" outlineLevel="0" collapsed="false">
      <c r="E86" s="96"/>
      <c r="H86" s="71"/>
      <c r="I86" s="82"/>
      <c r="J86" s="82"/>
      <c r="K86" s="82"/>
      <c r="L86" s="82"/>
      <c r="M86" s="82"/>
      <c r="N86" s="82"/>
      <c r="O86" s="82"/>
      <c r="P86" s="82"/>
      <c r="Q86" s="16"/>
      <c r="R86" s="16"/>
      <c r="T86" s="82"/>
      <c r="U86" s="82"/>
      <c r="V86" s="82"/>
      <c r="W86" s="82"/>
      <c r="X86" s="82"/>
      <c r="Y86" s="82"/>
      <c r="Z86" s="82"/>
      <c r="AA86" s="82"/>
      <c r="AB86" s="82"/>
      <c r="AC86" s="82"/>
      <c r="AD86" s="82"/>
      <c r="AE86" s="82"/>
      <c r="AF86" s="83"/>
      <c r="AG86" s="82"/>
      <c r="AH86" s="82"/>
      <c r="AI86" s="82"/>
      <c r="AJ86" s="82"/>
      <c r="AK86" s="82"/>
      <c r="AL86" s="82"/>
      <c r="AM86" s="82"/>
      <c r="AN86" s="82"/>
      <c r="AO86" s="82"/>
      <c r="AP86" s="82"/>
      <c r="AQ86" s="82"/>
      <c r="AR86" s="83"/>
      <c r="AS86" s="82"/>
      <c r="AT86" s="82"/>
      <c r="AU86" s="82"/>
      <c r="AV86" s="82"/>
      <c r="AW86" s="82"/>
      <c r="AX86" s="82"/>
      <c r="AY86" s="82"/>
      <c r="AZ86" s="82"/>
      <c r="BA86" s="82"/>
      <c r="BB86" s="82"/>
      <c r="BC86" s="82"/>
      <c r="BD86" s="83"/>
      <c r="BE86" s="82"/>
      <c r="BF86" s="82"/>
      <c r="BG86" s="82"/>
      <c r="BH86" s="82"/>
      <c r="BI86" s="82"/>
      <c r="BJ86" s="82"/>
      <c r="BK86" s="82"/>
      <c r="BL86" s="82"/>
      <c r="BM86" s="82"/>
      <c r="BN86" s="82"/>
      <c r="BO86" s="82"/>
      <c r="BP86" s="83"/>
      <c r="BQ86" s="82"/>
      <c r="BR86" s="82"/>
      <c r="BS86" s="82"/>
      <c r="BT86" s="82"/>
      <c r="BU86" s="82"/>
      <c r="BV86" s="82"/>
      <c r="BW86" s="82"/>
      <c r="BX86" s="82"/>
      <c r="BY86" s="82"/>
      <c r="BZ86" s="82"/>
      <c r="CA86" s="82"/>
      <c r="CC86" s="84"/>
      <c r="CD86" s="84"/>
      <c r="CE86" s="84"/>
      <c r="CF86" s="84"/>
      <c r="CG86" s="84"/>
      <c r="CI86" s="84"/>
      <c r="CJ86" s="84"/>
      <c r="CK86" s="84"/>
      <c r="CL86" s="84"/>
      <c r="CM86" s="84"/>
    </row>
    <row r="87" s="14" customFormat="true" ht="16.5" hidden="false" customHeight="true" outlineLevel="0" collapsed="false">
      <c r="E87" s="85"/>
      <c r="H87" s="71"/>
      <c r="I87" s="88"/>
      <c r="J87" s="88"/>
      <c r="K87" s="88"/>
      <c r="L87" s="88"/>
      <c r="M87" s="88"/>
      <c r="N87" s="88"/>
      <c r="O87" s="88"/>
      <c r="P87" s="88"/>
      <c r="Q87" s="16"/>
      <c r="R87" s="16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9"/>
      <c r="AG87" s="88"/>
      <c r="AH87" s="88"/>
      <c r="AI87" s="88"/>
      <c r="AJ87" s="88"/>
      <c r="AK87" s="88"/>
      <c r="AL87" s="88"/>
      <c r="AM87" s="88"/>
      <c r="AN87" s="88"/>
      <c r="AO87" s="88"/>
      <c r="AP87" s="88"/>
      <c r="AQ87" s="88"/>
      <c r="AR87" s="89"/>
      <c r="AS87" s="88"/>
      <c r="AT87" s="88"/>
      <c r="AU87" s="88"/>
      <c r="AV87" s="88"/>
      <c r="AW87" s="88"/>
      <c r="AX87" s="88"/>
      <c r="AY87" s="88"/>
      <c r="AZ87" s="88"/>
      <c r="BA87" s="88"/>
      <c r="BB87" s="88"/>
      <c r="BC87" s="88"/>
      <c r="BD87" s="89"/>
      <c r="BE87" s="88"/>
      <c r="BF87" s="88"/>
      <c r="BG87" s="88"/>
      <c r="BH87" s="88"/>
      <c r="BI87" s="88"/>
      <c r="BJ87" s="88"/>
      <c r="BK87" s="88"/>
      <c r="BL87" s="88"/>
      <c r="BM87" s="88"/>
      <c r="BN87" s="88"/>
      <c r="BO87" s="88"/>
      <c r="BP87" s="89"/>
      <c r="BQ87" s="88"/>
      <c r="BR87" s="88"/>
      <c r="BS87" s="88"/>
      <c r="BT87" s="88"/>
      <c r="BU87" s="88"/>
      <c r="BV87" s="88"/>
      <c r="BW87" s="88"/>
      <c r="BX87" s="88"/>
      <c r="BY87" s="88"/>
      <c r="BZ87" s="88"/>
      <c r="CA87" s="88"/>
      <c r="CC87" s="90"/>
      <c r="CD87" s="90"/>
      <c r="CE87" s="90"/>
      <c r="CF87" s="90"/>
      <c r="CG87" s="90"/>
      <c r="CI87" s="90"/>
      <c r="CJ87" s="90"/>
      <c r="CK87" s="90"/>
      <c r="CL87" s="90"/>
      <c r="CM87" s="90"/>
    </row>
    <row r="88" s="14" customFormat="true" ht="16.5" hidden="false" customHeight="true" outlineLevel="0" collapsed="false">
      <c r="E88" s="109" t="s">
        <v>134</v>
      </c>
      <c r="F88" s="109"/>
      <c r="G88" s="109"/>
      <c r="H88" s="110"/>
      <c r="I88" s="212" t="n">
        <f aca="false">SUM(I68, I76, I84)</f>
        <v>0</v>
      </c>
      <c r="J88" s="212" t="n">
        <f aca="false">SUM(J68, J76, J84)</f>
        <v>0</v>
      </c>
      <c r="K88" s="212" t="n">
        <f aca="false">SUM(-K68, K76, K84)</f>
        <v>0</v>
      </c>
      <c r="L88" s="212" t="n">
        <f aca="false">SUM(L68, L76, L84)</f>
        <v>0</v>
      </c>
      <c r="M88" s="212" t="n">
        <f aca="false">SUM(M68, M76, M84)</f>
        <v>0</v>
      </c>
      <c r="N88" s="212" t="n">
        <f aca="false">SUM(N68, N76, N84)</f>
        <v>0</v>
      </c>
      <c r="O88" s="212" t="n">
        <f aca="false">SUM(O68, O76, O84)</f>
        <v>0</v>
      </c>
      <c r="P88" s="212" t="n">
        <f aca="false">SUM(P68, P76, P84)</f>
        <v>0</v>
      </c>
      <c r="Q88" s="16"/>
      <c r="R88" s="16"/>
      <c r="T88" s="213" t="n">
        <f aca="false">SUM(T68, T76, T84)</f>
        <v>0</v>
      </c>
      <c r="U88" s="213" t="n">
        <f aca="false">SUM(U68, U76, U84)</f>
        <v>0</v>
      </c>
      <c r="V88" s="213" t="n">
        <f aca="false">SUM(V68, V76, V84)</f>
        <v>0</v>
      </c>
      <c r="W88" s="213" t="n">
        <f aca="false">SUM(W68, W76, W84)</f>
        <v>0</v>
      </c>
      <c r="X88" s="213" t="n">
        <f aca="false">SUM(X68, X76, X84)</f>
        <v>0</v>
      </c>
      <c r="Y88" s="213" t="n">
        <f aca="false">SUM(Y68, Y76, Y84)</f>
        <v>0</v>
      </c>
      <c r="Z88" s="213" t="n">
        <f aca="false">SUM(Z68, Z76, Z84)</f>
        <v>0</v>
      </c>
      <c r="AA88" s="213" t="n">
        <f aca="false">SUM(AA68, AA76, AA84)</f>
        <v>0</v>
      </c>
      <c r="AB88" s="213" t="n">
        <f aca="false">SUM(AB68, AB76, AB84)</f>
        <v>0</v>
      </c>
      <c r="AC88" s="213" t="n">
        <f aca="false">SUM(AC68, AC76, AC84)</f>
        <v>0</v>
      </c>
      <c r="AD88" s="213" t="n">
        <f aca="false">SUM(AD68, AD76, AD84)</f>
        <v>0</v>
      </c>
      <c r="AE88" s="213" t="n">
        <f aca="false">SUM(AE68, AE76, AE84)</f>
        <v>0</v>
      </c>
      <c r="AF88" s="213" t="n">
        <f aca="false">SUM(AF68, AF76, AF84)</f>
        <v>0</v>
      </c>
      <c r="AG88" s="213" t="n">
        <f aca="false">SUM(AG68, AG76, AG84)</f>
        <v>0</v>
      </c>
      <c r="AH88" s="213" t="n">
        <f aca="false">SUM(AH68, AH76, AH84)</f>
        <v>0</v>
      </c>
      <c r="AI88" s="213" t="n">
        <f aca="false">SUM(AI68, AI76, AI84)</f>
        <v>0</v>
      </c>
      <c r="AJ88" s="213" t="n">
        <f aca="false">SUM(AJ68, AJ76, AJ84)</f>
        <v>0</v>
      </c>
      <c r="AK88" s="213" t="n">
        <f aca="false">SUM(AK68, AK76, AK84)</f>
        <v>0</v>
      </c>
      <c r="AL88" s="213" t="n">
        <f aca="false">SUM(AL68, AL76, AL84)</f>
        <v>0</v>
      </c>
      <c r="AM88" s="213" t="n">
        <f aca="false">SUM(AM68, AM76, AM84)</f>
        <v>0</v>
      </c>
      <c r="AN88" s="213" t="n">
        <f aca="false">SUM(AN68, AN76, AN84)</f>
        <v>0</v>
      </c>
      <c r="AO88" s="213" t="n">
        <f aca="false">SUM(AO68, AO76, AO84)</f>
        <v>0</v>
      </c>
      <c r="AP88" s="213" t="n">
        <f aca="false">SUM(AP68, AP76, AP84)</f>
        <v>0</v>
      </c>
      <c r="AQ88" s="213" t="n">
        <f aca="false">SUM(AQ68, AQ76, AQ84)</f>
        <v>0</v>
      </c>
      <c r="AR88" s="213" t="n">
        <f aca="false">SUM(AR68, AR76, AR84)</f>
        <v>0</v>
      </c>
      <c r="AS88" s="213" t="n">
        <f aca="false">SUM(AS68, AS76, AS84)</f>
        <v>0</v>
      </c>
      <c r="AT88" s="213" t="n">
        <f aca="false">SUM(AT68, AT76, AT84)</f>
        <v>0</v>
      </c>
      <c r="AU88" s="213" t="n">
        <f aca="false">SUM(AU68, AU76, AU84)</f>
        <v>0</v>
      </c>
      <c r="AV88" s="213" t="n">
        <f aca="false">SUM(AV68, AV76, AV84)</f>
        <v>0</v>
      </c>
      <c r="AW88" s="213" t="n">
        <f aca="false">SUM(AW68, AW76, AW84)</f>
        <v>0</v>
      </c>
      <c r="AX88" s="213" t="n">
        <f aca="false">SUM(AX68, AX76, AX84)</f>
        <v>0</v>
      </c>
      <c r="AY88" s="213" t="n">
        <f aca="false">SUM(AY68, AY76, AY84)</f>
        <v>0</v>
      </c>
      <c r="AZ88" s="213" t="n">
        <f aca="false">SUM(AZ68, AZ76, AZ84)</f>
        <v>0</v>
      </c>
      <c r="BA88" s="213" t="n">
        <f aca="false">SUM(BA68, BA76, BA84)</f>
        <v>0</v>
      </c>
      <c r="BB88" s="213" t="n">
        <f aca="false">SUM(BB68, BB76, BB84)</f>
        <v>0</v>
      </c>
      <c r="BC88" s="213" t="n">
        <f aca="false">SUM(BC68, BC76, BC84)</f>
        <v>0</v>
      </c>
      <c r="BD88" s="213" t="n">
        <f aca="false">SUM(BD68, BD76, BD84)</f>
        <v>0</v>
      </c>
      <c r="BE88" s="213" t="n">
        <f aca="false">SUM(BE68, BE76, BE84)</f>
        <v>0</v>
      </c>
      <c r="BF88" s="213" t="n">
        <f aca="false">SUM(BF68, BF76, BF84)</f>
        <v>0</v>
      </c>
      <c r="BG88" s="213" t="n">
        <f aca="false">SUM(BG68, BG76, BG84)</f>
        <v>0</v>
      </c>
      <c r="BH88" s="213" t="n">
        <f aca="false">SUM(BH68, BH76, BH84)</f>
        <v>0</v>
      </c>
      <c r="BI88" s="213" t="n">
        <f aca="false">SUM(BI68, BI76, BI84)</f>
        <v>0</v>
      </c>
      <c r="BJ88" s="213" t="n">
        <f aca="false">SUM(BJ68, BJ76, BJ84)</f>
        <v>0</v>
      </c>
      <c r="BK88" s="213" t="n">
        <f aca="false">SUM(BK68, BK76, BK84)</f>
        <v>0</v>
      </c>
      <c r="BL88" s="213" t="n">
        <f aca="false">SUM(BL68, BL76, BL84)</f>
        <v>0</v>
      </c>
      <c r="BM88" s="213" t="n">
        <f aca="false">SUM(BM68, BM76, BM84)</f>
        <v>0</v>
      </c>
      <c r="BN88" s="213" t="n">
        <f aca="false">SUM(BN68, BN76, BN84)</f>
        <v>0</v>
      </c>
      <c r="BO88" s="213" t="n">
        <f aca="false">SUM(BO68, BO76, BO84)</f>
        <v>0</v>
      </c>
      <c r="BP88" s="213" t="n">
        <f aca="false">SUM(BP68, BP76, BP84)</f>
        <v>0</v>
      </c>
      <c r="BQ88" s="213" t="n">
        <f aca="false">SUM(BQ68, BQ76, BQ84)</f>
        <v>0</v>
      </c>
      <c r="BR88" s="213" t="n">
        <f aca="false">SUM(BR68, BR76, BR84)</f>
        <v>0</v>
      </c>
      <c r="BS88" s="213" t="n">
        <f aca="false">SUM(BS68, BS76, BS84)</f>
        <v>0</v>
      </c>
      <c r="BT88" s="213" t="n">
        <f aca="false">SUM(BT68, BT76, BT84)</f>
        <v>0</v>
      </c>
      <c r="BU88" s="213" t="n">
        <f aca="false">SUM(BU68, BU76, BU84)</f>
        <v>0</v>
      </c>
      <c r="BV88" s="213" t="n">
        <f aca="false">SUM(BV68, BV76, BV84)</f>
        <v>0</v>
      </c>
      <c r="BW88" s="213" t="n">
        <f aca="false">SUM(BW68, BW76, BW84)</f>
        <v>0</v>
      </c>
      <c r="BX88" s="213" t="n">
        <f aca="false">SUM(BX68, BX76, BX84)</f>
        <v>0</v>
      </c>
      <c r="BY88" s="213" t="n">
        <f aca="false">SUM(BY68, BY76, BY84)</f>
        <v>0</v>
      </c>
      <c r="BZ88" s="213" t="n">
        <f aca="false">SUM(BZ68, BZ76, BZ84)</f>
        <v>0</v>
      </c>
      <c r="CA88" s="213" t="n">
        <f aca="false">SUM(CA68, CA76, CA84)</f>
        <v>0</v>
      </c>
      <c r="CC88" s="112" t="n">
        <f aca="false">SUM(CC68, CC76, CC84)</f>
        <v>0</v>
      </c>
      <c r="CD88" s="112" t="n">
        <f aca="false">SUM(CD68, CD76, CD84)</f>
        <v>0</v>
      </c>
      <c r="CE88" s="112" t="n">
        <f aca="false">SUM(CE68, CE76, CE84)</f>
        <v>0</v>
      </c>
      <c r="CF88" s="112" t="n">
        <f aca="false">SUM(CF68, CF76, CF84)</f>
        <v>0</v>
      </c>
      <c r="CG88" s="112" t="n">
        <f aca="false">SUM(CG68, CG76, CG84)</f>
        <v>0</v>
      </c>
      <c r="CH88" s="112" t="n">
        <f aca="false">SUM(CH68, CH76, CH84)</f>
        <v>0</v>
      </c>
      <c r="CI88" s="113" t="n">
        <f aca="false">CC88=L88</f>
        <v>1</v>
      </c>
      <c r="CJ88" s="113" t="n">
        <f aca="false">CD88=M88</f>
        <v>1</v>
      </c>
      <c r="CK88" s="113" t="n">
        <f aca="false">CE88=N88</f>
        <v>1</v>
      </c>
      <c r="CL88" s="113" t="n">
        <f aca="false">CF88=O88</f>
        <v>1</v>
      </c>
      <c r="CM88" s="113" t="n">
        <f aca="false">CG88=P88</f>
        <v>1</v>
      </c>
    </row>
    <row r="89" s="14" customFormat="true" ht="16.5" hidden="false" customHeight="true" outlineLevel="0" collapsed="false">
      <c r="H89" s="29"/>
      <c r="Q89" s="16"/>
      <c r="R89" s="16"/>
    </row>
    <row r="90" s="14" customFormat="true" ht="16.5" hidden="false" customHeight="true" outlineLevel="0" collapsed="false">
      <c r="H90" s="29"/>
      <c r="Q90" s="16"/>
      <c r="R90" s="16"/>
      <c r="T90" s="62" t="n">
        <v>2026</v>
      </c>
      <c r="U90" s="129"/>
      <c r="V90" s="129"/>
      <c r="W90" s="129"/>
      <c r="X90" s="129"/>
      <c r="Y90" s="129"/>
      <c r="Z90" s="129"/>
      <c r="AA90" s="129"/>
      <c r="AB90" s="129"/>
      <c r="AC90" s="129"/>
      <c r="AD90" s="129"/>
      <c r="AE90" s="129"/>
      <c r="AF90" s="62" t="n">
        <v>2027</v>
      </c>
      <c r="AG90" s="129"/>
      <c r="AH90" s="129"/>
      <c r="AI90" s="129"/>
      <c r="AJ90" s="129"/>
      <c r="AK90" s="129"/>
      <c r="AL90" s="129"/>
      <c r="AM90" s="129"/>
      <c r="AN90" s="129"/>
      <c r="AO90" s="129"/>
      <c r="AP90" s="129"/>
      <c r="AQ90" s="129"/>
      <c r="AR90" s="62" t="n">
        <v>2028</v>
      </c>
      <c r="AS90" s="129"/>
      <c r="AT90" s="129"/>
      <c r="AU90" s="129"/>
      <c r="AV90" s="129"/>
      <c r="AW90" s="129"/>
      <c r="AX90" s="129"/>
      <c r="AY90" s="129"/>
      <c r="AZ90" s="129"/>
      <c r="BA90" s="129"/>
      <c r="BB90" s="129"/>
      <c r="BC90" s="129"/>
      <c r="BD90" s="62" t="n">
        <v>2029</v>
      </c>
      <c r="BE90" s="129"/>
      <c r="BF90" s="129"/>
      <c r="BG90" s="129"/>
      <c r="BH90" s="129"/>
      <c r="BI90" s="129"/>
      <c r="BJ90" s="129"/>
      <c r="BK90" s="129"/>
      <c r="BL90" s="129"/>
      <c r="BM90" s="129"/>
      <c r="BN90" s="129"/>
      <c r="BO90" s="129"/>
      <c r="BP90" s="62" t="n">
        <v>2030</v>
      </c>
      <c r="BQ90" s="130"/>
      <c r="BR90" s="130"/>
      <c r="BS90" s="130"/>
      <c r="BT90" s="130"/>
      <c r="BU90" s="130"/>
      <c r="BV90" s="130"/>
      <c r="BW90" s="130"/>
      <c r="BX90" s="130"/>
      <c r="BY90" s="130"/>
      <c r="BZ90" s="130"/>
      <c r="CA90" s="130"/>
      <c r="CI90" s="206" t="s">
        <v>398</v>
      </c>
      <c r="CJ90" s="206"/>
      <c r="CK90" s="206"/>
      <c r="CL90" s="206"/>
      <c r="CM90" s="206"/>
    </row>
    <row r="91" s="14" customFormat="true" ht="16.5" hidden="false" customHeight="true" outlineLevel="0" collapsed="false">
      <c r="D91" s="30" t="s">
        <v>135</v>
      </c>
      <c r="E91" s="31"/>
      <c r="F91" s="31"/>
      <c r="G91" s="31"/>
      <c r="H91" s="214" t="s">
        <v>120</v>
      </c>
      <c r="I91" s="31" t="s">
        <v>67</v>
      </c>
      <c r="J91" s="31" t="s">
        <v>94</v>
      </c>
      <c r="K91" s="31" t="s">
        <v>121</v>
      </c>
      <c r="L91" s="31" t="n">
        <v>2026</v>
      </c>
      <c r="M91" s="31" t="n">
        <f aca="false">L91+1</f>
        <v>2027</v>
      </c>
      <c r="N91" s="31" t="n">
        <f aca="false">M91+1</f>
        <v>2028</v>
      </c>
      <c r="O91" s="31" t="n">
        <f aca="false">N91+1</f>
        <v>2029</v>
      </c>
      <c r="P91" s="31" t="n">
        <f aca="false">O91+1</f>
        <v>2030</v>
      </c>
      <c r="Q91" s="31" t="s">
        <v>122</v>
      </c>
      <c r="R91" s="31" t="s">
        <v>65</v>
      </c>
      <c r="T91" s="59" t="n">
        <v>46023</v>
      </c>
      <c r="U91" s="60" t="n">
        <f aca="false">EOMONTH(T91, 1)</f>
        <v>46081</v>
      </c>
      <c r="V91" s="60" t="n">
        <f aca="false">EOMONTH(U91, 1)</f>
        <v>46112</v>
      </c>
      <c r="W91" s="60" t="n">
        <f aca="false">EOMONTH(V91, 1)</f>
        <v>46142</v>
      </c>
      <c r="X91" s="60" t="n">
        <f aca="false">EOMONTH(W91, 1)</f>
        <v>46173</v>
      </c>
      <c r="Y91" s="60" t="n">
        <f aca="false">EOMONTH(X91, 1)</f>
        <v>46203</v>
      </c>
      <c r="Z91" s="60" t="n">
        <f aca="false">EOMONTH(Y91, 1)</f>
        <v>46234</v>
      </c>
      <c r="AA91" s="60" t="n">
        <f aca="false">EOMONTH(Z91, 1)</f>
        <v>46265</v>
      </c>
      <c r="AB91" s="60" t="n">
        <f aca="false">EOMONTH(AA91, 1)</f>
        <v>46295</v>
      </c>
      <c r="AC91" s="60" t="n">
        <f aca="false">EOMONTH(AB91, 1)</f>
        <v>46326</v>
      </c>
      <c r="AD91" s="60" t="n">
        <f aca="false">EOMONTH(AC91, 1)</f>
        <v>46356</v>
      </c>
      <c r="AE91" s="61" t="n">
        <f aca="false">EOMONTH(AD91, 1)</f>
        <v>46387</v>
      </c>
      <c r="AF91" s="59" t="n">
        <f aca="false">EOMONTH(AE91, 1)</f>
        <v>46418</v>
      </c>
      <c r="AG91" s="60" t="n">
        <f aca="false">EOMONTH(AF91, 1)</f>
        <v>46446</v>
      </c>
      <c r="AH91" s="60" t="n">
        <f aca="false">EOMONTH(AG91, 1)</f>
        <v>46477</v>
      </c>
      <c r="AI91" s="60" t="n">
        <f aca="false">EOMONTH(AH91, 1)</f>
        <v>46507</v>
      </c>
      <c r="AJ91" s="60" t="n">
        <f aca="false">EOMONTH(AI91, 1)</f>
        <v>46538</v>
      </c>
      <c r="AK91" s="60" t="n">
        <f aca="false">EOMONTH(AJ91, 1)</f>
        <v>46568</v>
      </c>
      <c r="AL91" s="60" t="n">
        <f aca="false">EOMONTH(AK91, 1)</f>
        <v>46599</v>
      </c>
      <c r="AM91" s="60" t="n">
        <f aca="false">EOMONTH(AL91, 1)</f>
        <v>46630</v>
      </c>
      <c r="AN91" s="60" t="n">
        <f aca="false">EOMONTH(AM91, 1)</f>
        <v>46660</v>
      </c>
      <c r="AO91" s="60" t="n">
        <f aca="false">EOMONTH(AN91, 1)</f>
        <v>46691</v>
      </c>
      <c r="AP91" s="60" t="n">
        <f aca="false">EOMONTH(AO91, 1)</f>
        <v>46721</v>
      </c>
      <c r="AQ91" s="61" t="n">
        <f aca="false">EOMONTH(AP91, 1)</f>
        <v>46752</v>
      </c>
      <c r="AR91" s="59" t="n">
        <f aca="false">EOMONTH(AQ91, 1)</f>
        <v>46783</v>
      </c>
      <c r="AS91" s="60" t="n">
        <f aca="false">EOMONTH(AR91, 1)</f>
        <v>46812</v>
      </c>
      <c r="AT91" s="60" t="n">
        <f aca="false">EOMONTH(AS91, 1)</f>
        <v>46843</v>
      </c>
      <c r="AU91" s="60" t="n">
        <f aca="false">EOMONTH(AT91, 1)</f>
        <v>46873</v>
      </c>
      <c r="AV91" s="60" t="n">
        <f aca="false">EOMONTH(AU91, 1)</f>
        <v>46904</v>
      </c>
      <c r="AW91" s="60" t="n">
        <f aca="false">EOMONTH(AV91, 1)</f>
        <v>46934</v>
      </c>
      <c r="AX91" s="60" t="n">
        <f aca="false">EOMONTH(AW91, 1)</f>
        <v>46965</v>
      </c>
      <c r="AY91" s="60" t="n">
        <f aca="false">EOMONTH(AX91, 1)</f>
        <v>46996</v>
      </c>
      <c r="AZ91" s="60" t="n">
        <f aca="false">EOMONTH(AY91, 1)</f>
        <v>47026</v>
      </c>
      <c r="BA91" s="60" t="n">
        <f aca="false">EOMONTH(AZ91, 1)</f>
        <v>47057</v>
      </c>
      <c r="BB91" s="60" t="n">
        <f aca="false">EOMONTH(BA91, 1)</f>
        <v>47087</v>
      </c>
      <c r="BC91" s="61" t="n">
        <f aca="false">EOMONTH(BB91, 1)</f>
        <v>47118</v>
      </c>
      <c r="BD91" s="59" t="n">
        <f aca="false">EOMONTH(BC91, 1)</f>
        <v>47149</v>
      </c>
      <c r="BE91" s="60" t="n">
        <f aca="false">EOMONTH(BD91, 1)</f>
        <v>47177</v>
      </c>
      <c r="BF91" s="60" t="n">
        <f aca="false">EOMONTH(BE91, 1)</f>
        <v>47208</v>
      </c>
      <c r="BG91" s="60" t="n">
        <f aca="false">EOMONTH(BF91, 1)</f>
        <v>47238</v>
      </c>
      <c r="BH91" s="60" t="n">
        <f aca="false">EOMONTH(BG91, 1)</f>
        <v>47269</v>
      </c>
      <c r="BI91" s="60" t="n">
        <f aca="false">EOMONTH(BH91, 1)</f>
        <v>47299</v>
      </c>
      <c r="BJ91" s="60" t="n">
        <f aca="false">EOMONTH(BI91, 1)</f>
        <v>47330</v>
      </c>
      <c r="BK91" s="60" t="n">
        <f aca="false">EOMONTH(BJ91, 1)</f>
        <v>47361</v>
      </c>
      <c r="BL91" s="60" t="n">
        <f aca="false">EOMONTH(BK91, 1)</f>
        <v>47391</v>
      </c>
      <c r="BM91" s="60" t="n">
        <f aca="false">EOMONTH(BL91, 1)</f>
        <v>47422</v>
      </c>
      <c r="BN91" s="60" t="n">
        <f aca="false">EOMONTH(BM91, 1)</f>
        <v>47452</v>
      </c>
      <c r="BO91" s="61" t="n">
        <f aca="false">EOMONTH(BN91, 1)</f>
        <v>47483</v>
      </c>
      <c r="BP91" s="59" t="n">
        <f aca="false">EOMONTH(BO91, 1)</f>
        <v>47514</v>
      </c>
      <c r="BQ91" s="60" t="n">
        <f aca="false">EOMONTH(BP91, 1)</f>
        <v>47542</v>
      </c>
      <c r="BR91" s="60" t="n">
        <f aca="false">EOMONTH(BQ91, 1)</f>
        <v>47573</v>
      </c>
      <c r="BS91" s="60" t="n">
        <f aca="false">EOMONTH(BR91, 1)</f>
        <v>47603</v>
      </c>
      <c r="BT91" s="60" t="n">
        <f aca="false">EOMONTH(BS91, 1)</f>
        <v>47634</v>
      </c>
      <c r="BU91" s="60" t="n">
        <f aca="false">EOMONTH(BT91, 1)</f>
        <v>47664</v>
      </c>
      <c r="BV91" s="60" t="n">
        <f aca="false">EOMONTH(BU91, 1)</f>
        <v>47695</v>
      </c>
      <c r="BW91" s="60" t="n">
        <f aca="false">EOMONTH(BV91, 1)</f>
        <v>47726</v>
      </c>
      <c r="BX91" s="60" t="n">
        <f aca="false">EOMONTH(BW91, 1)</f>
        <v>47756</v>
      </c>
      <c r="BY91" s="60" t="n">
        <f aca="false">EOMONTH(BX91, 1)</f>
        <v>47787</v>
      </c>
      <c r="BZ91" s="60" t="n">
        <f aca="false">EOMONTH(BY91, 1)</f>
        <v>47817</v>
      </c>
      <c r="CA91" s="60" t="n">
        <f aca="false">EOMONTH(BZ91, 1)</f>
        <v>47848</v>
      </c>
      <c r="CC91" s="62" t="n">
        <v>2026</v>
      </c>
      <c r="CD91" s="62" t="n">
        <f aca="false">CC91+1</f>
        <v>2027</v>
      </c>
      <c r="CE91" s="62" t="n">
        <f aca="false">CD91+1</f>
        <v>2028</v>
      </c>
      <c r="CF91" s="62" t="n">
        <f aca="false">CE91+1</f>
        <v>2029</v>
      </c>
      <c r="CG91" s="62" t="n">
        <f aca="false">CF91+1</f>
        <v>2030</v>
      </c>
      <c r="CI91" s="62" t="n">
        <v>2026</v>
      </c>
      <c r="CJ91" s="62" t="n">
        <f aca="false">CI91+1</f>
        <v>2027</v>
      </c>
      <c r="CK91" s="62" t="n">
        <f aca="false">CJ91+1</f>
        <v>2028</v>
      </c>
      <c r="CL91" s="62" t="n">
        <f aca="false">CK91+1</f>
        <v>2029</v>
      </c>
      <c r="CM91" s="62" t="n">
        <f aca="false">CL91+1</f>
        <v>2030</v>
      </c>
    </row>
    <row r="92" s="14" customFormat="true" ht="16.5" hidden="false" customHeight="true" outlineLevel="0" collapsed="false">
      <c r="D92" s="63"/>
      <c r="E92" s="64" t="s">
        <v>92</v>
      </c>
      <c r="H92" s="29"/>
      <c r="I92" s="65" t="str">
        <f aca="false">"TTM "&amp;TEXT($H$18,"m/d/yy")</f>
        <v>TTM TTM 6/1/26</v>
      </c>
      <c r="J92" s="65" t="s">
        <v>124</v>
      </c>
      <c r="K92" s="65" t="s">
        <v>125</v>
      </c>
      <c r="L92" s="66"/>
      <c r="M92" s="66"/>
      <c r="N92" s="66"/>
      <c r="O92" s="66"/>
      <c r="P92" s="66"/>
      <c r="Q92" s="16"/>
      <c r="R92" s="16"/>
      <c r="T92" s="66"/>
      <c r="U92" s="66"/>
      <c r="V92" s="66"/>
      <c r="W92" s="66"/>
      <c r="X92" s="66"/>
      <c r="Y92" s="66"/>
      <c r="Z92" s="66"/>
      <c r="AA92" s="66"/>
      <c r="AB92" s="66"/>
      <c r="AC92" s="66"/>
      <c r="AD92" s="66"/>
      <c r="AE92" s="66"/>
      <c r="AF92" s="67"/>
      <c r="AG92" s="66"/>
      <c r="AH92" s="66"/>
      <c r="AI92" s="66"/>
      <c r="AJ92" s="66"/>
      <c r="AK92" s="66"/>
      <c r="AL92" s="66"/>
      <c r="AM92" s="66"/>
      <c r="AN92" s="66"/>
      <c r="AO92" s="66"/>
      <c r="AP92" s="66"/>
      <c r="AQ92" s="66"/>
      <c r="AR92" s="67"/>
      <c r="AS92" s="66"/>
      <c r="AT92" s="66"/>
      <c r="AU92" s="66"/>
      <c r="AV92" s="66"/>
      <c r="AW92" s="66"/>
      <c r="AX92" s="66"/>
      <c r="AY92" s="66"/>
      <c r="AZ92" s="66"/>
      <c r="BA92" s="66"/>
      <c r="BB92" s="66"/>
      <c r="BC92" s="66"/>
      <c r="BD92" s="67"/>
      <c r="BE92" s="66"/>
      <c r="BF92" s="66"/>
      <c r="BG92" s="66"/>
      <c r="BH92" s="66"/>
      <c r="BI92" s="66"/>
      <c r="BJ92" s="66"/>
      <c r="BK92" s="66"/>
      <c r="BL92" s="66"/>
      <c r="BM92" s="66"/>
      <c r="BN92" s="66"/>
      <c r="BO92" s="66"/>
      <c r="BP92" s="67"/>
      <c r="BQ92" s="66"/>
      <c r="BR92" s="66"/>
      <c r="BS92" s="66"/>
      <c r="BT92" s="66"/>
      <c r="BU92" s="66"/>
      <c r="BV92" s="66"/>
      <c r="BW92" s="66"/>
      <c r="BX92" s="66"/>
      <c r="BY92" s="66"/>
      <c r="BZ92" s="66"/>
      <c r="CA92" s="66"/>
    </row>
    <row r="93" s="14" customFormat="true" ht="16.5" hidden="false" customHeight="true" outlineLevel="0" collapsed="false">
      <c r="E93" s="68" t="s">
        <v>126</v>
      </c>
      <c r="F93" s="21"/>
      <c r="G93" s="21"/>
      <c r="H93" s="29"/>
      <c r="I93" s="65"/>
      <c r="J93" s="65"/>
      <c r="K93" s="65"/>
      <c r="Q93" s="16"/>
      <c r="R93" s="16"/>
      <c r="AF93" s="69"/>
      <c r="AR93" s="69"/>
      <c r="BD93" s="69"/>
      <c r="BP93" s="69"/>
    </row>
    <row r="94" s="14" customFormat="true" ht="16.5" hidden="false" customHeight="true" outlineLevel="0" collapsed="false">
      <c r="E94" s="70"/>
      <c r="H94" s="71"/>
      <c r="I94" s="76" t="n">
        <v>0</v>
      </c>
      <c r="J94" s="76" t="n">
        <v>0</v>
      </c>
      <c r="K94" s="207" t="n">
        <f aca="false">J94-I94</f>
        <v>0</v>
      </c>
      <c r="L94" s="76"/>
      <c r="M94" s="76"/>
      <c r="N94" s="76"/>
      <c r="O94" s="76"/>
      <c r="P94" s="77"/>
      <c r="Q94" s="75"/>
      <c r="R94" s="16" t="str">
        <f aca="false">IF(K94=P94, "", "Error")</f>
        <v/>
      </c>
      <c r="T94" s="76"/>
      <c r="U94" s="76"/>
      <c r="V94" s="76"/>
      <c r="W94" s="76"/>
      <c r="X94" s="76"/>
      <c r="Y94" s="76"/>
      <c r="Z94" s="76"/>
      <c r="AA94" s="76"/>
      <c r="AB94" s="76"/>
      <c r="AC94" s="76"/>
      <c r="AD94" s="76"/>
      <c r="AE94" s="77"/>
      <c r="AF94" s="78"/>
      <c r="AG94" s="76"/>
      <c r="AH94" s="76"/>
      <c r="AI94" s="76"/>
      <c r="AJ94" s="76"/>
      <c r="AK94" s="76"/>
      <c r="AL94" s="76"/>
      <c r="AM94" s="76"/>
      <c r="AN94" s="76"/>
      <c r="AO94" s="76"/>
      <c r="AP94" s="76"/>
      <c r="AQ94" s="77"/>
      <c r="AR94" s="78"/>
      <c r="AS94" s="76"/>
      <c r="AT94" s="76"/>
      <c r="AU94" s="76"/>
      <c r="AV94" s="76"/>
      <c r="AW94" s="76"/>
      <c r="AX94" s="76"/>
      <c r="AY94" s="76"/>
      <c r="AZ94" s="76"/>
      <c r="BA94" s="76"/>
      <c r="BB94" s="76"/>
      <c r="BC94" s="77"/>
      <c r="BD94" s="78"/>
      <c r="BE94" s="76"/>
      <c r="BF94" s="76"/>
      <c r="BG94" s="76"/>
      <c r="BH94" s="76"/>
      <c r="BI94" s="76"/>
      <c r="BJ94" s="76"/>
      <c r="BK94" s="76"/>
      <c r="BL94" s="76"/>
      <c r="BM94" s="76"/>
      <c r="BN94" s="76"/>
      <c r="BO94" s="77"/>
      <c r="BP94" s="78"/>
      <c r="BQ94" s="76"/>
      <c r="BR94" s="76"/>
      <c r="BS94" s="76"/>
      <c r="BT94" s="76"/>
      <c r="BU94" s="76"/>
      <c r="BV94" s="76"/>
      <c r="BW94" s="76"/>
      <c r="BX94" s="76"/>
      <c r="BY94" s="76"/>
      <c r="BZ94" s="76"/>
      <c r="CA94" s="76"/>
      <c r="CC94" s="79" t="n">
        <f aca="false">SUMIFS($T94:$CA94, $T$1:$CA$1, CC$63)</f>
        <v>0</v>
      </c>
      <c r="CD94" s="79" t="n">
        <f aca="false">SUMIFS($T94:$CA94, $T$1:$CA$1, CD$63)</f>
        <v>0</v>
      </c>
      <c r="CE94" s="79" t="n">
        <f aca="false">SUMIFS($T94:$CA94, $T$1:$CA$1, CE$63)</f>
        <v>0</v>
      </c>
      <c r="CF94" s="79" t="n">
        <f aca="false">SUMIFS($T94:$CA94, $T$1:$CA$1, CF$63)</f>
        <v>0</v>
      </c>
      <c r="CG94" s="79" t="n">
        <f aca="false">SUMIFS($T94:$CA94, $T$1:$CA$1, CG$63)</f>
        <v>0</v>
      </c>
      <c r="CI94" s="79" t="n">
        <f aca="false">CC94=L94</f>
        <v>1</v>
      </c>
      <c r="CJ94" s="79" t="n">
        <f aca="false">CD94=M94</f>
        <v>1</v>
      </c>
      <c r="CK94" s="79" t="n">
        <f aca="false">CE94=N94</f>
        <v>1</v>
      </c>
      <c r="CL94" s="79" t="n">
        <f aca="false">CF94=O94</f>
        <v>1</v>
      </c>
      <c r="CM94" s="79" t="n">
        <f aca="false">CG94=P94</f>
        <v>1</v>
      </c>
    </row>
    <row r="95" s="14" customFormat="true" ht="16.5" hidden="false" customHeight="true" outlineLevel="0" collapsed="false">
      <c r="E95" s="70"/>
      <c r="H95" s="71"/>
      <c r="I95" s="76" t="n">
        <v>0</v>
      </c>
      <c r="J95" s="76" t="n">
        <v>0</v>
      </c>
      <c r="K95" s="207" t="n">
        <f aca="false">J95-I95</f>
        <v>0</v>
      </c>
      <c r="L95" s="76"/>
      <c r="M95" s="76"/>
      <c r="N95" s="76"/>
      <c r="O95" s="76"/>
      <c r="P95" s="77"/>
      <c r="Q95" s="75"/>
      <c r="R95" s="16" t="str">
        <f aca="false">IF(K95=P95, "", "Error")</f>
        <v/>
      </c>
      <c r="T95" s="76"/>
      <c r="U95" s="76"/>
      <c r="V95" s="76"/>
      <c r="W95" s="76"/>
      <c r="X95" s="76"/>
      <c r="Y95" s="76"/>
      <c r="Z95" s="76"/>
      <c r="AA95" s="76"/>
      <c r="AB95" s="76"/>
      <c r="AC95" s="76"/>
      <c r="AD95" s="76"/>
      <c r="AE95" s="77"/>
      <c r="AF95" s="78"/>
      <c r="AG95" s="76"/>
      <c r="AH95" s="76"/>
      <c r="AI95" s="76"/>
      <c r="AJ95" s="76"/>
      <c r="AK95" s="76"/>
      <c r="AL95" s="76"/>
      <c r="AM95" s="76"/>
      <c r="AN95" s="76"/>
      <c r="AO95" s="76"/>
      <c r="AP95" s="76"/>
      <c r="AQ95" s="77"/>
      <c r="AR95" s="78"/>
      <c r="AS95" s="76"/>
      <c r="AT95" s="76"/>
      <c r="AU95" s="76"/>
      <c r="AV95" s="76"/>
      <c r="AW95" s="76"/>
      <c r="AX95" s="76"/>
      <c r="AY95" s="76"/>
      <c r="AZ95" s="76"/>
      <c r="BA95" s="76"/>
      <c r="BB95" s="76"/>
      <c r="BC95" s="77"/>
      <c r="BD95" s="78"/>
      <c r="BE95" s="76"/>
      <c r="BF95" s="76"/>
      <c r="BG95" s="76"/>
      <c r="BH95" s="76"/>
      <c r="BI95" s="76"/>
      <c r="BJ95" s="76"/>
      <c r="BK95" s="76"/>
      <c r="BL95" s="76"/>
      <c r="BM95" s="76"/>
      <c r="BN95" s="76"/>
      <c r="BO95" s="77"/>
      <c r="BP95" s="78"/>
      <c r="BQ95" s="76"/>
      <c r="BR95" s="76"/>
      <c r="BS95" s="76"/>
      <c r="BT95" s="76"/>
      <c r="BU95" s="76"/>
      <c r="BV95" s="76"/>
      <c r="BW95" s="76"/>
      <c r="BX95" s="76"/>
      <c r="BY95" s="76"/>
      <c r="BZ95" s="76"/>
      <c r="CA95" s="76"/>
      <c r="CC95" s="79" t="n">
        <f aca="false">SUMIFS($T95:$CA95, $T$1:$CA$1, CC$63)</f>
        <v>0</v>
      </c>
      <c r="CD95" s="79" t="n">
        <f aca="false">SUMIFS($T95:$CA95, $T$1:$CA$1, CD$63)</f>
        <v>0</v>
      </c>
      <c r="CE95" s="79" t="n">
        <f aca="false">SUMIFS($T95:$CA95, $T$1:$CA$1, CE$63)</f>
        <v>0</v>
      </c>
      <c r="CF95" s="79" t="n">
        <f aca="false">SUMIFS($T95:$CA95, $T$1:$CA$1, CF$63)</f>
        <v>0</v>
      </c>
      <c r="CG95" s="79" t="n">
        <f aca="false">SUMIFS($T95:$CA95, $T$1:$CA$1, CG$63)</f>
        <v>0</v>
      </c>
      <c r="CI95" s="79" t="n">
        <f aca="false">CC95=L95</f>
        <v>1</v>
      </c>
      <c r="CJ95" s="79" t="n">
        <f aca="false">CD95=M95</f>
        <v>1</v>
      </c>
      <c r="CK95" s="79" t="n">
        <f aca="false">CE95=N95</f>
        <v>1</v>
      </c>
      <c r="CL95" s="79" t="n">
        <f aca="false">CF95=O95</f>
        <v>1</v>
      </c>
      <c r="CM95" s="79" t="n">
        <f aca="false">CG95=P95</f>
        <v>1</v>
      </c>
    </row>
    <row r="96" s="14" customFormat="true" ht="16.5" hidden="false" customHeight="true" outlineLevel="0" collapsed="false">
      <c r="E96" s="80" t="s">
        <v>127</v>
      </c>
      <c r="H96" s="29"/>
      <c r="I96" s="82" t="n">
        <f aca="false">SUM(I94:I95)</f>
        <v>0</v>
      </c>
      <c r="J96" s="82" t="n">
        <f aca="false">SUM(J94:J95)</f>
        <v>0</v>
      </c>
      <c r="K96" s="82" t="n">
        <f aca="false">SUM(K94:K95)</f>
        <v>0</v>
      </c>
      <c r="L96" s="82" t="n">
        <f aca="false">SUM(L94:L95)</f>
        <v>0</v>
      </c>
      <c r="M96" s="82" t="n">
        <f aca="false">SUM(M94:M95)</f>
        <v>0</v>
      </c>
      <c r="N96" s="82" t="n">
        <f aca="false">SUM(N94:N95)</f>
        <v>0</v>
      </c>
      <c r="O96" s="82" t="n">
        <f aca="false">SUM(O94:O95)</f>
        <v>0</v>
      </c>
      <c r="P96" s="82" t="n">
        <f aca="false">SUM(P94:P95)</f>
        <v>0</v>
      </c>
      <c r="Q96" s="16"/>
      <c r="R96" s="16"/>
      <c r="T96" s="82" t="n">
        <f aca="false">SUM(T94:T95)</f>
        <v>0</v>
      </c>
      <c r="U96" s="82" t="n">
        <f aca="false">SUM(U94:U95)</f>
        <v>0</v>
      </c>
      <c r="V96" s="82" t="n">
        <f aca="false">SUM(V94:V95)</f>
        <v>0</v>
      </c>
      <c r="W96" s="82" t="n">
        <f aca="false">SUM(W94:W95)</f>
        <v>0</v>
      </c>
      <c r="X96" s="82" t="n">
        <f aca="false">SUM(X94:X95)</f>
        <v>0</v>
      </c>
      <c r="Y96" s="82" t="n">
        <f aca="false">SUM(Y94:Y95)</f>
        <v>0</v>
      </c>
      <c r="Z96" s="82" t="n">
        <f aca="false">SUM(Z94:Z95)</f>
        <v>0</v>
      </c>
      <c r="AA96" s="82" t="n">
        <f aca="false">SUM(AA94:AA95)</f>
        <v>0</v>
      </c>
      <c r="AB96" s="82" t="n">
        <f aca="false">SUM(AB94:AB95)</f>
        <v>0</v>
      </c>
      <c r="AC96" s="82" t="n">
        <f aca="false">SUM(AC94:AC95)</f>
        <v>0</v>
      </c>
      <c r="AD96" s="82" t="n">
        <f aca="false">SUM(AD94:AD95)</f>
        <v>0</v>
      </c>
      <c r="AE96" s="82" t="n">
        <f aca="false">SUM(AE94:AE95)</f>
        <v>0</v>
      </c>
      <c r="AF96" s="83" t="n">
        <f aca="false">SUM(AF94:AF95)</f>
        <v>0</v>
      </c>
      <c r="AG96" s="82" t="n">
        <f aca="false">SUM(AG94:AG95)</f>
        <v>0</v>
      </c>
      <c r="AH96" s="82" t="n">
        <f aca="false">SUM(AH94:AH95)</f>
        <v>0</v>
      </c>
      <c r="AI96" s="82" t="n">
        <f aca="false">SUM(AI94:AI95)</f>
        <v>0</v>
      </c>
      <c r="AJ96" s="82" t="n">
        <f aca="false">SUM(AJ94:AJ95)</f>
        <v>0</v>
      </c>
      <c r="AK96" s="82" t="n">
        <f aca="false">SUM(AK94:AK95)</f>
        <v>0</v>
      </c>
      <c r="AL96" s="82" t="n">
        <f aca="false">SUM(AL94:AL95)</f>
        <v>0</v>
      </c>
      <c r="AM96" s="82" t="n">
        <f aca="false">SUM(AM94:AM95)</f>
        <v>0</v>
      </c>
      <c r="AN96" s="82" t="n">
        <f aca="false">SUM(AN94:AN95)</f>
        <v>0</v>
      </c>
      <c r="AO96" s="82" t="n">
        <f aca="false">SUM(AO94:AO95)</f>
        <v>0</v>
      </c>
      <c r="AP96" s="82" t="n">
        <f aca="false">SUM(AP94:AP95)</f>
        <v>0</v>
      </c>
      <c r="AQ96" s="82" t="n">
        <f aca="false">SUM(AQ94:AQ95)</f>
        <v>0</v>
      </c>
      <c r="AR96" s="83" t="n">
        <f aca="false">SUM(AR94:AR95)</f>
        <v>0</v>
      </c>
      <c r="AS96" s="82" t="n">
        <f aca="false">SUM(AS94:AS95)</f>
        <v>0</v>
      </c>
      <c r="AT96" s="82" t="n">
        <f aca="false">SUM(AT94:AT95)</f>
        <v>0</v>
      </c>
      <c r="AU96" s="82" t="n">
        <f aca="false">SUM(AU94:AU95)</f>
        <v>0</v>
      </c>
      <c r="AV96" s="82" t="n">
        <f aca="false">SUM(AV94:AV95)</f>
        <v>0</v>
      </c>
      <c r="AW96" s="82" t="n">
        <f aca="false">SUM(AW94:AW95)</f>
        <v>0</v>
      </c>
      <c r="AX96" s="82" t="n">
        <f aca="false">SUM(AX94:AX95)</f>
        <v>0</v>
      </c>
      <c r="AY96" s="82" t="n">
        <f aca="false">SUM(AY94:AY95)</f>
        <v>0</v>
      </c>
      <c r="AZ96" s="82" t="n">
        <f aca="false">SUM(AZ94:AZ95)</f>
        <v>0</v>
      </c>
      <c r="BA96" s="82" t="n">
        <f aca="false">SUM(BA94:BA95)</f>
        <v>0</v>
      </c>
      <c r="BB96" s="82" t="n">
        <f aca="false">SUM(BB94:BB95)</f>
        <v>0</v>
      </c>
      <c r="BC96" s="82" t="n">
        <f aca="false">SUM(BC94:BC95)</f>
        <v>0</v>
      </c>
      <c r="BD96" s="83" t="n">
        <f aca="false">SUM(BD94:BD95)</f>
        <v>0</v>
      </c>
      <c r="BE96" s="82" t="n">
        <f aca="false">SUM(BE94:BE95)</f>
        <v>0</v>
      </c>
      <c r="BF96" s="82" t="n">
        <f aca="false">SUM(BF94:BF95)</f>
        <v>0</v>
      </c>
      <c r="BG96" s="82" t="n">
        <f aca="false">SUM(BG94:BG95)</f>
        <v>0</v>
      </c>
      <c r="BH96" s="82" t="n">
        <f aca="false">SUM(BH94:BH95)</f>
        <v>0</v>
      </c>
      <c r="BI96" s="82" t="n">
        <f aca="false">SUM(BI94:BI95)</f>
        <v>0</v>
      </c>
      <c r="BJ96" s="82" t="n">
        <f aca="false">SUM(BJ94:BJ95)</f>
        <v>0</v>
      </c>
      <c r="BK96" s="82" t="n">
        <f aca="false">SUM(BK94:BK95)</f>
        <v>0</v>
      </c>
      <c r="BL96" s="82" t="n">
        <f aca="false">SUM(BL94:BL95)</f>
        <v>0</v>
      </c>
      <c r="BM96" s="82" t="n">
        <f aca="false">SUM(BM94:BM95)</f>
        <v>0</v>
      </c>
      <c r="BN96" s="82" t="n">
        <f aca="false">SUM(BN94:BN95)</f>
        <v>0</v>
      </c>
      <c r="BO96" s="82" t="n">
        <f aca="false">SUM(BO94:BO95)</f>
        <v>0</v>
      </c>
      <c r="BP96" s="83" t="n">
        <f aca="false">SUM(BP94:BP95)</f>
        <v>0</v>
      </c>
      <c r="BQ96" s="82" t="n">
        <f aca="false">SUM(BQ94:BQ95)</f>
        <v>0</v>
      </c>
      <c r="BR96" s="82" t="n">
        <f aca="false">SUM(BR94:BR95)</f>
        <v>0</v>
      </c>
      <c r="BS96" s="82" t="n">
        <f aca="false">SUM(BS94:BS95)</f>
        <v>0</v>
      </c>
      <c r="BT96" s="82" t="n">
        <f aca="false">SUM(BT94:BT95)</f>
        <v>0</v>
      </c>
      <c r="BU96" s="82" t="n">
        <f aca="false">SUM(BU94:BU95)</f>
        <v>0</v>
      </c>
      <c r="BV96" s="82" t="n">
        <f aca="false">SUM(BV94:BV95)</f>
        <v>0</v>
      </c>
      <c r="BW96" s="82" t="n">
        <f aca="false">SUM(BW94:BW95)</f>
        <v>0</v>
      </c>
      <c r="BX96" s="82" t="n">
        <f aca="false">SUM(BX94:BX95)</f>
        <v>0</v>
      </c>
      <c r="BY96" s="82" t="n">
        <f aca="false">SUM(BY94:BY95)</f>
        <v>0</v>
      </c>
      <c r="BZ96" s="82" t="n">
        <f aca="false">SUM(BZ94:BZ95)</f>
        <v>0</v>
      </c>
      <c r="CA96" s="84" t="n">
        <f aca="false">SUM(CA94:CA95)</f>
        <v>0</v>
      </c>
      <c r="CC96" s="84" t="n">
        <f aca="false">SUM(CC94:CC95)</f>
        <v>0</v>
      </c>
      <c r="CD96" s="84" t="n">
        <f aca="false">SUM(CD94:CD95)</f>
        <v>0</v>
      </c>
      <c r="CE96" s="84" t="n">
        <f aca="false">SUM(CE94:CE95)</f>
        <v>0</v>
      </c>
      <c r="CF96" s="84" t="n">
        <f aca="false">SUM(CF94:CF95)</f>
        <v>0</v>
      </c>
      <c r="CG96" s="84" t="n">
        <f aca="false">SUM(CG94:CG95)</f>
        <v>0</v>
      </c>
      <c r="CI96" s="84" t="n">
        <f aca="false">CC96=L96</f>
        <v>1</v>
      </c>
      <c r="CJ96" s="84" t="n">
        <f aca="false">CD96=M96</f>
        <v>1</v>
      </c>
      <c r="CK96" s="84" t="n">
        <f aca="false">CE96=N96</f>
        <v>1</v>
      </c>
      <c r="CL96" s="84" t="n">
        <f aca="false">CF96=O96</f>
        <v>1</v>
      </c>
      <c r="CM96" s="84" t="n">
        <f aca="false">CG96=P96</f>
        <v>1</v>
      </c>
    </row>
    <row r="97" s="14" customFormat="true" ht="16.5" hidden="false" customHeight="true" outlineLevel="0" collapsed="false">
      <c r="E97" s="85"/>
      <c r="H97" s="29"/>
      <c r="I97" s="88"/>
      <c r="J97" s="88"/>
      <c r="K97" s="88"/>
      <c r="L97" s="88"/>
      <c r="M97" s="88"/>
      <c r="N97" s="88"/>
      <c r="O97" s="88"/>
      <c r="P97" s="88"/>
      <c r="Q97" s="16"/>
      <c r="R97" s="16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9"/>
      <c r="AG97" s="88"/>
      <c r="AH97" s="88"/>
      <c r="AI97" s="88"/>
      <c r="AJ97" s="88"/>
      <c r="AK97" s="88"/>
      <c r="AL97" s="88"/>
      <c r="AM97" s="88"/>
      <c r="AN97" s="88"/>
      <c r="AO97" s="88"/>
      <c r="AP97" s="88"/>
      <c r="AQ97" s="88"/>
      <c r="AR97" s="89"/>
      <c r="AS97" s="88"/>
      <c r="AT97" s="88"/>
      <c r="AU97" s="88"/>
      <c r="AV97" s="88"/>
      <c r="AW97" s="88"/>
      <c r="AX97" s="88"/>
      <c r="AY97" s="88"/>
      <c r="AZ97" s="88"/>
      <c r="BA97" s="88"/>
      <c r="BB97" s="88"/>
      <c r="BC97" s="88"/>
      <c r="BD97" s="89"/>
      <c r="BE97" s="88"/>
      <c r="BF97" s="88"/>
      <c r="BG97" s="88"/>
      <c r="BH97" s="88"/>
      <c r="BI97" s="88"/>
      <c r="BJ97" s="88"/>
      <c r="BK97" s="88"/>
      <c r="BL97" s="88"/>
      <c r="BM97" s="88"/>
      <c r="BN97" s="88"/>
      <c r="BO97" s="88"/>
      <c r="BP97" s="89"/>
      <c r="BQ97" s="88"/>
      <c r="BR97" s="88"/>
      <c r="BS97" s="88"/>
      <c r="BT97" s="88"/>
      <c r="BU97" s="88"/>
      <c r="BV97" s="88"/>
      <c r="BW97" s="88"/>
      <c r="BX97" s="88"/>
      <c r="BY97" s="88"/>
      <c r="BZ97" s="88"/>
      <c r="CA97" s="90"/>
      <c r="CC97" s="90"/>
      <c r="CD97" s="90"/>
      <c r="CE97" s="90"/>
      <c r="CF97" s="90"/>
      <c r="CG97" s="90"/>
      <c r="CI97" s="90"/>
      <c r="CJ97" s="90"/>
      <c r="CK97" s="90"/>
      <c r="CL97" s="90"/>
      <c r="CM97" s="90"/>
    </row>
    <row r="98" s="14" customFormat="true" ht="16.5" hidden="false" customHeight="true" outlineLevel="0" collapsed="false">
      <c r="E98" s="21" t="s">
        <v>128</v>
      </c>
      <c r="H98" s="29"/>
      <c r="I98" s="88"/>
      <c r="K98" s="88"/>
      <c r="L98" s="88"/>
      <c r="M98" s="88"/>
      <c r="N98" s="88"/>
      <c r="O98" s="88"/>
      <c r="P98" s="88"/>
      <c r="Q98" s="16"/>
      <c r="R98" s="16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9"/>
      <c r="AG98" s="88"/>
      <c r="AH98" s="88"/>
      <c r="AI98" s="88"/>
      <c r="AJ98" s="88"/>
      <c r="AK98" s="88"/>
      <c r="AL98" s="88"/>
      <c r="AM98" s="88"/>
      <c r="AN98" s="88"/>
      <c r="AO98" s="88"/>
      <c r="AP98" s="88"/>
      <c r="AQ98" s="88"/>
      <c r="AR98" s="89"/>
      <c r="AS98" s="88"/>
      <c r="AT98" s="88"/>
      <c r="AU98" s="88"/>
      <c r="AV98" s="88"/>
      <c r="AW98" s="88"/>
      <c r="AX98" s="88"/>
      <c r="AY98" s="88"/>
      <c r="AZ98" s="88"/>
      <c r="BA98" s="88"/>
      <c r="BB98" s="88"/>
      <c r="BC98" s="88"/>
      <c r="BD98" s="89"/>
      <c r="BE98" s="88"/>
      <c r="BF98" s="88"/>
      <c r="BG98" s="88"/>
      <c r="BH98" s="88"/>
      <c r="BI98" s="88"/>
      <c r="BJ98" s="88"/>
      <c r="BK98" s="88"/>
      <c r="BL98" s="88"/>
      <c r="BM98" s="88"/>
      <c r="BN98" s="88"/>
      <c r="BO98" s="88"/>
      <c r="BP98" s="89"/>
      <c r="BQ98" s="88"/>
      <c r="BR98" s="88"/>
      <c r="BS98" s="88"/>
      <c r="BT98" s="88"/>
      <c r="BU98" s="88"/>
      <c r="BV98" s="88"/>
      <c r="BW98" s="88"/>
      <c r="BX98" s="88"/>
      <c r="BY98" s="88"/>
      <c r="BZ98" s="88"/>
      <c r="CA98" s="90"/>
      <c r="CC98" s="90"/>
      <c r="CD98" s="90"/>
      <c r="CE98" s="90"/>
      <c r="CF98" s="90"/>
      <c r="CG98" s="90"/>
      <c r="CI98" s="90"/>
      <c r="CJ98" s="90"/>
      <c r="CK98" s="90"/>
      <c r="CL98" s="90"/>
      <c r="CM98" s="90"/>
    </row>
    <row r="99" s="14" customFormat="true" ht="16.5" hidden="false" customHeight="true" outlineLevel="0" collapsed="false">
      <c r="E99" s="91"/>
      <c r="H99" s="29"/>
      <c r="I99" s="91" t="n">
        <v>0</v>
      </c>
      <c r="J99" s="91" t="n">
        <v>0</v>
      </c>
      <c r="K99" s="207" t="n">
        <f aca="false">J99-I99</f>
        <v>0</v>
      </c>
      <c r="L99" s="91" t="n">
        <v>0</v>
      </c>
      <c r="M99" s="91" t="n">
        <v>0</v>
      </c>
      <c r="N99" s="91" t="n">
        <v>0</v>
      </c>
      <c r="O99" s="91" t="n">
        <v>0</v>
      </c>
      <c r="P99" s="91" t="n">
        <v>0</v>
      </c>
      <c r="Q99" s="93"/>
      <c r="R99" s="16" t="str">
        <f aca="false">IF(K99=P99, "", "Error")</f>
        <v/>
      </c>
      <c r="T99" s="91"/>
      <c r="U99" s="91"/>
      <c r="V99" s="91"/>
      <c r="W99" s="91"/>
      <c r="X99" s="91"/>
      <c r="Y99" s="91"/>
      <c r="Z99" s="91"/>
      <c r="AA99" s="91"/>
      <c r="AB99" s="91"/>
      <c r="AC99" s="91"/>
      <c r="AD99" s="91"/>
      <c r="AE99" s="94"/>
      <c r="AF99" s="95"/>
      <c r="AG99" s="91"/>
      <c r="AH99" s="91"/>
      <c r="AI99" s="91"/>
      <c r="AJ99" s="91"/>
      <c r="AK99" s="91"/>
      <c r="AL99" s="91"/>
      <c r="AM99" s="91"/>
      <c r="AN99" s="91"/>
      <c r="AO99" s="91"/>
      <c r="AP99" s="91"/>
      <c r="AQ99" s="94"/>
      <c r="AR99" s="95"/>
      <c r="AS99" s="91"/>
      <c r="AT99" s="91"/>
      <c r="AU99" s="91"/>
      <c r="AV99" s="91"/>
      <c r="AW99" s="91"/>
      <c r="AX99" s="91"/>
      <c r="AY99" s="91"/>
      <c r="AZ99" s="91"/>
      <c r="BA99" s="91"/>
      <c r="BB99" s="91"/>
      <c r="BC99" s="94"/>
      <c r="BD99" s="95"/>
      <c r="BE99" s="91"/>
      <c r="BF99" s="91"/>
      <c r="BG99" s="91"/>
      <c r="BH99" s="91"/>
      <c r="BI99" s="91"/>
      <c r="BJ99" s="91"/>
      <c r="BK99" s="91"/>
      <c r="BL99" s="91"/>
      <c r="BM99" s="91"/>
      <c r="BN99" s="91"/>
      <c r="BO99" s="94"/>
      <c r="BP99" s="95"/>
      <c r="BQ99" s="91"/>
      <c r="BR99" s="91"/>
      <c r="BS99" s="91"/>
      <c r="BT99" s="91"/>
      <c r="BU99" s="91"/>
      <c r="BV99" s="91"/>
      <c r="BW99" s="91"/>
      <c r="BX99" s="91"/>
      <c r="BY99" s="91"/>
      <c r="BZ99" s="91"/>
      <c r="CA99" s="119"/>
      <c r="CC99" s="79" t="n">
        <f aca="false">SUMIFS($T99:$CA99, $T$1:$CA$1, CC$63)</f>
        <v>0</v>
      </c>
      <c r="CD99" s="79" t="n">
        <f aca="false">SUMIFS($T99:$CA99, $T$1:$CA$1, CD$63)</f>
        <v>0</v>
      </c>
      <c r="CE99" s="79" t="n">
        <f aca="false">SUMIFS($T99:$CA99, $T$1:$CA$1, CE$63)</f>
        <v>0</v>
      </c>
      <c r="CF99" s="79" t="n">
        <f aca="false">SUMIFS($T99:$CA99, $T$1:$CA$1, CF$63)</f>
        <v>0</v>
      </c>
      <c r="CG99" s="79" t="n">
        <f aca="false">SUMIFS($T99:$CA99, $T$1:$CA$1, CG$63)</f>
        <v>0</v>
      </c>
      <c r="CI99" s="79" t="n">
        <f aca="false">CC99=L99</f>
        <v>1</v>
      </c>
      <c r="CJ99" s="79" t="n">
        <f aca="false">CD99=M99</f>
        <v>1</v>
      </c>
      <c r="CK99" s="79" t="n">
        <f aca="false">CE99=N99</f>
        <v>1</v>
      </c>
      <c r="CL99" s="79" t="n">
        <f aca="false">CF99=O99</f>
        <v>1</v>
      </c>
      <c r="CM99" s="79" t="n">
        <f aca="false">CG99=P99</f>
        <v>1</v>
      </c>
    </row>
    <row r="100" s="14" customFormat="true" ht="16.5" hidden="false" customHeight="true" outlineLevel="0" collapsed="false">
      <c r="E100" s="91"/>
      <c r="H100" s="29"/>
      <c r="I100" s="91" t="n">
        <v>0</v>
      </c>
      <c r="J100" s="91" t="n">
        <v>0</v>
      </c>
      <c r="K100" s="207" t="n">
        <f aca="false">J100-I100</f>
        <v>0</v>
      </c>
      <c r="L100" s="91" t="n">
        <v>0</v>
      </c>
      <c r="M100" s="91" t="n">
        <v>0</v>
      </c>
      <c r="N100" s="91" t="n">
        <v>0</v>
      </c>
      <c r="O100" s="91" t="n">
        <v>0</v>
      </c>
      <c r="P100" s="91" t="n">
        <v>0</v>
      </c>
      <c r="Q100" s="93"/>
      <c r="R100" s="16" t="str">
        <f aca="false">IF(K100=P100, "", "Error")</f>
        <v/>
      </c>
      <c r="T100" s="91"/>
      <c r="U100" s="91"/>
      <c r="V100" s="91"/>
      <c r="W100" s="91"/>
      <c r="X100" s="91"/>
      <c r="Y100" s="91"/>
      <c r="Z100" s="91"/>
      <c r="AA100" s="91"/>
      <c r="AB100" s="91"/>
      <c r="AC100" s="91"/>
      <c r="AD100" s="91"/>
      <c r="AE100" s="94"/>
      <c r="AF100" s="95"/>
      <c r="AG100" s="91"/>
      <c r="AH100" s="91"/>
      <c r="AI100" s="91"/>
      <c r="AJ100" s="91"/>
      <c r="AK100" s="91"/>
      <c r="AL100" s="91"/>
      <c r="AM100" s="91"/>
      <c r="AN100" s="91"/>
      <c r="AO100" s="91"/>
      <c r="AP100" s="91"/>
      <c r="AQ100" s="94"/>
      <c r="AR100" s="95"/>
      <c r="AS100" s="91"/>
      <c r="AT100" s="91"/>
      <c r="AU100" s="91"/>
      <c r="AV100" s="91"/>
      <c r="AW100" s="91"/>
      <c r="AX100" s="91"/>
      <c r="AY100" s="91"/>
      <c r="AZ100" s="91"/>
      <c r="BA100" s="91"/>
      <c r="BB100" s="91"/>
      <c r="BC100" s="94"/>
      <c r="BD100" s="95"/>
      <c r="BE100" s="91"/>
      <c r="BF100" s="91"/>
      <c r="BG100" s="91"/>
      <c r="BH100" s="91"/>
      <c r="BI100" s="91"/>
      <c r="BJ100" s="91"/>
      <c r="BK100" s="91"/>
      <c r="BL100" s="91"/>
      <c r="BM100" s="91"/>
      <c r="BN100" s="91"/>
      <c r="BO100" s="94"/>
      <c r="BP100" s="95"/>
      <c r="BQ100" s="91"/>
      <c r="BR100" s="91"/>
      <c r="BS100" s="91"/>
      <c r="BT100" s="91"/>
      <c r="BU100" s="91"/>
      <c r="BV100" s="91"/>
      <c r="BW100" s="91"/>
      <c r="BX100" s="91"/>
      <c r="BY100" s="91"/>
      <c r="BZ100" s="91"/>
      <c r="CA100" s="119"/>
      <c r="CC100" s="79" t="n">
        <f aca="false">SUMIFS($T100:$CA100, $T$1:$CA$1, CC$63)</f>
        <v>0</v>
      </c>
      <c r="CD100" s="79" t="n">
        <f aca="false">SUMIFS($T100:$CA100, $T$1:$CA$1, CD$63)</f>
        <v>0</v>
      </c>
      <c r="CE100" s="79" t="n">
        <f aca="false">SUMIFS($T100:$CA100, $T$1:$CA$1, CE$63)</f>
        <v>0</v>
      </c>
      <c r="CF100" s="79" t="n">
        <f aca="false">SUMIFS($T100:$CA100, $T$1:$CA$1, CF$63)</f>
        <v>0</v>
      </c>
      <c r="CG100" s="79" t="n">
        <f aca="false">SUMIFS($T100:$CA100, $T$1:$CA$1, CG$63)</f>
        <v>0</v>
      </c>
      <c r="CI100" s="79" t="n">
        <f aca="false">CC100=L100</f>
        <v>1</v>
      </c>
      <c r="CJ100" s="79" t="n">
        <f aca="false">CD100=M100</f>
        <v>1</v>
      </c>
      <c r="CK100" s="79" t="n">
        <f aca="false">CE100=N100</f>
        <v>1</v>
      </c>
      <c r="CL100" s="79" t="n">
        <f aca="false">CF100=O100</f>
        <v>1</v>
      </c>
      <c r="CM100" s="79" t="n">
        <f aca="false">CG100=P100</f>
        <v>1</v>
      </c>
    </row>
    <row r="101" s="14" customFormat="true" ht="16.5" hidden="false" customHeight="true" outlineLevel="0" collapsed="false">
      <c r="E101" s="91"/>
      <c r="H101" s="29"/>
      <c r="I101" s="91" t="n">
        <v>0</v>
      </c>
      <c r="J101" s="91" t="n">
        <v>0</v>
      </c>
      <c r="K101" s="207" t="n">
        <f aca="false">J101-I101</f>
        <v>0</v>
      </c>
      <c r="L101" s="91" t="n">
        <v>0</v>
      </c>
      <c r="M101" s="91" t="n">
        <v>0</v>
      </c>
      <c r="N101" s="91" t="n">
        <v>0</v>
      </c>
      <c r="O101" s="91" t="n">
        <v>0</v>
      </c>
      <c r="P101" s="91" t="n">
        <v>0</v>
      </c>
      <c r="Q101" s="93"/>
      <c r="R101" s="16" t="str">
        <f aca="false">IF(K101=P101, "", "Error")</f>
        <v/>
      </c>
      <c r="T101" s="91"/>
      <c r="U101" s="91"/>
      <c r="V101" s="91"/>
      <c r="W101" s="91"/>
      <c r="X101" s="91"/>
      <c r="Y101" s="91"/>
      <c r="Z101" s="91"/>
      <c r="AA101" s="91"/>
      <c r="AB101" s="91"/>
      <c r="AC101" s="91"/>
      <c r="AD101" s="91"/>
      <c r="AE101" s="94"/>
      <c r="AF101" s="95"/>
      <c r="AG101" s="91"/>
      <c r="AH101" s="91"/>
      <c r="AI101" s="91"/>
      <c r="AJ101" s="91"/>
      <c r="AK101" s="91"/>
      <c r="AL101" s="91"/>
      <c r="AM101" s="91"/>
      <c r="AN101" s="91"/>
      <c r="AO101" s="91"/>
      <c r="AP101" s="91"/>
      <c r="AQ101" s="94"/>
      <c r="AR101" s="95"/>
      <c r="AS101" s="91"/>
      <c r="AT101" s="91"/>
      <c r="AU101" s="91"/>
      <c r="AV101" s="91"/>
      <c r="AW101" s="91"/>
      <c r="AX101" s="91"/>
      <c r="AY101" s="91"/>
      <c r="AZ101" s="91"/>
      <c r="BA101" s="91"/>
      <c r="BB101" s="91"/>
      <c r="BC101" s="94"/>
      <c r="BD101" s="95"/>
      <c r="BE101" s="91"/>
      <c r="BF101" s="91"/>
      <c r="BG101" s="91"/>
      <c r="BH101" s="91"/>
      <c r="BI101" s="91"/>
      <c r="BJ101" s="91"/>
      <c r="BK101" s="91"/>
      <c r="BL101" s="91"/>
      <c r="BM101" s="91"/>
      <c r="BN101" s="91"/>
      <c r="BO101" s="94"/>
      <c r="BP101" s="95"/>
      <c r="BQ101" s="91"/>
      <c r="BR101" s="91"/>
      <c r="BS101" s="91"/>
      <c r="BT101" s="91"/>
      <c r="BU101" s="91"/>
      <c r="BV101" s="91"/>
      <c r="BW101" s="91"/>
      <c r="BX101" s="91"/>
      <c r="BY101" s="91"/>
      <c r="BZ101" s="91"/>
      <c r="CA101" s="119"/>
      <c r="CC101" s="79" t="n">
        <f aca="false">SUMIFS($T101:$CA101, $T$1:$CA$1, CC$63)</f>
        <v>0</v>
      </c>
      <c r="CD101" s="79" t="n">
        <f aca="false">SUMIFS($T101:$CA101, $T$1:$CA$1, CD$63)</f>
        <v>0</v>
      </c>
      <c r="CE101" s="79" t="n">
        <f aca="false">SUMIFS($T101:$CA101, $T$1:$CA$1, CE$63)</f>
        <v>0</v>
      </c>
      <c r="CF101" s="79" t="n">
        <f aca="false">SUMIFS($T101:$CA101, $T$1:$CA$1, CF$63)</f>
        <v>0</v>
      </c>
      <c r="CG101" s="79" t="n">
        <f aca="false">SUMIFS($T101:$CA101, $T$1:$CA$1, CG$63)</f>
        <v>0</v>
      </c>
      <c r="CI101" s="79" t="n">
        <f aca="false">CC101=L101</f>
        <v>1</v>
      </c>
      <c r="CJ101" s="79" t="n">
        <f aca="false">CD101=M101</f>
        <v>1</v>
      </c>
      <c r="CK101" s="79" t="n">
        <f aca="false">CE101=N101</f>
        <v>1</v>
      </c>
      <c r="CL101" s="79" t="n">
        <f aca="false">CF101=O101</f>
        <v>1</v>
      </c>
      <c r="CM101" s="79" t="n">
        <f aca="false">CG101=P101</f>
        <v>1</v>
      </c>
    </row>
    <row r="102" s="14" customFormat="true" ht="16.5" hidden="false" customHeight="true" outlineLevel="0" collapsed="false">
      <c r="E102" s="91"/>
      <c r="H102" s="29"/>
      <c r="I102" s="91" t="n">
        <v>0</v>
      </c>
      <c r="J102" s="91" t="n">
        <v>0</v>
      </c>
      <c r="K102" s="207" t="n">
        <f aca="false">J102-I102</f>
        <v>0</v>
      </c>
      <c r="L102" s="91" t="n">
        <v>0</v>
      </c>
      <c r="M102" s="91" t="n">
        <v>0</v>
      </c>
      <c r="N102" s="91" t="n">
        <v>0</v>
      </c>
      <c r="O102" s="91" t="n">
        <v>0</v>
      </c>
      <c r="P102" s="91" t="n">
        <v>0</v>
      </c>
      <c r="Q102" s="93"/>
      <c r="R102" s="16" t="str">
        <f aca="false">IF(K102=P102, "", "Error")</f>
        <v/>
      </c>
      <c r="T102" s="91"/>
      <c r="U102" s="91"/>
      <c r="V102" s="91"/>
      <c r="W102" s="91"/>
      <c r="X102" s="91"/>
      <c r="Y102" s="91"/>
      <c r="Z102" s="91"/>
      <c r="AA102" s="91"/>
      <c r="AB102" s="91"/>
      <c r="AC102" s="91"/>
      <c r="AD102" s="91"/>
      <c r="AE102" s="94"/>
      <c r="AF102" s="95"/>
      <c r="AG102" s="91"/>
      <c r="AH102" s="91"/>
      <c r="AI102" s="91"/>
      <c r="AJ102" s="91"/>
      <c r="AK102" s="91"/>
      <c r="AL102" s="91"/>
      <c r="AM102" s="91"/>
      <c r="AN102" s="91"/>
      <c r="AO102" s="91"/>
      <c r="AP102" s="91"/>
      <c r="AQ102" s="94"/>
      <c r="AR102" s="95"/>
      <c r="AS102" s="91"/>
      <c r="AT102" s="91"/>
      <c r="AU102" s="91"/>
      <c r="AV102" s="91"/>
      <c r="AW102" s="91"/>
      <c r="AX102" s="91"/>
      <c r="AY102" s="91"/>
      <c r="AZ102" s="91"/>
      <c r="BA102" s="91"/>
      <c r="BB102" s="91"/>
      <c r="BC102" s="94"/>
      <c r="BD102" s="95"/>
      <c r="BE102" s="91"/>
      <c r="BF102" s="91"/>
      <c r="BG102" s="91"/>
      <c r="BH102" s="91"/>
      <c r="BI102" s="91"/>
      <c r="BJ102" s="91"/>
      <c r="BK102" s="91"/>
      <c r="BL102" s="91"/>
      <c r="BM102" s="91"/>
      <c r="BN102" s="91"/>
      <c r="BO102" s="94"/>
      <c r="BP102" s="95"/>
      <c r="BQ102" s="91"/>
      <c r="BR102" s="91"/>
      <c r="BS102" s="91"/>
      <c r="BT102" s="91"/>
      <c r="BU102" s="91"/>
      <c r="BV102" s="91"/>
      <c r="BW102" s="91"/>
      <c r="BX102" s="91"/>
      <c r="BY102" s="91"/>
      <c r="BZ102" s="91"/>
      <c r="CA102" s="119"/>
      <c r="CC102" s="79" t="n">
        <f aca="false">SUMIFS($T102:$CA102, $T$1:$CA$1, CC$63)</f>
        <v>0</v>
      </c>
      <c r="CD102" s="79" t="n">
        <f aca="false">SUMIFS($T102:$CA102, $T$1:$CA$1, CD$63)</f>
        <v>0</v>
      </c>
      <c r="CE102" s="79" t="n">
        <f aca="false">SUMIFS($T102:$CA102, $T$1:$CA$1, CE$63)</f>
        <v>0</v>
      </c>
      <c r="CF102" s="79" t="n">
        <f aca="false">SUMIFS($T102:$CA102, $T$1:$CA$1, CF$63)</f>
        <v>0</v>
      </c>
      <c r="CG102" s="79" t="n">
        <f aca="false">SUMIFS($T102:$CA102, $T$1:$CA$1, CG$63)</f>
        <v>0</v>
      </c>
      <c r="CI102" s="79" t="n">
        <f aca="false">CC102=L102</f>
        <v>1</v>
      </c>
      <c r="CJ102" s="79" t="n">
        <f aca="false">CD102=M102</f>
        <v>1</v>
      </c>
      <c r="CK102" s="79" t="n">
        <f aca="false">CE102=N102</f>
        <v>1</v>
      </c>
      <c r="CL102" s="79" t="n">
        <f aca="false">CF102=O102</f>
        <v>1</v>
      </c>
      <c r="CM102" s="79" t="n">
        <f aca="false">CG102=P102</f>
        <v>1</v>
      </c>
    </row>
    <row r="103" s="14" customFormat="true" ht="16.5" hidden="false" customHeight="true" outlineLevel="0" collapsed="false">
      <c r="E103" s="91"/>
      <c r="H103" s="29"/>
      <c r="I103" s="91"/>
      <c r="J103" s="91"/>
      <c r="K103" s="207" t="n">
        <f aca="false">J103-I103</f>
        <v>0</v>
      </c>
      <c r="L103" s="91" t="n">
        <v>0</v>
      </c>
      <c r="M103" s="91" t="n">
        <v>0</v>
      </c>
      <c r="N103" s="91" t="n">
        <v>0</v>
      </c>
      <c r="O103" s="91" t="n">
        <v>0</v>
      </c>
      <c r="P103" s="91" t="n">
        <v>0</v>
      </c>
      <c r="Q103" s="93"/>
      <c r="R103" s="16"/>
      <c r="T103" s="91"/>
      <c r="U103" s="91"/>
      <c r="V103" s="91"/>
      <c r="W103" s="91"/>
      <c r="X103" s="91"/>
      <c r="Y103" s="91"/>
      <c r="Z103" s="91"/>
      <c r="AA103" s="91"/>
      <c r="AB103" s="91"/>
      <c r="AC103" s="91"/>
      <c r="AD103" s="91"/>
      <c r="AE103" s="94"/>
      <c r="AF103" s="95"/>
      <c r="AG103" s="91"/>
      <c r="AH103" s="91"/>
      <c r="AI103" s="91"/>
      <c r="AJ103" s="91"/>
      <c r="AK103" s="91"/>
      <c r="AL103" s="91"/>
      <c r="AM103" s="91"/>
      <c r="AN103" s="91"/>
      <c r="AO103" s="91"/>
      <c r="AP103" s="91"/>
      <c r="AQ103" s="94"/>
      <c r="AR103" s="95"/>
      <c r="AS103" s="91"/>
      <c r="AT103" s="91"/>
      <c r="AU103" s="91"/>
      <c r="AV103" s="91"/>
      <c r="AW103" s="91"/>
      <c r="AX103" s="91"/>
      <c r="AY103" s="91"/>
      <c r="AZ103" s="91"/>
      <c r="BA103" s="91"/>
      <c r="BB103" s="91"/>
      <c r="BC103" s="94"/>
      <c r="BD103" s="95"/>
      <c r="BE103" s="91"/>
      <c r="BF103" s="91"/>
      <c r="BG103" s="91"/>
      <c r="BH103" s="91"/>
      <c r="BI103" s="91"/>
      <c r="BJ103" s="91"/>
      <c r="BK103" s="91"/>
      <c r="BL103" s="91"/>
      <c r="BM103" s="91"/>
      <c r="BN103" s="91"/>
      <c r="BO103" s="94"/>
      <c r="BP103" s="95"/>
      <c r="BQ103" s="91"/>
      <c r="BR103" s="91"/>
      <c r="BS103" s="91"/>
      <c r="BT103" s="91"/>
      <c r="BU103" s="91"/>
      <c r="BV103" s="91"/>
      <c r="BW103" s="91"/>
      <c r="BX103" s="91"/>
      <c r="BY103" s="91"/>
      <c r="BZ103" s="91"/>
      <c r="CA103" s="119"/>
      <c r="CC103" s="79"/>
      <c r="CD103" s="79"/>
      <c r="CE103" s="79"/>
      <c r="CF103" s="79"/>
      <c r="CG103" s="79"/>
      <c r="CI103" s="79"/>
      <c r="CJ103" s="79"/>
      <c r="CK103" s="79"/>
      <c r="CL103" s="79"/>
      <c r="CM103" s="79"/>
    </row>
    <row r="104" s="14" customFormat="true" ht="16.5" hidden="false" customHeight="true" outlineLevel="0" collapsed="false">
      <c r="E104" s="96" t="s">
        <v>129</v>
      </c>
      <c r="H104" s="29"/>
      <c r="I104" s="82" t="n">
        <f aca="false">SUM(I99:I103)</f>
        <v>0</v>
      </c>
      <c r="J104" s="82" t="n">
        <f aca="false">SUM(J99:J103)</f>
        <v>0</v>
      </c>
      <c r="K104" s="82" t="n">
        <f aca="false">SUM(K99:K103)</f>
        <v>0</v>
      </c>
      <c r="L104" s="82" t="n">
        <f aca="false">SUM(L99:L103)</f>
        <v>0</v>
      </c>
      <c r="M104" s="82" t="n">
        <f aca="false">SUM(M99:M103)</f>
        <v>0</v>
      </c>
      <c r="N104" s="82" t="n">
        <f aca="false">SUM(N99:N103)</f>
        <v>0</v>
      </c>
      <c r="O104" s="82" t="n">
        <f aca="false">SUM(O99:O103)</f>
        <v>0</v>
      </c>
      <c r="P104" s="82" t="n">
        <f aca="false">SUM(P99:P103)</f>
        <v>0</v>
      </c>
      <c r="Q104" s="16"/>
      <c r="R104" s="16"/>
      <c r="T104" s="82" t="n">
        <f aca="false">SUM(T99:T103)</f>
        <v>0</v>
      </c>
      <c r="U104" s="82" t="n">
        <f aca="false">SUM(U99:U103)</f>
        <v>0</v>
      </c>
      <c r="V104" s="82" t="n">
        <f aca="false">SUM(V99:V103)</f>
        <v>0</v>
      </c>
      <c r="W104" s="82" t="n">
        <f aca="false">SUM(W99:W103)</f>
        <v>0</v>
      </c>
      <c r="X104" s="82" t="n">
        <f aca="false">SUM(X99:X103)</f>
        <v>0</v>
      </c>
      <c r="Y104" s="82" t="n">
        <f aca="false">SUM(Y99:Y103)</f>
        <v>0</v>
      </c>
      <c r="Z104" s="82" t="n">
        <f aca="false">SUM(Z99:Z103)</f>
        <v>0</v>
      </c>
      <c r="AA104" s="82" t="n">
        <f aca="false">SUM(AA99:AA103)</f>
        <v>0</v>
      </c>
      <c r="AB104" s="82" t="n">
        <f aca="false">SUM(AB99:AB103)</f>
        <v>0</v>
      </c>
      <c r="AC104" s="82" t="n">
        <f aca="false">SUM(AC99:AC103)</f>
        <v>0</v>
      </c>
      <c r="AD104" s="82" t="n">
        <f aca="false">SUM(AD99:AD103)</f>
        <v>0</v>
      </c>
      <c r="AE104" s="82" t="n">
        <f aca="false">SUM(AE99:AE103)</f>
        <v>0</v>
      </c>
      <c r="AF104" s="83" t="n">
        <f aca="false">SUM(AF99:AF103)</f>
        <v>0</v>
      </c>
      <c r="AG104" s="82" t="n">
        <f aca="false">SUM(AG99:AG103)</f>
        <v>0</v>
      </c>
      <c r="AH104" s="82" t="n">
        <f aca="false">SUM(AH99:AH103)</f>
        <v>0</v>
      </c>
      <c r="AI104" s="82" t="n">
        <f aca="false">SUM(AI99:AI103)</f>
        <v>0</v>
      </c>
      <c r="AJ104" s="82" t="n">
        <f aca="false">SUM(AJ99:AJ103)</f>
        <v>0</v>
      </c>
      <c r="AK104" s="82" t="n">
        <f aca="false">SUM(AK99:AK103)</f>
        <v>0</v>
      </c>
      <c r="AL104" s="82" t="n">
        <f aca="false">SUM(AL99:AL103)</f>
        <v>0</v>
      </c>
      <c r="AM104" s="82" t="n">
        <f aca="false">SUM(AM99:AM103)</f>
        <v>0</v>
      </c>
      <c r="AN104" s="82" t="n">
        <f aca="false">SUM(AN99:AN103)</f>
        <v>0</v>
      </c>
      <c r="AO104" s="82" t="n">
        <f aca="false">SUM(AO99:AO103)</f>
        <v>0</v>
      </c>
      <c r="AP104" s="82" t="n">
        <f aca="false">SUM(AP99:AP103)</f>
        <v>0</v>
      </c>
      <c r="AQ104" s="82" t="n">
        <f aca="false">SUM(AQ99:AQ103)</f>
        <v>0</v>
      </c>
      <c r="AR104" s="83" t="n">
        <f aca="false">SUM(AR99:AR103)</f>
        <v>0</v>
      </c>
      <c r="AS104" s="82" t="n">
        <f aca="false">SUM(AS99:AS103)</f>
        <v>0</v>
      </c>
      <c r="AT104" s="82" t="n">
        <f aca="false">SUM(AT99:AT103)</f>
        <v>0</v>
      </c>
      <c r="AU104" s="82" t="n">
        <f aca="false">SUM(AU99:AU103)</f>
        <v>0</v>
      </c>
      <c r="AV104" s="82" t="n">
        <f aca="false">SUM(AV99:AV103)</f>
        <v>0</v>
      </c>
      <c r="AW104" s="82" t="n">
        <f aca="false">SUM(AW99:AW103)</f>
        <v>0</v>
      </c>
      <c r="AX104" s="82" t="n">
        <f aca="false">SUM(AX99:AX103)</f>
        <v>0</v>
      </c>
      <c r="AY104" s="82" t="n">
        <f aca="false">SUM(AY99:AY103)</f>
        <v>0</v>
      </c>
      <c r="AZ104" s="82" t="n">
        <f aca="false">SUM(AZ99:AZ103)</f>
        <v>0</v>
      </c>
      <c r="BA104" s="82" t="n">
        <f aca="false">SUM(BA99:BA103)</f>
        <v>0</v>
      </c>
      <c r="BB104" s="82" t="n">
        <f aca="false">SUM(BB99:BB103)</f>
        <v>0</v>
      </c>
      <c r="BC104" s="82" t="n">
        <f aca="false">SUM(BC99:BC103)</f>
        <v>0</v>
      </c>
      <c r="BD104" s="83" t="n">
        <f aca="false">SUM(BD99:BD103)</f>
        <v>0</v>
      </c>
      <c r="BE104" s="82" t="n">
        <f aca="false">SUM(BE99:BE103)</f>
        <v>0</v>
      </c>
      <c r="BF104" s="82" t="n">
        <f aca="false">SUM(BF99:BF103)</f>
        <v>0</v>
      </c>
      <c r="BG104" s="82" t="n">
        <f aca="false">SUM(BG99:BG103)</f>
        <v>0</v>
      </c>
      <c r="BH104" s="82" t="n">
        <f aca="false">SUM(BH99:BH103)</f>
        <v>0</v>
      </c>
      <c r="BI104" s="82" t="n">
        <f aca="false">SUM(BI99:BI103)</f>
        <v>0</v>
      </c>
      <c r="BJ104" s="82" t="n">
        <f aca="false">SUM(BJ99:BJ103)</f>
        <v>0</v>
      </c>
      <c r="BK104" s="82" t="n">
        <f aca="false">SUM(BK99:BK103)</f>
        <v>0</v>
      </c>
      <c r="BL104" s="82" t="n">
        <f aca="false">SUM(BL99:BL103)</f>
        <v>0</v>
      </c>
      <c r="BM104" s="82" t="n">
        <f aca="false">SUM(BM99:BM103)</f>
        <v>0</v>
      </c>
      <c r="BN104" s="82" t="n">
        <f aca="false">SUM(BN99:BN103)</f>
        <v>0</v>
      </c>
      <c r="BO104" s="82" t="n">
        <f aca="false">SUM(BO99:BO103)</f>
        <v>0</v>
      </c>
      <c r="BP104" s="83" t="n">
        <f aca="false">SUM(BP99:BP103)</f>
        <v>0</v>
      </c>
      <c r="BQ104" s="82" t="n">
        <f aca="false">SUM(BQ99:BQ103)</f>
        <v>0</v>
      </c>
      <c r="BR104" s="82" t="n">
        <f aca="false">SUM(BR99:BR103)</f>
        <v>0</v>
      </c>
      <c r="BS104" s="82" t="n">
        <f aca="false">SUM(BS99:BS103)</f>
        <v>0</v>
      </c>
      <c r="BT104" s="82" t="n">
        <f aca="false">SUM(BT99:BT103)</f>
        <v>0</v>
      </c>
      <c r="BU104" s="82" t="n">
        <f aca="false">SUM(BU99:BU103)</f>
        <v>0</v>
      </c>
      <c r="BV104" s="82" t="n">
        <f aca="false">SUM(BV99:BV103)</f>
        <v>0</v>
      </c>
      <c r="BW104" s="82" t="n">
        <f aca="false">SUM(BW99:BW103)</f>
        <v>0</v>
      </c>
      <c r="BX104" s="82" t="n">
        <f aca="false">SUM(BX99:BX103)</f>
        <v>0</v>
      </c>
      <c r="BY104" s="82" t="n">
        <f aca="false">SUM(BY99:BY103)</f>
        <v>0</v>
      </c>
      <c r="BZ104" s="82" t="n">
        <f aca="false">SUM(BZ99:BZ103)</f>
        <v>0</v>
      </c>
      <c r="CA104" s="84" t="n">
        <f aca="false">SUM(CA99:CA103)</f>
        <v>0</v>
      </c>
      <c r="CC104" s="84" t="n">
        <f aca="false">SUM(CC99:CC103)</f>
        <v>0</v>
      </c>
      <c r="CD104" s="84" t="n">
        <f aca="false">SUM(CD99:CD103)</f>
        <v>0</v>
      </c>
      <c r="CE104" s="84" t="n">
        <f aca="false">SUM(CE99:CE103)</f>
        <v>0</v>
      </c>
      <c r="CF104" s="84" t="n">
        <f aca="false">SUM(CF99:CF103)</f>
        <v>0</v>
      </c>
      <c r="CG104" s="84" t="n">
        <f aca="false">SUM(CG99:CG103)</f>
        <v>0</v>
      </c>
      <c r="CI104" s="84" t="n">
        <f aca="false">CC104=L104</f>
        <v>1</v>
      </c>
      <c r="CJ104" s="84" t="n">
        <f aca="false">CD104=M104</f>
        <v>1</v>
      </c>
      <c r="CK104" s="84" t="n">
        <f aca="false">CE104=N104</f>
        <v>1</v>
      </c>
      <c r="CL104" s="84" t="n">
        <f aca="false">CF104=O104</f>
        <v>1</v>
      </c>
      <c r="CM104" s="84" t="n">
        <f aca="false">CG104=P104</f>
        <v>1</v>
      </c>
    </row>
    <row r="105" s="14" customFormat="true" ht="16.5" hidden="false" customHeight="true" outlineLevel="0" collapsed="false">
      <c r="H105" s="29"/>
      <c r="I105" s="88"/>
      <c r="J105" s="88"/>
      <c r="K105" s="88"/>
      <c r="L105" s="88"/>
      <c r="M105" s="88"/>
      <c r="N105" s="88"/>
      <c r="O105" s="88"/>
      <c r="P105" s="88"/>
      <c r="Q105" s="16"/>
      <c r="R105" s="16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9"/>
      <c r="AG105" s="88"/>
      <c r="AH105" s="88"/>
      <c r="AI105" s="88"/>
      <c r="AJ105" s="88"/>
      <c r="AK105" s="88"/>
      <c r="AL105" s="88"/>
      <c r="AM105" s="88"/>
      <c r="AN105" s="88"/>
      <c r="AO105" s="88"/>
      <c r="AP105" s="88"/>
      <c r="AQ105" s="88"/>
      <c r="AR105" s="89"/>
      <c r="AS105" s="88"/>
      <c r="AT105" s="88"/>
      <c r="AU105" s="88"/>
      <c r="AV105" s="88"/>
      <c r="AW105" s="88"/>
      <c r="AX105" s="88"/>
      <c r="AY105" s="88"/>
      <c r="AZ105" s="88"/>
      <c r="BA105" s="88"/>
      <c r="BB105" s="88"/>
      <c r="BC105" s="88"/>
      <c r="BD105" s="89"/>
      <c r="BE105" s="88"/>
      <c r="BF105" s="88"/>
      <c r="BG105" s="88"/>
      <c r="BH105" s="88"/>
      <c r="BI105" s="88"/>
      <c r="BJ105" s="88"/>
      <c r="BK105" s="88"/>
      <c r="BL105" s="88"/>
      <c r="BM105" s="88"/>
      <c r="BN105" s="88"/>
      <c r="BO105" s="88"/>
      <c r="BP105" s="89"/>
      <c r="BQ105" s="88"/>
      <c r="BR105" s="88"/>
      <c r="BS105" s="88"/>
      <c r="BT105" s="88"/>
      <c r="BU105" s="88"/>
      <c r="BV105" s="88"/>
      <c r="BW105" s="88"/>
      <c r="BX105" s="88"/>
      <c r="BY105" s="88"/>
      <c r="BZ105" s="88"/>
      <c r="CA105" s="90"/>
      <c r="CC105" s="90"/>
      <c r="CD105" s="90"/>
      <c r="CE105" s="90"/>
      <c r="CF105" s="90"/>
      <c r="CG105" s="90"/>
      <c r="CI105" s="90"/>
      <c r="CJ105" s="90"/>
      <c r="CK105" s="90"/>
      <c r="CL105" s="90"/>
      <c r="CM105" s="90"/>
    </row>
    <row r="106" s="14" customFormat="true" ht="16.5" hidden="false" customHeight="true" outlineLevel="0" collapsed="false">
      <c r="E106" s="21" t="s">
        <v>130</v>
      </c>
      <c r="H106" s="29"/>
      <c r="I106" s="88"/>
      <c r="J106" s="88"/>
      <c r="K106" s="88"/>
      <c r="L106" s="88"/>
      <c r="M106" s="88"/>
      <c r="N106" s="88"/>
      <c r="O106" s="88"/>
      <c r="P106" s="88"/>
      <c r="Q106" s="16"/>
      <c r="R106" s="16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9"/>
      <c r="AG106" s="88"/>
      <c r="AH106" s="88"/>
      <c r="AI106" s="88"/>
      <c r="AJ106" s="88"/>
      <c r="AK106" s="88"/>
      <c r="AL106" s="88"/>
      <c r="AM106" s="88"/>
      <c r="AN106" s="88"/>
      <c r="AO106" s="88"/>
      <c r="AP106" s="88"/>
      <c r="AQ106" s="88"/>
      <c r="AR106" s="89"/>
      <c r="AS106" s="88"/>
      <c r="AT106" s="88"/>
      <c r="AU106" s="88"/>
      <c r="AV106" s="88"/>
      <c r="AW106" s="88"/>
      <c r="AX106" s="88"/>
      <c r="AY106" s="88"/>
      <c r="AZ106" s="88"/>
      <c r="BA106" s="88"/>
      <c r="BB106" s="88"/>
      <c r="BC106" s="88"/>
      <c r="BD106" s="89"/>
      <c r="BE106" s="88"/>
      <c r="BF106" s="88"/>
      <c r="BG106" s="88"/>
      <c r="BH106" s="88"/>
      <c r="BI106" s="88"/>
      <c r="BJ106" s="88"/>
      <c r="BK106" s="88"/>
      <c r="BL106" s="88"/>
      <c r="BM106" s="88"/>
      <c r="BN106" s="88"/>
      <c r="BO106" s="88"/>
      <c r="BP106" s="89"/>
      <c r="BQ106" s="88"/>
      <c r="BR106" s="88"/>
      <c r="BS106" s="88"/>
      <c r="BT106" s="88"/>
      <c r="BU106" s="88"/>
      <c r="BV106" s="88"/>
      <c r="BW106" s="88"/>
      <c r="BX106" s="88"/>
      <c r="BY106" s="88"/>
      <c r="BZ106" s="88"/>
      <c r="CA106" s="90"/>
      <c r="CC106" s="90"/>
      <c r="CD106" s="90"/>
      <c r="CE106" s="90"/>
      <c r="CF106" s="90"/>
      <c r="CG106" s="90"/>
      <c r="CI106" s="90"/>
      <c r="CJ106" s="90"/>
      <c r="CK106" s="90"/>
      <c r="CL106" s="90"/>
      <c r="CM106" s="90"/>
    </row>
    <row r="107" s="14" customFormat="true" ht="16.5" hidden="false" customHeight="true" outlineLevel="0" collapsed="false">
      <c r="E107" s="91"/>
      <c r="H107" s="29"/>
      <c r="I107" s="91" t="n">
        <v>0</v>
      </c>
      <c r="J107" s="91" t="n">
        <f aca="false">J26</f>
        <v>0</v>
      </c>
      <c r="K107" s="207" t="n">
        <f aca="false">J107-I107</f>
        <v>0</v>
      </c>
      <c r="L107" s="91" t="n">
        <v>0</v>
      </c>
      <c r="M107" s="91" t="n">
        <f aca="false">$K107</f>
        <v>0</v>
      </c>
      <c r="N107" s="91" t="n">
        <f aca="false">$K107</f>
        <v>0</v>
      </c>
      <c r="O107" s="91" t="n">
        <f aca="false">$K107</f>
        <v>0</v>
      </c>
      <c r="P107" s="91" t="n">
        <f aca="false">$K107</f>
        <v>0</v>
      </c>
      <c r="Q107" s="93"/>
      <c r="R107" s="16" t="str">
        <f aca="false">IF(K107=P107, "", "Error")</f>
        <v/>
      </c>
      <c r="T107" s="91"/>
      <c r="U107" s="91"/>
      <c r="V107" s="91"/>
      <c r="W107" s="91"/>
      <c r="X107" s="91"/>
      <c r="Y107" s="91"/>
      <c r="Z107" s="91"/>
      <c r="AA107" s="91"/>
      <c r="AB107" s="91"/>
      <c r="AC107" s="91"/>
      <c r="AD107" s="91"/>
      <c r="AE107" s="94"/>
      <c r="AF107" s="95" t="n">
        <f aca="false">$K$107/12</f>
        <v>0</v>
      </c>
      <c r="AG107" s="95" t="n">
        <f aca="false">$K$107/12</f>
        <v>0</v>
      </c>
      <c r="AH107" s="95" t="n">
        <f aca="false">$K$107/12</f>
        <v>0</v>
      </c>
      <c r="AI107" s="95" t="n">
        <f aca="false">$K$107/12</f>
        <v>0</v>
      </c>
      <c r="AJ107" s="95" t="n">
        <f aca="false">$K$107/12</f>
        <v>0</v>
      </c>
      <c r="AK107" s="95" t="n">
        <f aca="false">$K$107/12</f>
        <v>0</v>
      </c>
      <c r="AL107" s="95" t="n">
        <f aca="false">$K$107/12</f>
        <v>0</v>
      </c>
      <c r="AM107" s="95" t="n">
        <f aca="false">$K$107/12</f>
        <v>0</v>
      </c>
      <c r="AN107" s="95" t="n">
        <f aca="false">$K$107/12</f>
        <v>0</v>
      </c>
      <c r="AO107" s="95" t="n">
        <f aca="false">$K$107/12</f>
        <v>0</v>
      </c>
      <c r="AP107" s="95" t="n">
        <f aca="false">$K$107/12</f>
        <v>0</v>
      </c>
      <c r="AQ107" s="95" t="n">
        <f aca="false">$K$107/12</f>
        <v>0</v>
      </c>
      <c r="AR107" s="95" t="n">
        <f aca="false">$K$107/12</f>
        <v>0</v>
      </c>
      <c r="AS107" s="95" t="n">
        <f aca="false">$K$107/12</f>
        <v>0</v>
      </c>
      <c r="AT107" s="95" t="n">
        <f aca="false">$K$107/12</f>
        <v>0</v>
      </c>
      <c r="AU107" s="95" t="n">
        <f aca="false">$K$107/12</f>
        <v>0</v>
      </c>
      <c r="AV107" s="95" t="n">
        <f aca="false">$K$107/12</f>
        <v>0</v>
      </c>
      <c r="AW107" s="95" t="n">
        <f aca="false">$K$107/12</f>
        <v>0</v>
      </c>
      <c r="AX107" s="95" t="n">
        <f aca="false">$K$107/12</f>
        <v>0</v>
      </c>
      <c r="AY107" s="95" t="n">
        <f aca="false">$K$107/12</f>
        <v>0</v>
      </c>
      <c r="AZ107" s="95" t="n">
        <f aca="false">$K$107/12</f>
        <v>0</v>
      </c>
      <c r="BA107" s="95" t="n">
        <f aca="false">$K$107/12</f>
        <v>0</v>
      </c>
      <c r="BB107" s="95" t="n">
        <f aca="false">$K$107/12</f>
        <v>0</v>
      </c>
      <c r="BC107" s="95" t="n">
        <f aca="false">$K$107/12</f>
        <v>0</v>
      </c>
      <c r="BD107" s="95" t="n">
        <f aca="false">$K$107/12</f>
        <v>0</v>
      </c>
      <c r="BE107" s="95" t="n">
        <f aca="false">$K$107/12</f>
        <v>0</v>
      </c>
      <c r="BF107" s="95" t="n">
        <f aca="false">$K$107/12</f>
        <v>0</v>
      </c>
      <c r="BG107" s="95" t="n">
        <f aca="false">$K$107/12</f>
        <v>0</v>
      </c>
      <c r="BH107" s="95" t="n">
        <f aca="false">$K$107/12</f>
        <v>0</v>
      </c>
      <c r="BI107" s="95" t="n">
        <f aca="false">$K$107/12</f>
        <v>0</v>
      </c>
      <c r="BJ107" s="95" t="n">
        <f aca="false">$K$107/12</f>
        <v>0</v>
      </c>
      <c r="BK107" s="95" t="n">
        <f aca="false">$K$107/12</f>
        <v>0</v>
      </c>
      <c r="BL107" s="95" t="n">
        <f aca="false">$K$107/12</f>
        <v>0</v>
      </c>
      <c r="BM107" s="95" t="n">
        <f aca="false">$K$107/12</f>
        <v>0</v>
      </c>
      <c r="BN107" s="95" t="n">
        <f aca="false">$K$107/12</f>
        <v>0</v>
      </c>
      <c r="BO107" s="95" t="n">
        <f aca="false">$K$107/12</f>
        <v>0</v>
      </c>
      <c r="BP107" s="95" t="n">
        <f aca="false">$K$107/12</f>
        <v>0</v>
      </c>
      <c r="BQ107" s="95" t="n">
        <f aca="false">$K$107/12</f>
        <v>0</v>
      </c>
      <c r="BR107" s="95" t="n">
        <f aca="false">$K$107/12</f>
        <v>0</v>
      </c>
      <c r="BS107" s="95" t="n">
        <f aca="false">$K$107/12</f>
        <v>0</v>
      </c>
      <c r="BT107" s="95" t="n">
        <f aca="false">$K$107/12</f>
        <v>0</v>
      </c>
      <c r="BU107" s="95" t="n">
        <f aca="false">$K$107/12</f>
        <v>0</v>
      </c>
      <c r="BV107" s="95" t="n">
        <f aca="false">$K$107/12</f>
        <v>0</v>
      </c>
      <c r="BW107" s="95" t="n">
        <f aca="false">$K$107/12</f>
        <v>0</v>
      </c>
      <c r="BX107" s="95" t="n">
        <f aca="false">$K$107/12</f>
        <v>0</v>
      </c>
      <c r="BY107" s="95" t="n">
        <f aca="false">$K$107/12</f>
        <v>0</v>
      </c>
      <c r="BZ107" s="95" t="n">
        <f aca="false">$K$107/12</f>
        <v>0</v>
      </c>
      <c r="CA107" s="95" t="n">
        <f aca="false">$K$107/12</f>
        <v>0</v>
      </c>
      <c r="CC107" s="79" t="n">
        <f aca="false">SUMIFS($T107:$CA107, $T$1:$CA$1, CC$63)</f>
        <v>0</v>
      </c>
      <c r="CD107" s="79" t="n">
        <f aca="false">SUMIFS($T107:$CA107, $T$1:$CA$1, CD$63)</f>
        <v>0</v>
      </c>
      <c r="CE107" s="79" t="n">
        <f aca="false">SUMIFS($T107:$CA107, $T$1:$CA$1, CE$63)</f>
        <v>0</v>
      </c>
      <c r="CF107" s="79" t="n">
        <f aca="false">SUMIFS($T107:$CA107, $T$1:$CA$1, CF$63)</f>
        <v>0</v>
      </c>
      <c r="CG107" s="79" t="n">
        <f aca="false">SUMIFS($T107:$CA107, $T$1:$CA$1, CG$63)</f>
        <v>0</v>
      </c>
      <c r="CI107" s="79" t="n">
        <f aca="false">CC107=L107</f>
        <v>1</v>
      </c>
      <c r="CJ107" s="79" t="n">
        <f aca="false">CD107=M107</f>
        <v>1</v>
      </c>
      <c r="CK107" s="79" t="n">
        <f aca="false">CE107=N107</f>
        <v>1</v>
      </c>
      <c r="CL107" s="79" t="n">
        <f aca="false">CF107=O107</f>
        <v>1</v>
      </c>
      <c r="CM107" s="79" t="n">
        <f aca="false">CG107=P107</f>
        <v>1</v>
      </c>
    </row>
    <row r="108" s="14" customFormat="true" ht="16.5" hidden="false" customHeight="true" outlineLevel="0" collapsed="false">
      <c r="E108" s="91"/>
      <c r="H108" s="29"/>
      <c r="I108" s="91" t="n">
        <v>0</v>
      </c>
      <c r="J108" s="91" t="n">
        <v>0</v>
      </c>
      <c r="K108" s="207" t="n">
        <f aca="false">J108-I108</f>
        <v>0</v>
      </c>
      <c r="L108" s="91" t="n">
        <v>0</v>
      </c>
      <c r="M108" s="91" t="n">
        <v>0</v>
      </c>
      <c r="N108" s="91" t="n">
        <v>0</v>
      </c>
      <c r="O108" s="91" t="n">
        <v>0</v>
      </c>
      <c r="P108" s="91" t="n">
        <v>0</v>
      </c>
      <c r="Q108" s="93"/>
      <c r="R108" s="16" t="str">
        <f aca="false">IF(K108=P108, "", "Error")</f>
        <v/>
      </c>
      <c r="T108" s="91"/>
      <c r="U108" s="91"/>
      <c r="V108" s="91"/>
      <c r="W108" s="91"/>
      <c r="X108" s="91"/>
      <c r="Y108" s="91"/>
      <c r="Z108" s="91"/>
      <c r="AA108" s="91"/>
      <c r="AB108" s="91"/>
      <c r="AC108" s="91"/>
      <c r="AD108" s="91"/>
      <c r="AE108" s="94"/>
      <c r="AF108" s="94"/>
      <c r="AG108" s="94"/>
      <c r="AH108" s="94"/>
      <c r="AI108" s="94"/>
      <c r="AJ108" s="94"/>
      <c r="AK108" s="94"/>
      <c r="AL108" s="94"/>
      <c r="AM108" s="94"/>
      <c r="AN108" s="94"/>
      <c r="AO108" s="94"/>
      <c r="AP108" s="94"/>
      <c r="AQ108" s="94"/>
      <c r="AR108" s="94"/>
      <c r="AS108" s="94"/>
      <c r="AT108" s="94"/>
      <c r="AU108" s="94"/>
      <c r="AV108" s="94"/>
      <c r="AW108" s="94"/>
      <c r="AX108" s="94"/>
      <c r="AY108" s="94"/>
      <c r="AZ108" s="94"/>
      <c r="BA108" s="94"/>
      <c r="BB108" s="94"/>
      <c r="BC108" s="94"/>
      <c r="BD108" s="94"/>
      <c r="BE108" s="94"/>
      <c r="BF108" s="94"/>
      <c r="BG108" s="94"/>
      <c r="BH108" s="94"/>
      <c r="BI108" s="94"/>
      <c r="BJ108" s="94"/>
      <c r="BK108" s="94"/>
      <c r="BL108" s="94"/>
      <c r="BM108" s="94"/>
      <c r="BN108" s="94"/>
      <c r="BO108" s="94"/>
      <c r="BP108" s="94"/>
      <c r="BQ108" s="94"/>
      <c r="BR108" s="94"/>
      <c r="BS108" s="94"/>
      <c r="BT108" s="94"/>
      <c r="BU108" s="94"/>
      <c r="BV108" s="94"/>
      <c r="BW108" s="94"/>
      <c r="BX108" s="94"/>
      <c r="BY108" s="94"/>
      <c r="BZ108" s="94"/>
      <c r="CA108" s="94"/>
      <c r="CC108" s="79" t="n">
        <f aca="false">SUMIFS($T108:$CA108, $T$1:$CA$1, CC$63)</f>
        <v>0</v>
      </c>
      <c r="CD108" s="79" t="n">
        <f aca="false">SUMIFS($T108:$CA108, $T$1:$CA$1, CD$63)</f>
        <v>0</v>
      </c>
      <c r="CE108" s="79" t="n">
        <f aca="false">SUMIFS($T108:$CA108, $T$1:$CA$1, CE$63)</f>
        <v>0</v>
      </c>
      <c r="CF108" s="79" t="n">
        <f aca="false">SUMIFS($T108:$CA108, $T$1:$CA$1, CF$63)</f>
        <v>0</v>
      </c>
      <c r="CG108" s="79" t="n">
        <f aca="false">SUMIFS($T108:$CA108, $T$1:$CA$1, CG$63)</f>
        <v>0</v>
      </c>
      <c r="CI108" s="79" t="n">
        <f aca="false">CC108=L108</f>
        <v>1</v>
      </c>
      <c r="CJ108" s="79" t="n">
        <f aca="false">CD108=M108</f>
        <v>1</v>
      </c>
      <c r="CK108" s="79" t="n">
        <f aca="false">CE108=N108</f>
        <v>1</v>
      </c>
      <c r="CL108" s="79" t="n">
        <f aca="false">CF108=O108</f>
        <v>1</v>
      </c>
      <c r="CM108" s="79" t="n">
        <f aca="false">CG108=P108</f>
        <v>1</v>
      </c>
    </row>
    <row r="109" s="14" customFormat="true" ht="16.5" hidden="false" customHeight="true" outlineLevel="0" collapsed="false">
      <c r="E109" s="91"/>
      <c r="H109" s="29"/>
      <c r="I109" s="91" t="n">
        <v>0</v>
      </c>
      <c r="J109" s="91" t="n">
        <v>0</v>
      </c>
      <c r="K109" s="207" t="n">
        <f aca="false">J109-I109</f>
        <v>0</v>
      </c>
      <c r="L109" s="91" t="n">
        <v>0</v>
      </c>
      <c r="M109" s="91" t="n">
        <v>0</v>
      </c>
      <c r="N109" s="91" t="n">
        <v>0</v>
      </c>
      <c r="O109" s="91" t="n">
        <v>0</v>
      </c>
      <c r="P109" s="91" t="n">
        <v>0</v>
      </c>
      <c r="Q109" s="93"/>
      <c r="R109" s="16" t="str">
        <f aca="false">IF(K109=P109, "", "Error")</f>
        <v/>
      </c>
      <c r="T109" s="91"/>
      <c r="U109" s="91"/>
      <c r="V109" s="91"/>
      <c r="W109" s="91"/>
      <c r="X109" s="91"/>
      <c r="Y109" s="91"/>
      <c r="Z109" s="91"/>
      <c r="AA109" s="91"/>
      <c r="AB109" s="91"/>
      <c r="AC109" s="91"/>
      <c r="AD109" s="91"/>
      <c r="AE109" s="94"/>
      <c r="AF109" s="94"/>
      <c r="AG109" s="94"/>
      <c r="AH109" s="94"/>
      <c r="AI109" s="94"/>
      <c r="AJ109" s="94"/>
      <c r="AK109" s="94"/>
      <c r="AL109" s="94"/>
      <c r="AM109" s="94"/>
      <c r="AN109" s="94"/>
      <c r="AO109" s="94"/>
      <c r="AP109" s="94"/>
      <c r="AQ109" s="94"/>
      <c r="AR109" s="94"/>
      <c r="AS109" s="94"/>
      <c r="AT109" s="94"/>
      <c r="AU109" s="94"/>
      <c r="AV109" s="94"/>
      <c r="AW109" s="94"/>
      <c r="AX109" s="94"/>
      <c r="AY109" s="94"/>
      <c r="AZ109" s="94"/>
      <c r="BA109" s="94"/>
      <c r="BB109" s="94"/>
      <c r="BC109" s="94"/>
      <c r="BD109" s="94"/>
      <c r="BE109" s="94"/>
      <c r="BF109" s="94"/>
      <c r="BG109" s="94"/>
      <c r="BH109" s="94"/>
      <c r="BI109" s="94"/>
      <c r="BJ109" s="94"/>
      <c r="BK109" s="94"/>
      <c r="BL109" s="94"/>
      <c r="BM109" s="94"/>
      <c r="BN109" s="94"/>
      <c r="BO109" s="94"/>
      <c r="BP109" s="94"/>
      <c r="BQ109" s="94"/>
      <c r="BR109" s="94"/>
      <c r="BS109" s="94"/>
      <c r="BT109" s="94"/>
      <c r="BU109" s="94"/>
      <c r="BV109" s="94"/>
      <c r="BW109" s="94"/>
      <c r="BX109" s="94"/>
      <c r="BY109" s="94"/>
      <c r="BZ109" s="94"/>
      <c r="CA109" s="94"/>
      <c r="CC109" s="79" t="n">
        <f aca="false">SUMIFS($T109:$CA109, $T$1:$CA$1, CC$63)</f>
        <v>0</v>
      </c>
      <c r="CD109" s="79" t="n">
        <f aca="false">SUMIFS($T109:$CA109, $T$1:$CA$1, CD$63)</f>
        <v>0</v>
      </c>
      <c r="CE109" s="79" t="n">
        <f aca="false">SUMIFS($T109:$CA109, $T$1:$CA$1, CE$63)</f>
        <v>0</v>
      </c>
      <c r="CF109" s="79" t="n">
        <f aca="false">SUMIFS($T109:$CA109, $T$1:$CA$1, CF$63)</f>
        <v>0</v>
      </c>
      <c r="CG109" s="79" t="n">
        <f aca="false">SUMIFS($T109:$CA109, $T$1:$CA$1, CG$63)</f>
        <v>0</v>
      </c>
      <c r="CI109" s="79" t="n">
        <f aca="false">CC109=L109</f>
        <v>1</v>
      </c>
      <c r="CJ109" s="79" t="n">
        <f aca="false">CD109=M109</f>
        <v>1</v>
      </c>
      <c r="CK109" s="79" t="n">
        <f aca="false">CE109=N109</f>
        <v>1</v>
      </c>
      <c r="CL109" s="79" t="n">
        <f aca="false">CF109=O109</f>
        <v>1</v>
      </c>
      <c r="CM109" s="79" t="n">
        <f aca="false">CG109=P109</f>
        <v>1</v>
      </c>
    </row>
    <row r="110" s="14" customFormat="true" ht="16.5" hidden="false" customHeight="true" outlineLevel="0" collapsed="false">
      <c r="E110" s="91"/>
      <c r="H110" s="29"/>
      <c r="I110" s="91" t="n">
        <v>0</v>
      </c>
      <c r="J110" s="91" t="n">
        <v>0</v>
      </c>
      <c r="K110" s="207" t="n">
        <f aca="false">J110-I110</f>
        <v>0</v>
      </c>
      <c r="L110" s="91" t="n">
        <v>0</v>
      </c>
      <c r="M110" s="91" t="n">
        <v>0</v>
      </c>
      <c r="N110" s="91" t="n">
        <v>0</v>
      </c>
      <c r="O110" s="91" t="n">
        <v>0</v>
      </c>
      <c r="P110" s="91" t="n">
        <v>0</v>
      </c>
      <c r="Q110" s="93"/>
      <c r="R110" s="16" t="str">
        <f aca="false">IF(K110=P110, "", "Error")</f>
        <v/>
      </c>
      <c r="T110" s="91"/>
      <c r="U110" s="91"/>
      <c r="V110" s="91"/>
      <c r="W110" s="91"/>
      <c r="X110" s="91"/>
      <c r="Y110" s="91"/>
      <c r="Z110" s="91"/>
      <c r="AA110" s="91"/>
      <c r="AB110" s="91"/>
      <c r="AC110" s="91"/>
      <c r="AD110" s="91"/>
      <c r="AE110" s="94"/>
      <c r="AF110" s="95"/>
      <c r="AG110" s="91"/>
      <c r="AH110" s="91"/>
      <c r="AI110" s="91"/>
      <c r="AJ110" s="91"/>
      <c r="AK110" s="91"/>
      <c r="AL110" s="91"/>
      <c r="AM110" s="91"/>
      <c r="AN110" s="91"/>
      <c r="AO110" s="91"/>
      <c r="AP110" s="91"/>
      <c r="AQ110" s="94"/>
      <c r="AR110" s="95"/>
      <c r="AS110" s="91"/>
      <c r="AT110" s="91"/>
      <c r="AU110" s="91"/>
      <c r="AV110" s="91"/>
      <c r="AW110" s="91"/>
      <c r="AX110" s="91"/>
      <c r="AY110" s="91"/>
      <c r="AZ110" s="91"/>
      <c r="BA110" s="91"/>
      <c r="BB110" s="91"/>
      <c r="BC110" s="94"/>
      <c r="BD110" s="95"/>
      <c r="BE110" s="91"/>
      <c r="BF110" s="91"/>
      <c r="BG110" s="91"/>
      <c r="BH110" s="91"/>
      <c r="BI110" s="91"/>
      <c r="BJ110" s="91"/>
      <c r="BK110" s="91"/>
      <c r="BL110" s="91"/>
      <c r="BM110" s="91"/>
      <c r="BN110" s="91"/>
      <c r="BO110" s="94"/>
      <c r="BP110" s="95"/>
      <c r="BQ110" s="91"/>
      <c r="BR110" s="91"/>
      <c r="BS110" s="91"/>
      <c r="BT110" s="91"/>
      <c r="BU110" s="91"/>
      <c r="BV110" s="91"/>
      <c r="BW110" s="91"/>
      <c r="BX110" s="91"/>
      <c r="BY110" s="91"/>
      <c r="BZ110" s="91"/>
      <c r="CA110" s="119"/>
      <c r="CC110" s="79" t="n">
        <f aca="false">SUMIFS($T110:$CA110, $T$1:$CA$1, CC$63)</f>
        <v>0</v>
      </c>
      <c r="CD110" s="79" t="n">
        <f aca="false">SUMIFS($T110:$CA110, $T$1:$CA$1, CD$63)</f>
        <v>0</v>
      </c>
      <c r="CE110" s="79" t="n">
        <f aca="false">SUMIFS($T110:$CA110, $T$1:$CA$1, CE$63)</f>
        <v>0</v>
      </c>
      <c r="CF110" s="79" t="n">
        <f aca="false">SUMIFS($T110:$CA110, $T$1:$CA$1, CF$63)</f>
        <v>0</v>
      </c>
      <c r="CG110" s="79" t="n">
        <f aca="false">SUMIFS($T110:$CA110, $T$1:$CA$1, CG$63)</f>
        <v>0</v>
      </c>
      <c r="CI110" s="79" t="n">
        <f aca="false">CC110=L110</f>
        <v>1</v>
      </c>
      <c r="CJ110" s="79" t="n">
        <f aca="false">CD110=M110</f>
        <v>1</v>
      </c>
      <c r="CK110" s="79" t="n">
        <f aca="false">CE110=N110</f>
        <v>1</v>
      </c>
      <c r="CL110" s="79" t="n">
        <f aca="false">CF110=O110</f>
        <v>1</v>
      </c>
      <c r="CM110" s="79" t="n">
        <f aca="false">CG110=P110</f>
        <v>1</v>
      </c>
    </row>
    <row r="111" s="14" customFormat="true" ht="16.5" hidden="false" customHeight="true" outlineLevel="0" collapsed="false">
      <c r="E111" s="91"/>
      <c r="H111" s="29"/>
      <c r="I111" s="91" t="n">
        <v>0</v>
      </c>
      <c r="J111" s="91" t="n">
        <v>0</v>
      </c>
      <c r="K111" s="207" t="n">
        <f aca="false">J111-I111</f>
        <v>0</v>
      </c>
      <c r="L111" s="91" t="n">
        <v>0</v>
      </c>
      <c r="M111" s="91" t="n">
        <v>0</v>
      </c>
      <c r="N111" s="91" t="n">
        <v>0</v>
      </c>
      <c r="O111" s="91" t="n">
        <v>0</v>
      </c>
      <c r="P111" s="91" t="n">
        <v>0</v>
      </c>
      <c r="Q111" s="93"/>
      <c r="R111" s="16" t="str">
        <f aca="false">IF(K111=P111, "", "Error")</f>
        <v/>
      </c>
      <c r="T111" s="91"/>
      <c r="U111" s="91"/>
      <c r="V111" s="91"/>
      <c r="W111" s="91"/>
      <c r="X111" s="91"/>
      <c r="Y111" s="91"/>
      <c r="Z111" s="91"/>
      <c r="AA111" s="91"/>
      <c r="AB111" s="91"/>
      <c r="AC111" s="91"/>
      <c r="AD111" s="91"/>
      <c r="AE111" s="94"/>
      <c r="AF111" s="95"/>
      <c r="AG111" s="91"/>
      <c r="AH111" s="91"/>
      <c r="AI111" s="91"/>
      <c r="AJ111" s="91"/>
      <c r="AK111" s="91"/>
      <c r="AL111" s="91"/>
      <c r="AM111" s="91"/>
      <c r="AN111" s="91"/>
      <c r="AO111" s="91"/>
      <c r="AP111" s="91"/>
      <c r="AQ111" s="94"/>
      <c r="AR111" s="95"/>
      <c r="AS111" s="91"/>
      <c r="AT111" s="91"/>
      <c r="AU111" s="91"/>
      <c r="AV111" s="91"/>
      <c r="AW111" s="91"/>
      <c r="AX111" s="91"/>
      <c r="AY111" s="91"/>
      <c r="AZ111" s="91"/>
      <c r="BA111" s="91"/>
      <c r="BB111" s="91"/>
      <c r="BC111" s="94"/>
      <c r="BD111" s="95"/>
      <c r="BE111" s="91"/>
      <c r="BF111" s="91"/>
      <c r="BG111" s="91"/>
      <c r="BH111" s="91"/>
      <c r="BI111" s="91"/>
      <c r="BJ111" s="91"/>
      <c r="BK111" s="91"/>
      <c r="BL111" s="91"/>
      <c r="BM111" s="91"/>
      <c r="BN111" s="91"/>
      <c r="BO111" s="94"/>
      <c r="BP111" s="95"/>
      <c r="BQ111" s="91"/>
      <c r="BR111" s="91"/>
      <c r="BS111" s="91"/>
      <c r="BT111" s="91"/>
      <c r="BU111" s="91"/>
      <c r="BV111" s="91"/>
      <c r="BW111" s="91"/>
      <c r="BX111" s="91"/>
      <c r="BY111" s="91"/>
      <c r="BZ111" s="91"/>
      <c r="CA111" s="119"/>
      <c r="CC111" s="79" t="n">
        <f aca="false">SUMIFS($T111:$CA111, $T$1:$CA$1, CC$63)</f>
        <v>0</v>
      </c>
      <c r="CD111" s="79" t="n">
        <f aca="false">SUMIFS($T111:$CA111, $T$1:$CA$1, CD$63)</f>
        <v>0</v>
      </c>
      <c r="CE111" s="79" t="n">
        <f aca="false">SUMIFS($T111:$CA111, $T$1:$CA$1, CE$63)</f>
        <v>0</v>
      </c>
      <c r="CF111" s="79" t="n">
        <f aca="false">SUMIFS($T111:$CA111, $T$1:$CA$1, CF$63)</f>
        <v>0</v>
      </c>
      <c r="CG111" s="79" t="n">
        <f aca="false">SUMIFS($T111:$CA111, $T$1:$CA$1, CG$63)</f>
        <v>0</v>
      </c>
      <c r="CI111" s="79" t="n">
        <f aca="false">CC111=L111</f>
        <v>1</v>
      </c>
      <c r="CJ111" s="79" t="n">
        <f aca="false">CD111=M111</f>
        <v>1</v>
      </c>
      <c r="CK111" s="79" t="n">
        <f aca="false">CE111=N111</f>
        <v>1</v>
      </c>
      <c r="CL111" s="79" t="n">
        <f aca="false">CF111=O111</f>
        <v>1</v>
      </c>
      <c r="CM111" s="79" t="n">
        <f aca="false">CG111=P111</f>
        <v>1</v>
      </c>
    </row>
    <row r="112" s="14" customFormat="true" ht="16.5" hidden="false" customHeight="true" outlineLevel="0" collapsed="false">
      <c r="E112" s="96" t="s">
        <v>133</v>
      </c>
      <c r="H112" s="29"/>
      <c r="I112" s="82" t="n">
        <f aca="false">SUM(I107:I111)</f>
        <v>0</v>
      </c>
      <c r="J112" s="82" t="n">
        <f aca="false">SUM(J107:J111)</f>
        <v>0</v>
      </c>
      <c r="K112" s="82" t="n">
        <f aca="false">SUM(K107:K111)</f>
        <v>0</v>
      </c>
      <c r="L112" s="82" t="n">
        <f aca="false">SUM(L107:L111)</f>
        <v>0</v>
      </c>
      <c r="M112" s="82" t="n">
        <f aca="false">SUM(M107:M111)</f>
        <v>0</v>
      </c>
      <c r="N112" s="82" t="n">
        <f aca="false">SUM(N107:N111)</f>
        <v>0</v>
      </c>
      <c r="O112" s="82" t="n">
        <f aca="false">SUM(O107:O111)</f>
        <v>0</v>
      </c>
      <c r="P112" s="82" t="n">
        <f aca="false">SUM(P107:P111)</f>
        <v>0</v>
      </c>
      <c r="Q112" s="16"/>
      <c r="R112" s="16"/>
      <c r="T112" s="82" t="n">
        <f aca="false">SUM(T107:T111)</f>
        <v>0</v>
      </c>
      <c r="U112" s="82" t="n">
        <f aca="false">SUM(U107:U111)</f>
        <v>0</v>
      </c>
      <c r="V112" s="82" t="n">
        <f aca="false">SUM(V107:V111)</f>
        <v>0</v>
      </c>
      <c r="W112" s="82" t="n">
        <f aca="false">SUM(W107:W111)</f>
        <v>0</v>
      </c>
      <c r="X112" s="82" t="n">
        <f aca="false">SUM(X107:X111)</f>
        <v>0</v>
      </c>
      <c r="Y112" s="82" t="n">
        <f aca="false">SUM(Y107:Y111)</f>
        <v>0</v>
      </c>
      <c r="Z112" s="82" t="n">
        <f aca="false">SUM(Z107:Z111)</f>
        <v>0</v>
      </c>
      <c r="AA112" s="82" t="n">
        <f aca="false">SUM(AA107:AA111)</f>
        <v>0</v>
      </c>
      <c r="AB112" s="82" t="n">
        <f aca="false">SUM(AB107:AB111)</f>
        <v>0</v>
      </c>
      <c r="AC112" s="82" t="n">
        <f aca="false">SUM(AC107:AC111)</f>
        <v>0</v>
      </c>
      <c r="AD112" s="82" t="n">
        <f aca="false">SUM(AD107:AD111)</f>
        <v>0</v>
      </c>
      <c r="AE112" s="82" t="n">
        <f aca="false">SUM(AE107:AE111)</f>
        <v>0</v>
      </c>
      <c r="AF112" s="83" t="n">
        <f aca="false">SUM(AF107:AF111)</f>
        <v>0</v>
      </c>
      <c r="AG112" s="82" t="n">
        <f aca="false">SUM(AG107:AG111)</f>
        <v>0</v>
      </c>
      <c r="AH112" s="82" t="n">
        <f aca="false">SUM(AH107:AH111)</f>
        <v>0</v>
      </c>
      <c r="AI112" s="82" t="n">
        <f aca="false">SUM(AI107:AI111)</f>
        <v>0</v>
      </c>
      <c r="AJ112" s="82" t="n">
        <f aca="false">SUM(AJ107:AJ111)</f>
        <v>0</v>
      </c>
      <c r="AK112" s="82" t="n">
        <f aca="false">SUM(AK107:AK111)</f>
        <v>0</v>
      </c>
      <c r="AL112" s="82" t="n">
        <f aca="false">SUM(AL107:AL111)</f>
        <v>0</v>
      </c>
      <c r="AM112" s="82" t="n">
        <f aca="false">SUM(AM107:AM111)</f>
        <v>0</v>
      </c>
      <c r="AN112" s="82" t="n">
        <f aca="false">SUM(AN107:AN111)</f>
        <v>0</v>
      </c>
      <c r="AO112" s="82" t="n">
        <f aca="false">SUM(AO107:AO111)</f>
        <v>0</v>
      </c>
      <c r="AP112" s="82" t="n">
        <f aca="false">SUM(AP107:AP111)</f>
        <v>0</v>
      </c>
      <c r="AQ112" s="82" t="n">
        <f aca="false">SUM(AQ107:AQ111)</f>
        <v>0</v>
      </c>
      <c r="AR112" s="83" t="n">
        <f aca="false">SUM(AR107:AR111)</f>
        <v>0</v>
      </c>
      <c r="AS112" s="82" t="n">
        <f aca="false">SUM(AS107:AS111)</f>
        <v>0</v>
      </c>
      <c r="AT112" s="82" t="n">
        <f aca="false">SUM(AT107:AT111)</f>
        <v>0</v>
      </c>
      <c r="AU112" s="82" t="n">
        <f aca="false">SUM(AU107:AU111)</f>
        <v>0</v>
      </c>
      <c r="AV112" s="82" t="n">
        <f aca="false">SUM(AV107:AV111)</f>
        <v>0</v>
      </c>
      <c r="AW112" s="82" t="n">
        <f aca="false">SUM(AW107:AW111)</f>
        <v>0</v>
      </c>
      <c r="AX112" s="82" t="n">
        <f aca="false">SUM(AX107:AX111)</f>
        <v>0</v>
      </c>
      <c r="AY112" s="82" t="n">
        <f aca="false">SUM(AY107:AY111)</f>
        <v>0</v>
      </c>
      <c r="AZ112" s="82" t="n">
        <f aca="false">SUM(AZ107:AZ111)</f>
        <v>0</v>
      </c>
      <c r="BA112" s="82" t="n">
        <f aca="false">SUM(BA107:BA111)</f>
        <v>0</v>
      </c>
      <c r="BB112" s="82" t="n">
        <f aca="false">SUM(BB107:BB111)</f>
        <v>0</v>
      </c>
      <c r="BC112" s="82" t="n">
        <f aca="false">SUM(BC107:BC111)</f>
        <v>0</v>
      </c>
      <c r="BD112" s="83" t="n">
        <f aca="false">SUM(BD107:BD111)</f>
        <v>0</v>
      </c>
      <c r="BE112" s="82" t="n">
        <f aca="false">SUM(BE107:BE111)</f>
        <v>0</v>
      </c>
      <c r="BF112" s="82" t="n">
        <f aca="false">SUM(BF107:BF111)</f>
        <v>0</v>
      </c>
      <c r="BG112" s="82" t="n">
        <f aca="false">SUM(BG107:BG111)</f>
        <v>0</v>
      </c>
      <c r="BH112" s="82" t="n">
        <f aca="false">SUM(BH107:BH111)</f>
        <v>0</v>
      </c>
      <c r="BI112" s="82" t="n">
        <f aca="false">SUM(BI107:BI111)</f>
        <v>0</v>
      </c>
      <c r="BJ112" s="82" t="n">
        <f aca="false">SUM(BJ107:BJ111)</f>
        <v>0</v>
      </c>
      <c r="BK112" s="82" t="n">
        <f aca="false">SUM(BK107:BK111)</f>
        <v>0</v>
      </c>
      <c r="BL112" s="82" t="n">
        <f aca="false">SUM(BL107:BL111)</f>
        <v>0</v>
      </c>
      <c r="BM112" s="82" t="n">
        <f aca="false">SUM(BM107:BM111)</f>
        <v>0</v>
      </c>
      <c r="BN112" s="82" t="n">
        <f aca="false">SUM(BN107:BN111)</f>
        <v>0</v>
      </c>
      <c r="BO112" s="82" t="n">
        <f aca="false">SUM(BO107:BO111)</f>
        <v>0</v>
      </c>
      <c r="BP112" s="83" t="n">
        <f aca="false">SUM(BP107:BP111)</f>
        <v>0</v>
      </c>
      <c r="BQ112" s="82" t="n">
        <f aca="false">SUM(BQ107:BQ111)</f>
        <v>0</v>
      </c>
      <c r="BR112" s="82" t="n">
        <f aca="false">SUM(BR107:BR111)</f>
        <v>0</v>
      </c>
      <c r="BS112" s="82" t="n">
        <f aca="false">SUM(BS107:BS111)</f>
        <v>0</v>
      </c>
      <c r="BT112" s="82" t="n">
        <f aca="false">SUM(BT107:BT111)</f>
        <v>0</v>
      </c>
      <c r="BU112" s="82" t="n">
        <f aca="false">SUM(BU107:BU111)</f>
        <v>0</v>
      </c>
      <c r="BV112" s="82" t="n">
        <f aca="false">SUM(BV107:BV111)</f>
        <v>0</v>
      </c>
      <c r="BW112" s="82" t="n">
        <f aca="false">SUM(BW107:BW111)</f>
        <v>0</v>
      </c>
      <c r="BX112" s="82" t="n">
        <f aca="false">SUM(BX107:BX111)</f>
        <v>0</v>
      </c>
      <c r="BY112" s="82" t="n">
        <f aca="false">SUM(BY107:BY111)</f>
        <v>0</v>
      </c>
      <c r="BZ112" s="82" t="n">
        <f aca="false">SUM(BZ107:BZ111)</f>
        <v>0</v>
      </c>
      <c r="CA112" s="84" t="n">
        <f aca="false">SUM(CA107:CA111)</f>
        <v>0</v>
      </c>
      <c r="CC112" s="84" t="n">
        <f aca="false">SUM(CC107:CC111)</f>
        <v>0</v>
      </c>
      <c r="CD112" s="84" t="n">
        <f aca="false">SUM(CD107:CD111)</f>
        <v>0</v>
      </c>
      <c r="CE112" s="84" t="n">
        <f aca="false">SUM(CE107:CE111)</f>
        <v>0</v>
      </c>
      <c r="CF112" s="84" t="n">
        <f aca="false">SUM(CF107:CF111)</f>
        <v>0</v>
      </c>
      <c r="CG112" s="84" t="n">
        <f aca="false">SUM(CG107:CG111)</f>
        <v>0</v>
      </c>
      <c r="CI112" s="84" t="n">
        <f aca="false">CC112=L112</f>
        <v>1</v>
      </c>
      <c r="CJ112" s="84" t="n">
        <f aca="false">CD112=M112</f>
        <v>1</v>
      </c>
      <c r="CK112" s="84" t="n">
        <f aca="false">CE112=N112</f>
        <v>1</v>
      </c>
      <c r="CL112" s="84" t="n">
        <f aca="false">CF112=O112</f>
        <v>1</v>
      </c>
      <c r="CM112" s="84" t="n">
        <f aca="false">CG112=P112</f>
        <v>1</v>
      </c>
    </row>
    <row r="113" s="14" customFormat="true" ht="16.5" hidden="false" customHeight="true" outlineLevel="0" collapsed="false">
      <c r="E113" s="96"/>
      <c r="H113" s="29"/>
      <c r="I113" s="105"/>
      <c r="J113" s="105"/>
      <c r="K113" s="105"/>
      <c r="L113" s="105"/>
      <c r="M113" s="105"/>
      <c r="N113" s="105"/>
      <c r="O113" s="105"/>
      <c r="P113" s="105"/>
      <c r="Q113" s="16"/>
      <c r="R113" s="16"/>
      <c r="T113" s="82"/>
      <c r="U113" s="82"/>
      <c r="V113" s="82"/>
      <c r="W113" s="82"/>
      <c r="X113" s="82"/>
      <c r="Y113" s="82"/>
      <c r="Z113" s="82"/>
      <c r="AA113" s="82"/>
      <c r="AB113" s="82"/>
      <c r="AC113" s="82"/>
      <c r="AD113" s="82"/>
      <c r="AE113" s="82"/>
      <c r="AF113" s="83"/>
      <c r="AG113" s="82"/>
      <c r="AH113" s="82"/>
      <c r="AI113" s="82"/>
      <c r="AJ113" s="82"/>
      <c r="AK113" s="82"/>
      <c r="AL113" s="82"/>
      <c r="AM113" s="82"/>
      <c r="AN113" s="82"/>
      <c r="AO113" s="82"/>
      <c r="AP113" s="82"/>
      <c r="AQ113" s="82"/>
      <c r="AR113" s="83"/>
      <c r="AS113" s="82"/>
      <c r="AT113" s="82"/>
      <c r="AU113" s="82"/>
      <c r="AV113" s="82"/>
      <c r="AW113" s="82"/>
      <c r="AX113" s="82"/>
      <c r="AY113" s="82"/>
      <c r="AZ113" s="82"/>
      <c r="BA113" s="82"/>
      <c r="BB113" s="82"/>
      <c r="BC113" s="82"/>
      <c r="BD113" s="83"/>
      <c r="BE113" s="82"/>
      <c r="BF113" s="82"/>
      <c r="BG113" s="82"/>
      <c r="BH113" s="82"/>
      <c r="BI113" s="82"/>
      <c r="BJ113" s="82"/>
      <c r="BK113" s="82"/>
      <c r="BL113" s="82"/>
      <c r="BM113" s="82"/>
      <c r="BN113" s="82"/>
      <c r="BO113" s="82"/>
      <c r="BP113" s="83"/>
      <c r="BQ113" s="82"/>
      <c r="BR113" s="82"/>
      <c r="BS113" s="82"/>
      <c r="BT113" s="82"/>
      <c r="BU113" s="82"/>
      <c r="BV113" s="82"/>
      <c r="BW113" s="82"/>
      <c r="BX113" s="82"/>
      <c r="BY113" s="82"/>
      <c r="BZ113" s="82"/>
      <c r="CA113" s="84"/>
      <c r="CC113" s="84"/>
      <c r="CD113" s="84"/>
      <c r="CE113" s="84"/>
      <c r="CF113" s="84"/>
      <c r="CG113" s="84"/>
      <c r="CI113" s="84"/>
      <c r="CJ113" s="84"/>
      <c r="CK113" s="84"/>
      <c r="CL113" s="84"/>
      <c r="CM113" s="84"/>
    </row>
    <row r="114" s="14" customFormat="true" ht="16.5" hidden="false" customHeight="true" outlineLevel="0" collapsed="false">
      <c r="E114" s="85"/>
      <c r="I114" s="104"/>
      <c r="J114" s="104"/>
      <c r="K114" s="104"/>
      <c r="L114" s="104"/>
      <c r="M114" s="104"/>
      <c r="N114" s="104"/>
      <c r="O114" s="104"/>
      <c r="P114" s="104"/>
      <c r="Q114" s="16"/>
      <c r="R114" s="16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9"/>
      <c r="AG114" s="88"/>
      <c r="AH114" s="88"/>
      <c r="AI114" s="88"/>
      <c r="AJ114" s="88"/>
      <c r="AK114" s="88"/>
      <c r="AL114" s="88"/>
      <c r="AM114" s="88"/>
      <c r="AN114" s="88"/>
      <c r="AO114" s="88"/>
      <c r="AP114" s="88"/>
      <c r="AQ114" s="88"/>
      <c r="AR114" s="89"/>
      <c r="AS114" s="88"/>
      <c r="AT114" s="88"/>
      <c r="AU114" s="88"/>
      <c r="AV114" s="88"/>
      <c r="AW114" s="88"/>
      <c r="AX114" s="88"/>
      <c r="AY114" s="88"/>
      <c r="AZ114" s="88"/>
      <c r="BA114" s="88"/>
      <c r="BB114" s="88"/>
      <c r="BC114" s="88"/>
      <c r="BD114" s="89"/>
      <c r="BE114" s="88"/>
      <c r="BF114" s="88"/>
      <c r="BG114" s="88"/>
      <c r="BH114" s="88"/>
      <c r="BI114" s="88"/>
      <c r="BJ114" s="88"/>
      <c r="BK114" s="88"/>
      <c r="BL114" s="88"/>
      <c r="BM114" s="88"/>
      <c r="BN114" s="88"/>
      <c r="BO114" s="88"/>
      <c r="BP114" s="89"/>
      <c r="BQ114" s="88"/>
      <c r="BR114" s="88"/>
      <c r="BS114" s="88"/>
      <c r="BT114" s="88"/>
      <c r="BU114" s="88"/>
      <c r="BV114" s="88"/>
      <c r="BW114" s="88"/>
      <c r="BX114" s="88"/>
      <c r="BY114" s="88"/>
      <c r="BZ114" s="88"/>
      <c r="CA114" s="90"/>
      <c r="CC114" s="90"/>
      <c r="CD114" s="90"/>
      <c r="CE114" s="90"/>
      <c r="CF114" s="90"/>
      <c r="CG114" s="90"/>
      <c r="CI114" s="90"/>
      <c r="CJ114" s="90"/>
      <c r="CK114" s="90"/>
      <c r="CL114" s="90"/>
      <c r="CM114" s="90"/>
    </row>
    <row r="115" s="14" customFormat="true" ht="16.5" hidden="false" customHeight="true" outlineLevel="0" collapsed="false">
      <c r="E115" s="109" t="s">
        <v>140</v>
      </c>
      <c r="F115" s="109"/>
      <c r="G115" s="109"/>
      <c r="H115" s="109"/>
      <c r="I115" s="215" t="n">
        <f aca="false">SUM(-I96, I104, I112)</f>
        <v>0</v>
      </c>
      <c r="J115" s="215" t="n">
        <f aca="false">SUM(-J96, J104, J112)</f>
        <v>0</v>
      </c>
      <c r="K115" s="215" t="n">
        <f aca="false">SUM(-K96, K104, K112)</f>
        <v>0</v>
      </c>
      <c r="L115" s="215" t="n">
        <f aca="false">SUM(-L96, L104, L112)</f>
        <v>0</v>
      </c>
      <c r="M115" s="215" t="n">
        <f aca="false">SUM(-M96, M104, M112)</f>
        <v>0</v>
      </c>
      <c r="N115" s="215" t="n">
        <f aca="false">SUM(-N96, N104, N112)</f>
        <v>0</v>
      </c>
      <c r="O115" s="215" t="n">
        <f aca="false">SUM(-O96, O104, O112)</f>
        <v>0</v>
      </c>
      <c r="P115" s="215" t="n">
        <f aca="false">SUM(-P96, P104, P112)</f>
        <v>0</v>
      </c>
      <c r="Q115" s="16"/>
      <c r="R115" s="16"/>
      <c r="T115" s="120" t="n">
        <f aca="false">SUM(-T96, T104, T112)</f>
        <v>0</v>
      </c>
      <c r="U115" s="120" t="n">
        <f aca="false">SUM(-U96, U104, U112)</f>
        <v>0</v>
      </c>
      <c r="V115" s="120" t="n">
        <f aca="false">SUM(-V96, V104, V112)</f>
        <v>0</v>
      </c>
      <c r="W115" s="120" t="n">
        <f aca="false">SUM(-W96, W104, W112)</f>
        <v>0</v>
      </c>
      <c r="X115" s="120" t="n">
        <f aca="false">SUM(-X96, X104, X112)</f>
        <v>0</v>
      </c>
      <c r="Y115" s="120" t="n">
        <f aca="false">SUM(-Y96, Y104, Y112)</f>
        <v>0</v>
      </c>
      <c r="Z115" s="120" t="n">
        <f aca="false">SUM(-Z96, Z104, Z112)</f>
        <v>0</v>
      </c>
      <c r="AA115" s="120" t="n">
        <f aca="false">SUM(-AA96, AA104, AA112)</f>
        <v>0</v>
      </c>
      <c r="AB115" s="120" t="n">
        <f aca="false">SUM(-AB96, AB104, AB112)</f>
        <v>0</v>
      </c>
      <c r="AC115" s="120" t="n">
        <f aca="false">SUM(-AC96, AC104, AC112)</f>
        <v>0</v>
      </c>
      <c r="AD115" s="120" t="n">
        <f aca="false">SUM(-AD96, AD104, AD112)</f>
        <v>0</v>
      </c>
      <c r="AE115" s="120" t="n">
        <f aca="false">SUM(-AE96, AE104, AE112)</f>
        <v>0</v>
      </c>
      <c r="AF115" s="120" t="n">
        <f aca="false">SUM(-AF96, AF104, AF112)</f>
        <v>0</v>
      </c>
      <c r="AG115" s="120" t="n">
        <f aca="false">SUM(-AG96, AG104, AG112)</f>
        <v>0</v>
      </c>
      <c r="AH115" s="120" t="n">
        <f aca="false">SUM(-AH96, AH104, AH112)</f>
        <v>0</v>
      </c>
      <c r="AI115" s="120" t="n">
        <f aca="false">SUM(-AI96, AI104, AI112)</f>
        <v>0</v>
      </c>
      <c r="AJ115" s="120" t="n">
        <f aca="false">SUM(-AJ96, AJ104, AJ112)</f>
        <v>0</v>
      </c>
      <c r="AK115" s="120" t="n">
        <f aca="false">SUM(-AK96, AK104, AK112)</f>
        <v>0</v>
      </c>
      <c r="AL115" s="120" t="n">
        <f aca="false">SUM(-AL96, AL104, AL112)</f>
        <v>0</v>
      </c>
      <c r="AM115" s="120" t="n">
        <f aca="false">SUM(-AM96, AM104, AM112)</f>
        <v>0</v>
      </c>
      <c r="AN115" s="120" t="n">
        <f aca="false">SUM(-AN96, AN104, AN112)</f>
        <v>0</v>
      </c>
      <c r="AO115" s="120" t="n">
        <f aca="false">SUM(-AO96, AO104, AO112)</f>
        <v>0</v>
      </c>
      <c r="AP115" s="120" t="n">
        <f aca="false">SUM(-AP96, AP104, AP112)</f>
        <v>0</v>
      </c>
      <c r="AQ115" s="120" t="n">
        <f aca="false">SUM(-AQ96, AQ104, AQ112)</f>
        <v>0</v>
      </c>
      <c r="AR115" s="120" t="n">
        <f aca="false">SUM(-AR96, AR104, AR112)</f>
        <v>0</v>
      </c>
      <c r="AS115" s="120" t="n">
        <f aca="false">SUM(-AS96, AS104, AS112)</f>
        <v>0</v>
      </c>
      <c r="AT115" s="120" t="n">
        <f aca="false">SUM(-AT96, AT104, AT112)</f>
        <v>0</v>
      </c>
      <c r="AU115" s="120" t="n">
        <f aca="false">SUM(-AU96, AU104, AU112)</f>
        <v>0</v>
      </c>
      <c r="AV115" s="120" t="n">
        <f aca="false">SUM(-AV96, AV104, AV112)</f>
        <v>0</v>
      </c>
      <c r="AW115" s="120" t="n">
        <f aca="false">SUM(-AW96, AW104, AW112)</f>
        <v>0</v>
      </c>
      <c r="AX115" s="120" t="n">
        <f aca="false">SUM(-AX96, AX104, AX112)</f>
        <v>0</v>
      </c>
      <c r="AY115" s="120" t="n">
        <f aca="false">SUM(-AY96, AY104, AY112)</f>
        <v>0</v>
      </c>
      <c r="AZ115" s="120" t="n">
        <f aca="false">SUM(-AZ96, AZ104, AZ112)</f>
        <v>0</v>
      </c>
      <c r="BA115" s="120" t="n">
        <f aca="false">SUM(-BA96, BA104, BA112)</f>
        <v>0</v>
      </c>
      <c r="BB115" s="120" t="n">
        <f aca="false">SUM(-BB96, BB104, BB112)</f>
        <v>0</v>
      </c>
      <c r="BC115" s="120" t="n">
        <f aca="false">SUM(-BC96, BC104, BC112)</f>
        <v>0</v>
      </c>
      <c r="BD115" s="120" t="n">
        <f aca="false">SUM(-BD96, BD104, BD112)</f>
        <v>0</v>
      </c>
      <c r="BE115" s="120" t="n">
        <f aca="false">SUM(-BE96, BE104, BE112)</f>
        <v>0</v>
      </c>
      <c r="BF115" s="120" t="n">
        <f aca="false">SUM(-BF96, BF104, BF112)</f>
        <v>0</v>
      </c>
      <c r="BG115" s="120" t="n">
        <f aca="false">SUM(-BG96, BG104, BG112)</f>
        <v>0</v>
      </c>
      <c r="BH115" s="120" t="n">
        <f aca="false">SUM(-BH96, BH104, BH112)</f>
        <v>0</v>
      </c>
      <c r="BI115" s="120" t="n">
        <f aca="false">SUM(-BI96, BI104, BI112)</f>
        <v>0</v>
      </c>
      <c r="BJ115" s="120" t="n">
        <f aca="false">SUM(-BJ96, BJ104, BJ112)</f>
        <v>0</v>
      </c>
      <c r="BK115" s="120" t="n">
        <f aca="false">SUM(-BK96, BK104, BK112)</f>
        <v>0</v>
      </c>
      <c r="BL115" s="120" t="n">
        <f aca="false">SUM(-BL96, BL104, BL112)</f>
        <v>0</v>
      </c>
      <c r="BM115" s="120" t="n">
        <f aca="false">SUM(-BM96, BM104, BM112)</f>
        <v>0</v>
      </c>
      <c r="BN115" s="120" t="n">
        <f aca="false">SUM(-BN96, BN104, BN112)</f>
        <v>0</v>
      </c>
      <c r="BO115" s="120" t="n">
        <f aca="false">SUM(-BO96, BO104, BO112)</f>
        <v>0</v>
      </c>
      <c r="BP115" s="120" t="n">
        <f aca="false">SUM(-BP96, BP104, BP112)</f>
        <v>0</v>
      </c>
      <c r="BQ115" s="120" t="n">
        <f aca="false">SUM(-BQ96, BQ104, BQ112)</f>
        <v>0</v>
      </c>
      <c r="BR115" s="120" t="n">
        <f aca="false">SUM(-BR96, BR104, BR112)</f>
        <v>0</v>
      </c>
      <c r="BS115" s="120" t="n">
        <f aca="false">SUM(-BS96, BS104, BS112)</f>
        <v>0</v>
      </c>
      <c r="BT115" s="120" t="n">
        <f aca="false">SUM(-BT96, BT104, BT112)</f>
        <v>0</v>
      </c>
      <c r="BU115" s="120" t="n">
        <f aca="false">SUM(-BU96, BU104, BU112)</f>
        <v>0</v>
      </c>
      <c r="BV115" s="120" t="n">
        <f aca="false">SUM(-BV96, BV104, BV112)</f>
        <v>0</v>
      </c>
      <c r="BW115" s="120" t="n">
        <f aca="false">SUM(-BW96, BW104, BW112)</f>
        <v>0</v>
      </c>
      <c r="BX115" s="120" t="n">
        <f aca="false">SUM(-BX96, BX104, BX112)</f>
        <v>0</v>
      </c>
      <c r="BY115" s="120" t="n">
        <f aca="false">SUM(-BY96, BY104, BY112)</f>
        <v>0</v>
      </c>
      <c r="BZ115" s="120" t="n">
        <f aca="false">SUM(-BZ96, BZ104, BZ112)</f>
        <v>0</v>
      </c>
      <c r="CA115" s="120" t="n">
        <f aca="false">SUM(-CA96, CA104, CA112)</f>
        <v>0</v>
      </c>
      <c r="CC115" s="120" t="n">
        <f aca="false">SUM(-CC96, CC104, CC112)</f>
        <v>0</v>
      </c>
      <c r="CD115" s="120" t="n">
        <f aca="false">SUM(-CD96, CD104, CD112)</f>
        <v>0</v>
      </c>
      <c r="CE115" s="120" t="n">
        <f aca="false">SUM(-CE96, CE104, CE112)</f>
        <v>0</v>
      </c>
      <c r="CF115" s="120" t="n">
        <f aca="false">SUM(-CF96, CF104, CF112)</f>
        <v>0</v>
      </c>
      <c r="CG115" s="120" t="n">
        <f aca="false">SUM(-CG96, CG104, CG112)</f>
        <v>0</v>
      </c>
      <c r="CI115" s="113" t="n">
        <f aca="false">CC115=L115</f>
        <v>1</v>
      </c>
      <c r="CJ115" s="113" t="n">
        <f aca="false">CD115=M115</f>
        <v>1</v>
      </c>
      <c r="CK115" s="113" t="n">
        <f aca="false">CE115=N115</f>
        <v>1</v>
      </c>
      <c r="CL115" s="113" t="n">
        <f aca="false">CF115=O115</f>
        <v>1</v>
      </c>
      <c r="CM115" s="113" t="n">
        <f aca="false">CG115=P115</f>
        <v>1</v>
      </c>
    </row>
    <row r="116" s="14" customFormat="true" ht="17.25" hidden="false" customHeight="true" outlineLevel="0" collapsed="false">
      <c r="E116" s="21"/>
      <c r="I116" s="216"/>
      <c r="J116" s="216"/>
      <c r="K116" s="216"/>
      <c r="L116" s="216"/>
      <c r="M116" s="216"/>
      <c r="N116" s="216"/>
      <c r="O116" s="216"/>
      <c r="P116" s="216"/>
      <c r="Q116" s="16"/>
      <c r="R116" s="16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  <c r="AP116" s="88"/>
      <c r="AQ116" s="88"/>
      <c r="AR116" s="88"/>
      <c r="AS116" s="88"/>
      <c r="AT116" s="88"/>
      <c r="AU116" s="88"/>
      <c r="AV116" s="88"/>
      <c r="AW116" s="88"/>
      <c r="AX116" s="88"/>
      <c r="AY116" s="88"/>
      <c r="AZ116" s="88"/>
      <c r="BA116" s="88"/>
      <c r="BB116" s="88"/>
      <c r="BC116" s="88"/>
      <c r="BD116" s="88"/>
      <c r="BE116" s="88"/>
      <c r="BF116" s="88"/>
      <c r="BG116" s="88"/>
      <c r="BH116" s="88"/>
      <c r="BI116" s="88"/>
      <c r="BJ116" s="88"/>
      <c r="BK116" s="88"/>
      <c r="BL116" s="88"/>
      <c r="BM116" s="88"/>
      <c r="BN116" s="88"/>
      <c r="BO116" s="88"/>
      <c r="BP116" s="88"/>
      <c r="BQ116" s="88"/>
      <c r="BR116" s="88"/>
      <c r="BS116" s="88"/>
      <c r="BT116" s="88"/>
      <c r="BU116" s="88"/>
      <c r="BV116" s="88"/>
      <c r="BW116" s="88"/>
      <c r="BX116" s="88"/>
      <c r="BY116" s="88"/>
      <c r="BZ116" s="88"/>
      <c r="CA116" s="121"/>
    </row>
    <row r="117" s="14" customFormat="true" ht="17.25" hidden="false" customHeight="true" outlineLevel="0" collapsed="false">
      <c r="E117" s="122" t="s">
        <v>141</v>
      </c>
      <c r="F117" s="123"/>
      <c r="G117" s="123"/>
      <c r="H117" s="123"/>
      <c r="I117" s="217" t="n">
        <f aca="false">SUM(I88, -I115)</f>
        <v>0</v>
      </c>
      <c r="J117" s="217" t="n">
        <f aca="false">SUM(J88, -J115)</f>
        <v>0</v>
      </c>
      <c r="K117" s="218" t="n">
        <f aca="false">SUM(K88, -K115)</f>
        <v>0</v>
      </c>
      <c r="L117" s="217" t="n">
        <f aca="false">SUM(L88, -L115)</f>
        <v>0</v>
      </c>
      <c r="M117" s="217" t="n">
        <f aca="false">SUM(M88, -M115)</f>
        <v>0</v>
      </c>
      <c r="N117" s="217" t="n">
        <f aca="false">SUM(N88, -N115)</f>
        <v>0</v>
      </c>
      <c r="O117" s="217" t="n">
        <f aca="false">SUM(O88, -O115)</f>
        <v>0</v>
      </c>
      <c r="P117" s="217" t="n">
        <f aca="false">SUM(P88, -P115)</f>
        <v>0</v>
      </c>
      <c r="Q117" s="16"/>
      <c r="R117" s="16" t="str">
        <f aca="false">IF(K117=P117, "", "Error")</f>
        <v/>
      </c>
      <c r="T117" s="125" t="n">
        <f aca="false">SUM(T88, -T115)</f>
        <v>0</v>
      </c>
      <c r="U117" s="125" t="n">
        <f aca="false">SUM(U88, -U115)</f>
        <v>0</v>
      </c>
      <c r="V117" s="125" t="n">
        <f aca="false">SUM(V88, -V115)</f>
        <v>0</v>
      </c>
      <c r="W117" s="125" t="n">
        <f aca="false">SUM(W88, -W115)</f>
        <v>0</v>
      </c>
      <c r="X117" s="125" t="n">
        <f aca="false">SUM(X88, -X115)</f>
        <v>0</v>
      </c>
      <c r="Y117" s="125" t="n">
        <f aca="false">SUM(Y88, -Y115)</f>
        <v>0</v>
      </c>
      <c r="Z117" s="125" t="n">
        <f aca="false">SUM(Z88, -Z115)</f>
        <v>0</v>
      </c>
      <c r="AA117" s="125" t="n">
        <f aca="false">SUM(AA88, -AA115)</f>
        <v>0</v>
      </c>
      <c r="AB117" s="125" t="n">
        <f aca="false">SUM(AB88, -AB115)</f>
        <v>0</v>
      </c>
      <c r="AC117" s="125" t="n">
        <f aca="false">SUM(AC88, -AC115)</f>
        <v>0</v>
      </c>
      <c r="AD117" s="125" t="n">
        <f aca="false">SUM(AD88, -AD115)</f>
        <v>0</v>
      </c>
      <c r="AE117" s="125" t="n">
        <f aca="false">SUM(AE88, -AE115)</f>
        <v>0</v>
      </c>
      <c r="AF117" s="125" t="n">
        <f aca="false">SUM(AF88, -AF115)</f>
        <v>0</v>
      </c>
      <c r="AG117" s="125" t="n">
        <f aca="false">SUM(AG88, -AG115)</f>
        <v>0</v>
      </c>
      <c r="AH117" s="125" t="n">
        <f aca="false">SUM(AH88, -AH115)</f>
        <v>0</v>
      </c>
      <c r="AI117" s="125" t="n">
        <f aca="false">SUM(AI88, -AI115)</f>
        <v>0</v>
      </c>
      <c r="AJ117" s="125" t="n">
        <f aca="false">SUM(AJ88, -AJ115)</f>
        <v>0</v>
      </c>
      <c r="AK117" s="125" t="n">
        <f aca="false">SUM(AK88, -AK115)</f>
        <v>0</v>
      </c>
      <c r="AL117" s="125" t="n">
        <f aca="false">SUM(AL88, -AL115)</f>
        <v>0</v>
      </c>
      <c r="AM117" s="125" t="n">
        <f aca="false">SUM(AM88, -AM115)</f>
        <v>0</v>
      </c>
      <c r="AN117" s="125" t="n">
        <f aca="false">SUM(AN88, -AN115)</f>
        <v>0</v>
      </c>
      <c r="AO117" s="125" t="n">
        <f aca="false">SUM(AO88, -AO115)</f>
        <v>0</v>
      </c>
      <c r="AP117" s="125" t="n">
        <f aca="false">SUM(AP88, -AP115)</f>
        <v>0</v>
      </c>
      <c r="AQ117" s="125" t="n">
        <f aca="false">SUM(AQ88, -AQ115)</f>
        <v>0</v>
      </c>
      <c r="AR117" s="125" t="n">
        <f aca="false">SUM(AR88, -AR115)</f>
        <v>0</v>
      </c>
      <c r="AS117" s="125" t="n">
        <f aca="false">SUM(AS88, -AS115)</f>
        <v>0</v>
      </c>
      <c r="AT117" s="125" t="n">
        <f aca="false">SUM(AT88, -AT115)</f>
        <v>0</v>
      </c>
      <c r="AU117" s="125" t="n">
        <f aca="false">SUM(AU88, -AU115)</f>
        <v>0</v>
      </c>
      <c r="AV117" s="125" t="n">
        <f aca="false">SUM(AV88, -AV115)</f>
        <v>0</v>
      </c>
      <c r="AW117" s="125" t="n">
        <f aca="false">SUM(AW88, -AW115)</f>
        <v>0</v>
      </c>
      <c r="AX117" s="125" t="n">
        <f aca="false">SUM(AX88, -AX115)</f>
        <v>0</v>
      </c>
      <c r="AY117" s="125" t="n">
        <f aca="false">SUM(AY88, -AY115)</f>
        <v>0</v>
      </c>
      <c r="AZ117" s="125" t="n">
        <f aca="false">SUM(AZ88, -AZ115)</f>
        <v>0</v>
      </c>
      <c r="BA117" s="125" t="n">
        <f aca="false">SUM(BA88, -BA115)</f>
        <v>0</v>
      </c>
      <c r="BB117" s="125" t="n">
        <f aca="false">SUM(BB88, -BB115)</f>
        <v>0</v>
      </c>
      <c r="BC117" s="125" t="n">
        <f aca="false">SUM(BC88, -BC115)</f>
        <v>0</v>
      </c>
      <c r="BD117" s="125" t="n">
        <f aca="false">SUM(BD88, -BD115)</f>
        <v>0</v>
      </c>
      <c r="BE117" s="125" t="n">
        <f aca="false">SUM(BE88, -BE115)</f>
        <v>0</v>
      </c>
      <c r="BF117" s="125" t="n">
        <f aca="false">SUM(BF88, -BF115)</f>
        <v>0</v>
      </c>
      <c r="BG117" s="125" t="n">
        <f aca="false">SUM(BG88, -BG115)</f>
        <v>0</v>
      </c>
      <c r="BH117" s="125" t="n">
        <f aca="false">SUM(BH88, -BH115)</f>
        <v>0</v>
      </c>
      <c r="BI117" s="125" t="n">
        <f aca="false">SUM(BI88, -BI115)</f>
        <v>0</v>
      </c>
      <c r="BJ117" s="125" t="n">
        <f aca="false">SUM(BJ88, -BJ115)</f>
        <v>0</v>
      </c>
      <c r="BK117" s="125" t="n">
        <f aca="false">SUM(BK88, -BK115)</f>
        <v>0</v>
      </c>
      <c r="BL117" s="125" t="n">
        <f aca="false">SUM(BL88, -BL115)</f>
        <v>0</v>
      </c>
      <c r="BM117" s="125" t="n">
        <f aca="false">SUM(BM88, -BM115)</f>
        <v>0</v>
      </c>
      <c r="BN117" s="125" t="n">
        <f aca="false">SUM(BN88, -BN115)</f>
        <v>0</v>
      </c>
      <c r="BO117" s="125" t="n">
        <f aca="false">SUM(BO88, -BO115)</f>
        <v>0</v>
      </c>
      <c r="BP117" s="125" t="n">
        <f aca="false">SUM(BP88, -BP115)</f>
        <v>0</v>
      </c>
      <c r="BQ117" s="125" t="n">
        <f aca="false">SUM(BQ88, -BQ115)</f>
        <v>0</v>
      </c>
      <c r="BR117" s="125" t="n">
        <f aca="false">SUM(BR88, -BR115)</f>
        <v>0</v>
      </c>
      <c r="BS117" s="125" t="n">
        <f aca="false">SUM(BS88, -BS115)</f>
        <v>0</v>
      </c>
      <c r="BT117" s="125" t="n">
        <f aca="false">SUM(BT88, -BT115)</f>
        <v>0</v>
      </c>
      <c r="BU117" s="125" t="n">
        <f aca="false">SUM(BU88, -BU115)</f>
        <v>0</v>
      </c>
      <c r="BV117" s="125" t="n">
        <f aca="false">SUM(BV88, -BV115)</f>
        <v>0</v>
      </c>
      <c r="BW117" s="125" t="n">
        <f aca="false">SUM(BW88, -BW115)</f>
        <v>0</v>
      </c>
      <c r="BX117" s="125" t="n">
        <f aca="false">SUM(BX88, -BX115)</f>
        <v>0</v>
      </c>
      <c r="BY117" s="125" t="n">
        <f aca="false">SUM(BY88, -BY115)</f>
        <v>0</v>
      </c>
      <c r="BZ117" s="125" t="n">
        <f aca="false">SUM(BZ88, -BZ115)</f>
        <v>0</v>
      </c>
      <c r="CA117" s="126" t="n">
        <f aca="false">SUM(CA88, -CA115)</f>
        <v>0</v>
      </c>
      <c r="CC117" s="126" t="n">
        <f aca="false">SUM(CC88, -CC115)</f>
        <v>0</v>
      </c>
      <c r="CD117" s="126" t="n">
        <f aca="false">SUM(CD88, -CD115)</f>
        <v>0</v>
      </c>
      <c r="CE117" s="126" t="n">
        <f aca="false">SUM(CE88, -CE115)</f>
        <v>0</v>
      </c>
      <c r="CF117" s="126" t="n">
        <f aca="false">SUM(CF88, -CF115)</f>
        <v>0</v>
      </c>
      <c r="CG117" s="126" t="n">
        <f aca="false">SUM(CG88, -CG115)</f>
        <v>0</v>
      </c>
      <c r="CI117" s="126" t="n">
        <f aca="false">CC117=L117</f>
        <v>1</v>
      </c>
      <c r="CJ117" s="126" t="n">
        <f aca="false">CD117=M117</f>
        <v>1</v>
      </c>
      <c r="CK117" s="126" t="n">
        <f aca="false">CE117=N117</f>
        <v>1</v>
      </c>
      <c r="CL117" s="126" t="n">
        <f aca="false">CF117=O117</f>
        <v>1</v>
      </c>
      <c r="CM117" s="126" t="n">
        <f aca="false">CG117=P117</f>
        <v>1</v>
      </c>
    </row>
    <row r="118" s="14" customFormat="true" ht="17.25" hidden="false" customHeight="true" outlineLevel="0" collapsed="false">
      <c r="K118" s="127"/>
      <c r="Q118" s="16"/>
      <c r="R118" s="16"/>
    </row>
    <row r="119" s="14" customFormat="true" ht="17.25" hidden="false" customHeight="true" outlineLevel="0" collapsed="false">
      <c r="E119" s="128"/>
      <c r="Q119" s="16"/>
      <c r="R119" s="16"/>
    </row>
    <row r="120" s="14" customFormat="true" ht="16.5" hidden="false" customHeight="true" outlineLevel="0" collapsed="false">
      <c r="C120" s="19" t="s">
        <v>142</v>
      </c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20"/>
      <c r="R120" s="20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  <c r="AS120" s="19"/>
      <c r="AT120" s="19"/>
      <c r="AU120" s="19"/>
      <c r="AV120" s="19"/>
      <c r="AW120" s="19"/>
      <c r="AX120" s="19"/>
      <c r="AY120" s="19"/>
      <c r="AZ120" s="19"/>
      <c r="BA120" s="19"/>
      <c r="BB120" s="19"/>
      <c r="BC120" s="19"/>
      <c r="BD120" s="19"/>
      <c r="BE120" s="19"/>
      <c r="BF120" s="19"/>
      <c r="BG120" s="19"/>
      <c r="BH120" s="19"/>
      <c r="BI120" s="19"/>
      <c r="BJ120" s="19"/>
      <c r="BK120" s="19"/>
      <c r="BL120" s="19"/>
      <c r="BM120" s="19"/>
      <c r="BN120" s="19"/>
      <c r="BO120" s="19"/>
      <c r="BP120" s="19"/>
      <c r="BQ120" s="19"/>
      <c r="BR120" s="19"/>
      <c r="BS120" s="19"/>
      <c r="BT120" s="19"/>
      <c r="BU120" s="19"/>
      <c r="BV120" s="19"/>
      <c r="BW120" s="19"/>
      <c r="BX120" s="19"/>
      <c r="BY120" s="19"/>
      <c r="BZ120" s="19"/>
      <c r="CA120" s="19"/>
      <c r="CC120" s="19" t="s">
        <v>117</v>
      </c>
      <c r="CD120" s="19"/>
      <c r="CE120" s="19"/>
      <c r="CF120" s="19"/>
      <c r="CG120" s="19"/>
      <c r="CI120" s="19" t="s">
        <v>118</v>
      </c>
      <c r="CJ120" s="19"/>
      <c r="CK120" s="19"/>
      <c r="CL120" s="19"/>
      <c r="CM120" s="19"/>
    </row>
    <row r="121" s="14" customFormat="true" ht="16.5" hidden="false" customHeight="true" outlineLevel="0" collapsed="false">
      <c r="Q121" s="16"/>
      <c r="R121" s="16"/>
    </row>
    <row r="122" s="14" customFormat="true" ht="16.5" hidden="false" customHeight="true" outlineLevel="0" collapsed="false">
      <c r="Q122" s="16"/>
      <c r="R122" s="16"/>
      <c r="T122" s="62" t="n">
        <v>2026</v>
      </c>
      <c r="U122" s="129"/>
      <c r="V122" s="129"/>
      <c r="W122" s="129"/>
      <c r="X122" s="129"/>
      <c r="Y122" s="129"/>
      <c r="Z122" s="129"/>
      <c r="AA122" s="129"/>
      <c r="AB122" s="129"/>
      <c r="AC122" s="129"/>
      <c r="AD122" s="129"/>
      <c r="AE122" s="129"/>
      <c r="AF122" s="62" t="n">
        <v>2027</v>
      </c>
      <c r="AG122" s="129"/>
      <c r="AH122" s="129"/>
      <c r="AI122" s="129"/>
      <c r="AJ122" s="129"/>
      <c r="AK122" s="129"/>
      <c r="AL122" s="129"/>
      <c r="AM122" s="129"/>
      <c r="AN122" s="129"/>
      <c r="AO122" s="129"/>
      <c r="AP122" s="129"/>
      <c r="AQ122" s="129"/>
      <c r="AR122" s="62" t="n">
        <v>2028</v>
      </c>
      <c r="AS122" s="129"/>
      <c r="AT122" s="129"/>
      <c r="AU122" s="129"/>
      <c r="AV122" s="129"/>
      <c r="AW122" s="129"/>
      <c r="AX122" s="129"/>
      <c r="AY122" s="129"/>
      <c r="AZ122" s="129"/>
      <c r="BA122" s="129"/>
      <c r="BB122" s="129"/>
      <c r="BC122" s="129"/>
      <c r="BD122" s="62" t="n">
        <v>2029</v>
      </c>
      <c r="BE122" s="129"/>
      <c r="BF122" s="129"/>
      <c r="BG122" s="129"/>
      <c r="BH122" s="129"/>
      <c r="BI122" s="129"/>
      <c r="BJ122" s="129"/>
      <c r="BK122" s="129"/>
      <c r="BL122" s="129"/>
      <c r="BM122" s="129"/>
      <c r="BN122" s="129"/>
      <c r="BO122" s="129"/>
      <c r="BP122" s="62" t="n">
        <v>2030</v>
      </c>
      <c r="BQ122" s="130"/>
      <c r="BR122" s="130"/>
      <c r="BS122" s="130"/>
      <c r="BT122" s="130"/>
      <c r="BU122" s="130"/>
      <c r="BV122" s="130"/>
      <c r="BW122" s="130"/>
      <c r="BX122" s="130"/>
      <c r="BY122" s="130"/>
      <c r="BZ122" s="130"/>
      <c r="CA122" s="130"/>
    </row>
    <row r="123" s="14" customFormat="true" ht="16.5" hidden="false" customHeight="true" outlineLevel="0" collapsed="false">
      <c r="D123" s="30" t="s">
        <v>143</v>
      </c>
      <c r="E123" s="31"/>
      <c r="F123" s="31"/>
      <c r="G123" s="31"/>
      <c r="H123" s="31"/>
      <c r="I123" s="31"/>
      <c r="J123" s="31"/>
      <c r="K123" s="30" t="s">
        <v>120</v>
      </c>
      <c r="L123" s="31" t="n">
        <v>2026</v>
      </c>
      <c r="M123" s="31" t="n">
        <f aca="false">L123+1</f>
        <v>2027</v>
      </c>
      <c r="N123" s="31" t="n">
        <f aca="false">M123+1</f>
        <v>2028</v>
      </c>
      <c r="O123" s="31" t="n">
        <f aca="false">N123+1</f>
        <v>2029</v>
      </c>
      <c r="P123" s="31" t="n">
        <f aca="false">O123+1</f>
        <v>2030</v>
      </c>
      <c r="Q123" s="31" t="s">
        <v>122</v>
      </c>
      <c r="R123" s="16"/>
      <c r="T123" s="59" t="n">
        <v>46023</v>
      </c>
      <c r="U123" s="60" t="n">
        <f aca="false">EOMONTH(T123, 1)</f>
        <v>46081</v>
      </c>
      <c r="V123" s="60" t="n">
        <f aca="false">EOMONTH(U123, 1)</f>
        <v>46112</v>
      </c>
      <c r="W123" s="60" t="n">
        <f aca="false">EOMONTH(V123, 1)</f>
        <v>46142</v>
      </c>
      <c r="X123" s="60" t="n">
        <f aca="false">EOMONTH(W123, 1)</f>
        <v>46173</v>
      </c>
      <c r="Y123" s="60" t="n">
        <f aca="false">EOMONTH(X123, 1)</f>
        <v>46203</v>
      </c>
      <c r="Z123" s="60" t="n">
        <f aca="false">EOMONTH(Y123, 1)</f>
        <v>46234</v>
      </c>
      <c r="AA123" s="60" t="n">
        <f aca="false">EOMONTH(Z123, 1)</f>
        <v>46265</v>
      </c>
      <c r="AB123" s="60" t="n">
        <f aca="false">EOMONTH(AA123, 1)</f>
        <v>46295</v>
      </c>
      <c r="AC123" s="60" t="n">
        <f aca="false">EOMONTH(AB123, 1)</f>
        <v>46326</v>
      </c>
      <c r="AD123" s="60" t="n">
        <f aca="false">EOMONTH(AC123, 1)</f>
        <v>46356</v>
      </c>
      <c r="AE123" s="61" t="n">
        <f aca="false">EOMONTH(AD123, 1)</f>
        <v>46387</v>
      </c>
      <c r="AF123" s="59" t="n">
        <f aca="false">EOMONTH(AE123, 1)</f>
        <v>46418</v>
      </c>
      <c r="AG123" s="60" t="n">
        <f aca="false">EOMONTH(AF123, 1)</f>
        <v>46446</v>
      </c>
      <c r="AH123" s="60" t="n">
        <f aca="false">EOMONTH(AG123, 1)</f>
        <v>46477</v>
      </c>
      <c r="AI123" s="60" t="n">
        <f aca="false">EOMONTH(AH123, 1)</f>
        <v>46507</v>
      </c>
      <c r="AJ123" s="60" t="n">
        <f aca="false">EOMONTH(AI123, 1)</f>
        <v>46538</v>
      </c>
      <c r="AK123" s="60" t="n">
        <f aca="false">EOMONTH(AJ123, 1)</f>
        <v>46568</v>
      </c>
      <c r="AL123" s="60" t="n">
        <f aca="false">EOMONTH(AK123, 1)</f>
        <v>46599</v>
      </c>
      <c r="AM123" s="60" t="n">
        <f aca="false">EOMONTH(AL123, 1)</f>
        <v>46630</v>
      </c>
      <c r="AN123" s="60" t="n">
        <f aca="false">EOMONTH(AM123, 1)</f>
        <v>46660</v>
      </c>
      <c r="AO123" s="60" t="n">
        <f aca="false">EOMONTH(AN123, 1)</f>
        <v>46691</v>
      </c>
      <c r="AP123" s="60" t="n">
        <f aca="false">EOMONTH(AO123, 1)</f>
        <v>46721</v>
      </c>
      <c r="AQ123" s="61" t="n">
        <f aca="false">EOMONTH(AP123, 1)</f>
        <v>46752</v>
      </c>
      <c r="AR123" s="59" t="n">
        <f aca="false">EOMONTH(AQ123, 1)</f>
        <v>46783</v>
      </c>
      <c r="AS123" s="60" t="n">
        <f aca="false">EOMONTH(AR123, 1)</f>
        <v>46812</v>
      </c>
      <c r="AT123" s="60" t="n">
        <f aca="false">EOMONTH(AS123, 1)</f>
        <v>46843</v>
      </c>
      <c r="AU123" s="60" t="n">
        <f aca="false">EOMONTH(AT123, 1)</f>
        <v>46873</v>
      </c>
      <c r="AV123" s="60" t="n">
        <f aca="false">EOMONTH(AU123, 1)</f>
        <v>46904</v>
      </c>
      <c r="AW123" s="60" t="n">
        <f aca="false">EOMONTH(AV123, 1)</f>
        <v>46934</v>
      </c>
      <c r="AX123" s="60" t="n">
        <f aca="false">EOMONTH(AW123, 1)</f>
        <v>46965</v>
      </c>
      <c r="AY123" s="60" t="n">
        <f aca="false">EOMONTH(AX123, 1)</f>
        <v>46996</v>
      </c>
      <c r="AZ123" s="60" t="n">
        <f aca="false">EOMONTH(AY123, 1)</f>
        <v>47026</v>
      </c>
      <c r="BA123" s="60" t="n">
        <f aca="false">EOMONTH(AZ123, 1)</f>
        <v>47057</v>
      </c>
      <c r="BB123" s="60" t="n">
        <f aca="false">EOMONTH(BA123, 1)</f>
        <v>47087</v>
      </c>
      <c r="BC123" s="61" t="n">
        <f aca="false">EOMONTH(BB123, 1)</f>
        <v>47118</v>
      </c>
      <c r="BD123" s="59" t="n">
        <f aca="false">EOMONTH(BC123, 1)</f>
        <v>47149</v>
      </c>
      <c r="BE123" s="60" t="n">
        <f aca="false">EOMONTH(BD123, 1)</f>
        <v>47177</v>
      </c>
      <c r="BF123" s="60" t="n">
        <f aca="false">EOMONTH(BE123, 1)</f>
        <v>47208</v>
      </c>
      <c r="BG123" s="60" t="n">
        <f aca="false">EOMONTH(BF123, 1)</f>
        <v>47238</v>
      </c>
      <c r="BH123" s="60" t="n">
        <f aca="false">EOMONTH(BG123, 1)</f>
        <v>47269</v>
      </c>
      <c r="BI123" s="60" t="n">
        <f aca="false">EOMONTH(BH123, 1)</f>
        <v>47299</v>
      </c>
      <c r="BJ123" s="60" t="n">
        <f aca="false">EOMONTH(BI123, 1)</f>
        <v>47330</v>
      </c>
      <c r="BK123" s="60" t="n">
        <f aca="false">EOMONTH(BJ123, 1)</f>
        <v>47361</v>
      </c>
      <c r="BL123" s="60" t="n">
        <f aca="false">EOMONTH(BK123, 1)</f>
        <v>47391</v>
      </c>
      <c r="BM123" s="60" t="n">
        <f aca="false">EOMONTH(BL123, 1)</f>
        <v>47422</v>
      </c>
      <c r="BN123" s="60" t="n">
        <f aca="false">EOMONTH(BM123, 1)</f>
        <v>47452</v>
      </c>
      <c r="BO123" s="61" t="n">
        <f aca="false">EOMONTH(BN123, 1)</f>
        <v>47483</v>
      </c>
      <c r="BP123" s="59" t="n">
        <f aca="false">EOMONTH(BO123, 1)</f>
        <v>47514</v>
      </c>
      <c r="BQ123" s="60" t="n">
        <f aca="false">EOMONTH(BP123, 1)</f>
        <v>47542</v>
      </c>
      <c r="BR123" s="60" t="n">
        <f aca="false">EOMONTH(BQ123, 1)</f>
        <v>47573</v>
      </c>
      <c r="BS123" s="60" t="n">
        <f aca="false">EOMONTH(BR123, 1)</f>
        <v>47603</v>
      </c>
      <c r="BT123" s="60" t="n">
        <f aca="false">EOMONTH(BS123, 1)</f>
        <v>47634</v>
      </c>
      <c r="BU123" s="60" t="n">
        <f aca="false">EOMONTH(BT123, 1)</f>
        <v>47664</v>
      </c>
      <c r="BV123" s="60" t="n">
        <f aca="false">EOMONTH(BU123, 1)</f>
        <v>47695</v>
      </c>
      <c r="BW123" s="60" t="n">
        <f aca="false">EOMONTH(BV123, 1)</f>
        <v>47726</v>
      </c>
      <c r="BX123" s="60" t="n">
        <f aca="false">EOMONTH(BW123, 1)</f>
        <v>47756</v>
      </c>
      <c r="BY123" s="60" t="n">
        <f aca="false">EOMONTH(BX123, 1)</f>
        <v>47787</v>
      </c>
      <c r="BZ123" s="60" t="n">
        <f aca="false">EOMONTH(BY123, 1)</f>
        <v>47817</v>
      </c>
      <c r="CA123" s="60" t="n">
        <f aca="false">EOMONTH(BZ123, 1)</f>
        <v>47848</v>
      </c>
      <c r="CC123" s="62" t="n">
        <v>2026</v>
      </c>
      <c r="CD123" s="62" t="n">
        <f aca="false">CC123+1</f>
        <v>2027</v>
      </c>
      <c r="CE123" s="62" t="n">
        <f aca="false">CD123+1</f>
        <v>2028</v>
      </c>
      <c r="CF123" s="62" t="n">
        <f aca="false">CE123+1</f>
        <v>2029</v>
      </c>
      <c r="CG123" s="62" t="n">
        <f aca="false">CF123+1</f>
        <v>2030</v>
      </c>
      <c r="CI123" s="62" t="n">
        <v>2026</v>
      </c>
      <c r="CJ123" s="62" t="n">
        <f aca="false">CI123+1</f>
        <v>2027</v>
      </c>
      <c r="CK123" s="62" t="n">
        <f aca="false">CJ123+1</f>
        <v>2028</v>
      </c>
      <c r="CL123" s="62" t="n">
        <f aca="false">CK123+1</f>
        <v>2029</v>
      </c>
      <c r="CM123" s="62" t="n">
        <f aca="false">CL123+1</f>
        <v>2030</v>
      </c>
    </row>
    <row r="124" s="14" customFormat="true" ht="16.5" hidden="false" customHeight="true" outlineLevel="0" collapsed="false">
      <c r="E124" s="21"/>
      <c r="F124" s="21"/>
      <c r="G124" s="21"/>
      <c r="K124" s="35"/>
      <c r="Q124" s="16"/>
      <c r="R124" s="16"/>
    </row>
    <row r="125" s="14" customFormat="true" ht="16.5" hidden="false" customHeight="true" outlineLevel="0" collapsed="false">
      <c r="E125" s="21" t="s">
        <v>144</v>
      </c>
      <c r="K125" s="35"/>
      <c r="Q125" s="16"/>
      <c r="R125" s="16"/>
    </row>
    <row r="126" s="14" customFormat="true" ht="16.5" hidden="false" customHeight="true" outlineLevel="0" collapsed="false">
      <c r="E126" s="91"/>
      <c r="K126" s="35"/>
      <c r="L126" s="91"/>
      <c r="M126" s="91"/>
      <c r="N126" s="91"/>
      <c r="O126" s="91"/>
      <c r="P126" s="91"/>
      <c r="Q126" s="93"/>
      <c r="R126" s="16"/>
      <c r="T126" s="91"/>
      <c r="U126" s="91"/>
      <c r="V126" s="91"/>
      <c r="W126" s="91"/>
      <c r="X126" s="91"/>
      <c r="Y126" s="91"/>
      <c r="Z126" s="91"/>
      <c r="AA126" s="91"/>
      <c r="AB126" s="91"/>
      <c r="AC126" s="91"/>
      <c r="AD126" s="91"/>
      <c r="AE126" s="91"/>
      <c r="AF126" s="91"/>
      <c r="AG126" s="91"/>
      <c r="AH126" s="91"/>
      <c r="AI126" s="91"/>
      <c r="AJ126" s="91"/>
      <c r="AK126" s="91"/>
      <c r="AL126" s="91"/>
      <c r="AM126" s="91"/>
      <c r="AN126" s="91"/>
      <c r="AO126" s="91"/>
      <c r="AP126" s="91"/>
      <c r="AQ126" s="91"/>
      <c r="AR126" s="91"/>
      <c r="AS126" s="91"/>
      <c r="AT126" s="91"/>
      <c r="AU126" s="91"/>
      <c r="AV126" s="91"/>
      <c r="AW126" s="91"/>
      <c r="AX126" s="91"/>
      <c r="AY126" s="91"/>
      <c r="AZ126" s="91"/>
      <c r="BA126" s="91"/>
      <c r="BB126" s="91"/>
      <c r="BC126" s="91"/>
      <c r="BD126" s="91"/>
      <c r="BE126" s="91"/>
      <c r="BF126" s="91"/>
      <c r="BG126" s="91"/>
      <c r="BH126" s="91"/>
      <c r="BI126" s="91"/>
      <c r="BJ126" s="91"/>
      <c r="BK126" s="91"/>
      <c r="BL126" s="91"/>
      <c r="BM126" s="91"/>
      <c r="BN126" s="91"/>
      <c r="BO126" s="91"/>
      <c r="BP126" s="91"/>
      <c r="BQ126" s="91"/>
      <c r="BR126" s="91"/>
      <c r="BS126" s="91"/>
      <c r="BT126" s="91"/>
      <c r="BU126" s="91"/>
      <c r="BV126" s="91"/>
      <c r="BW126" s="91"/>
      <c r="BX126" s="91"/>
      <c r="BY126" s="91"/>
      <c r="BZ126" s="91"/>
      <c r="CA126" s="91"/>
      <c r="CC126" s="79" t="n">
        <f aca="false">SUMIFS($T126:$CA126, $T$1:$CA$1, CC$63)</f>
        <v>0</v>
      </c>
      <c r="CD126" s="79" t="n">
        <f aca="false">SUMIFS($T126:$CA126, $T$1:$CA$1, CD$63)</f>
        <v>0</v>
      </c>
      <c r="CE126" s="79" t="n">
        <f aca="false">SUMIFS($T126:$CA126, $T$1:$CA$1, CE$63)</f>
        <v>0</v>
      </c>
      <c r="CF126" s="79" t="n">
        <f aca="false">SUMIFS($T126:$CA126, $T$1:$CA$1, CF$63)</f>
        <v>0</v>
      </c>
      <c r="CG126" s="79" t="n">
        <f aca="false">SUMIFS($T126:$CA126, $T$1:$CA$1, CG$63)</f>
        <v>0</v>
      </c>
      <c r="CI126" s="79" t="n">
        <f aca="false">CC126=L126</f>
        <v>1</v>
      </c>
      <c r="CJ126" s="79" t="n">
        <f aca="false">CD126=M126</f>
        <v>1</v>
      </c>
      <c r="CK126" s="79" t="n">
        <f aca="false">CE126=N126</f>
        <v>1</v>
      </c>
      <c r="CL126" s="79" t="n">
        <f aca="false">CF126=O126</f>
        <v>1</v>
      </c>
      <c r="CM126" s="79" t="n">
        <f aca="false">CG126=P126</f>
        <v>1</v>
      </c>
    </row>
    <row r="127" s="14" customFormat="true" ht="16.5" hidden="false" customHeight="true" outlineLevel="0" collapsed="false">
      <c r="E127" s="91"/>
      <c r="K127" s="35"/>
      <c r="L127" s="91"/>
      <c r="M127" s="91"/>
      <c r="N127" s="91"/>
      <c r="O127" s="91"/>
      <c r="P127" s="91"/>
      <c r="Q127" s="93"/>
      <c r="R127" s="16"/>
      <c r="T127" s="91"/>
      <c r="U127" s="91"/>
      <c r="V127" s="91"/>
      <c r="W127" s="91"/>
      <c r="X127" s="91"/>
      <c r="Y127" s="91"/>
      <c r="Z127" s="91"/>
      <c r="AA127" s="91"/>
      <c r="AB127" s="91"/>
      <c r="AC127" s="91"/>
      <c r="AD127" s="91"/>
      <c r="AE127" s="91"/>
      <c r="AF127" s="91"/>
      <c r="AG127" s="91"/>
      <c r="AH127" s="91"/>
      <c r="AI127" s="91"/>
      <c r="AJ127" s="91"/>
      <c r="AK127" s="91"/>
      <c r="AL127" s="91"/>
      <c r="AM127" s="91"/>
      <c r="AN127" s="91"/>
      <c r="AO127" s="91"/>
      <c r="AP127" s="91"/>
      <c r="AQ127" s="91"/>
      <c r="AR127" s="91"/>
      <c r="AS127" s="91"/>
      <c r="AT127" s="91"/>
      <c r="AU127" s="91"/>
      <c r="AV127" s="91"/>
      <c r="AW127" s="91"/>
      <c r="AX127" s="91"/>
      <c r="AY127" s="91"/>
      <c r="AZ127" s="91"/>
      <c r="BA127" s="91"/>
      <c r="BB127" s="91"/>
      <c r="BC127" s="91"/>
      <c r="BD127" s="91"/>
      <c r="BE127" s="91"/>
      <c r="BF127" s="91"/>
      <c r="BG127" s="91"/>
      <c r="BH127" s="91"/>
      <c r="BI127" s="91"/>
      <c r="BJ127" s="91"/>
      <c r="BK127" s="91"/>
      <c r="BL127" s="91"/>
      <c r="BM127" s="91"/>
      <c r="BN127" s="91"/>
      <c r="BO127" s="91"/>
      <c r="BP127" s="91"/>
      <c r="BQ127" s="91"/>
      <c r="BR127" s="91"/>
      <c r="BS127" s="91"/>
      <c r="BT127" s="91"/>
      <c r="BU127" s="91"/>
      <c r="BV127" s="91"/>
      <c r="BW127" s="91"/>
      <c r="BX127" s="91"/>
      <c r="BY127" s="91"/>
      <c r="BZ127" s="91"/>
      <c r="CA127" s="91"/>
      <c r="CC127" s="79" t="n">
        <f aca="false">SUMIFS($T127:$CA127, $T$1:$CA$1, CC$63)</f>
        <v>0</v>
      </c>
      <c r="CD127" s="79" t="n">
        <f aca="false">SUMIFS($T127:$CA127, $T$1:$CA$1, CD$63)</f>
        <v>0</v>
      </c>
      <c r="CE127" s="79" t="n">
        <f aca="false">SUMIFS($T127:$CA127, $T$1:$CA$1, CE$63)</f>
        <v>0</v>
      </c>
      <c r="CF127" s="79" t="n">
        <f aca="false">SUMIFS($T127:$CA127, $T$1:$CA$1, CF$63)</f>
        <v>0</v>
      </c>
      <c r="CG127" s="79" t="n">
        <f aca="false">SUMIFS($T127:$CA127, $T$1:$CA$1, CG$63)</f>
        <v>0</v>
      </c>
      <c r="CI127" s="79" t="n">
        <f aca="false">CC127=L127</f>
        <v>1</v>
      </c>
      <c r="CJ127" s="79" t="n">
        <f aca="false">CD127=M127</f>
        <v>1</v>
      </c>
      <c r="CK127" s="79" t="n">
        <f aca="false">CE127=N127</f>
        <v>1</v>
      </c>
      <c r="CL127" s="79" t="n">
        <f aca="false">CF127=O127</f>
        <v>1</v>
      </c>
      <c r="CM127" s="79" t="n">
        <f aca="false">CG127=P127</f>
        <v>1</v>
      </c>
    </row>
    <row r="128" s="14" customFormat="true" ht="16.5" hidden="false" customHeight="true" outlineLevel="0" collapsed="false">
      <c r="E128" s="96" t="s">
        <v>145</v>
      </c>
      <c r="K128" s="35"/>
      <c r="L128" s="82" t="n">
        <f aca="false">SUM(L126:L127)</f>
        <v>0</v>
      </c>
      <c r="M128" s="82" t="n">
        <f aca="false">SUM(M126:M127)</f>
        <v>0</v>
      </c>
      <c r="N128" s="82" t="n">
        <f aca="false">SUM(N126:N127)</f>
        <v>0</v>
      </c>
      <c r="O128" s="82" t="n">
        <f aca="false">SUM(O126:O127)</f>
        <v>0</v>
      </c>
      <c r="P128" s="82" t="n">
        <f aca="false">SUM(P126:P127)</f>
        <v>0</v>
      </c>
      <c r="Q128" s="16"/>
      <c r="R128" s="16"/>
      <c r="T128" s="82" t="n">
        <f aca="false">SUM(T126:T127)</f>
        <v>0</v>
      </c>
      <c r="U128" s="82" t="n">
        <f aca="false">SUM(U126:U127)</f>
        <v>0</v>
      </c>
      <c r="V128" s="82" t="n">
        <f aca="false">SUM(V126:V127)</f>
        <v>0</v>
      </c>
      <c r="W128" s="82" t="n">
        <f aca="false">SUM(W126:W127)</f>
        <v>0</v>
      </c>
      <c r="X128" s="82" t="n">
        <f aca="false">SUM(X126:X127)</f>
        <v>0</v>
      </c>
      <c r="Y128" s="82" t="n">
        <f aca="false">SUM(Y126:Y127)</f>
        <v>0</v>
      </c>
      <c r="Z128" s="82" t="n">
        <f aca="false">SUM(Z126:Z127)</f>
        <v>0</v>
      </c>
      <c r="AA128" s="82" t="n">
        <f aca="false">SUM(AA126:AA127)</f>
        <v>0</v>
      </c>
      <c r="AB128" s="82" t="n">
        <f aca="false">SUM(AB126:AB127)</f>
        <v>0</v>
      </c>
      <c r="AC128" s="82" t="n">
        <f aca="false">SUM(AC126:AC127)</f>
        <v>0</v>
      </c>
      <c r="AD128" s="82" t="n">
        <f aca="false">SUM(AD126:AD127)</f>
        <v>0</v>
      </c>
      <c r="AE128" s="82" t="n">
        <f aca="false">SUM(AE126:AE127)</f>
        <v>0</v>
      </c>
      <c r="AF128" s="82" t="n">
        <f aca="false">SUM(AF126:AF127)</f>
        <v>0</v>
      </c>
      <c r="AG128" s="82" t="n">
        <f aca="false">SUM(AG126:AG127)</f>
        <v>0</v>
      </c>
      <c r="AH128" s="82" t="n">
        <f aca="false">SUM(AH126:AH127)</f>
        <v>0</v>
      </c>
      <c r="AI128" s="82" t="n">
        <f aca="false">SUM(AI126:AI127)</f>
        <v>0</v>
      </c>
      <c r="AJ128" s="82" t="n">
        <f aca="false">SUM(AJ126:AJ127)</f>
        <v>0</v>
      </c>
      <c r="AK128" s="82" t="n">
        <f aca="false">SUM(AK126:AK127)</f>
        <v>0</v>
      </c>
      <c r="AL128" s="82" t="n">
        <f aca="false">SUM(AL126:AL127)</f>
        <v>0</v>
      </c>
      <c r="AM128" s="82" t="n">
        <f aca="false">SUM(AM126:AM127)</f>
        <v>0</v>
      </c>
      <c r="AN128" s="82" t="n">
        <f aca="false">SUM(AN126:AN127)</f>
        <v>0</v>
      </c>
      <c r="AO128" s="82" t="n">
        <f aca="false">SUM(AO126:AO127)</f>
        <v>0</v>
      </c>
      <c r="AP128" s="82" t="n">
        <f aca="false">SUM(AP126:AP127)</f>
        <v>0</v>
      </c>
      <c r="AQ128" s="82" t="n">
        <f aca="false">SUM(AQ126:AQ127)</f>
        <v>0</v>
      </c>
      <c r="AR128" s="82" t="n">
        <f aca="false">SUM(AR126:AR127)</f>
        <v>0</v>
      </c>
      <c r="AS128" s="82" t="n">
        <f aca="false">SUM(AS126:AS127)</f>
        <v>0</v>
      </c>
      <c r="AT128" s="82" t="n">
        <f aca="false">SUM(AT126:AT127)</f>
        <v>0</v>
      </c>
      <c r="AU128" s="82" t="n">
        <f aca="false">SUM(AU126:AU127)</f>
        <v>0</v>
      </c>
      <c r="AV128" s="82" t="n">
        <f aca="false">SUM(AV126:AV127)</f>
        <v>0</v>
      </c>
      <c r="AW128" s="82" t="n">
        <f aca="false">SUM(AW126:AW127)</f>
        <v>0</v>
      </c>
      <c r="AX128" s="82" t="n">
        <f aca="false">SUM(AX126:AX127)</f>
        <v>0</v>
      </c>
      <c r="AY128" s="82" t="n">
        <f aca="false">SUM(AY126:AY127)</f>
        <v>0</v>
      </c>
      <c r="AZ128" s="82" t="n">
        <f aca="false">SUM(AZ126:AZ127)</f>
        <v>0</v>
      </c>
      <c r="BA128" s="82" t="n">
        <f aca="false">SUM(BA126:BA127)</f>
        <v>0</v>
      </c>
      <c r="BB128" s="82" t="n">
        <f aca="false">SUM(BB126:BB127)</f>
        <v>0</v>
      </c>
      <c r="BC128" s="82" t="n">
        <f aca="false">SUM(BC126:BC127)</f>
        <v>0</v>
      </c>
      <c r="BD128" s="82" t="n">
        <f aca="false">SUM(BD126:BD127)</f>
        <v>0</v>
      </c>
      <c r="BE128" s="82" t="n">
        <f aca="false">SUM(BE126:BE127)</f>
        <v>0</v>
      </c>
      <c r="BF128" s="82" t="n">
        <f aca="false">SUM(BF126:BF127)</f>
        <v>0</v>
      </c>
      <c r="BG128" s="82" t="n">
        <f aca="false">SUM(BG126:BG127)</f>
        <v>0</v>
      </c>
      <c r="BH128" s="82" t="n">
        <f aca="false">SUM(BH126:BH127)</f>
        <v>0</v>
      </c>
      <c r="BI128" s="82" t="n">
        <f aca="false">SUM(BI126:BI127)</f>
        <v>0</v>
      </c>
      <c r="BJ128" s="82" t="n">
        <f aca="false">SUM(BJ126:BJ127)</f>
        <v>0</v>
      </c>
      <c r="BK128" s="82" t="n">
        <f aca="false">SUM(BK126:BK127)</f>
        <v>0</v>
      </c>
      <c r="BL128" s="82" t="n">
        <f aca="false">SUM(BL126:BL127)</f>
        <v>0</v>
      </c>
      <c r="BM128" s="82" t="n">
        <f aca="false">SUM(BM126:BM127)</f>
        <v>0</v>
      </c>
      <c r="BN128" s="82" t="n">
        <f aca="false">SUM(BN126:BN127)</f>
        <v>0</v>
      </c>
      <c r="BO128" s="82" t="n">
        <f aca="false">SUM(BO126:BO127)</f>
        <v>0</v>
      </c>
      <c r="BP128" s="82" t="n">
        <f aca="false">SUM(BP126:BP127)</f>
        <v>0</v>
      </c>
      <c r="BQ128" s="82" t="n">
        <f aca="false">SUM(BQ126:BQ127)</f>
        <v>0</v>
      </c>
      <c r="BR128" s="82" t="n">
        <f aca="false">SUM(BR126:BR127)</f>
        <v>0</v>
      </c>
      <c r="BS128" s="82" t="n">
        <f aca="false">SUM(BS126:BS127)</f>
        <v>0</v>
      </c>
      <c r="BT128" s="82" t="n">
        <f aca="false">SUM(BT126:BT127)</f>
        <v>0</v>
      </c>
      <c r="BU128" s="82" t="n">
        <f aca="false">SUM(BU126:BU127)</f>
        <v>0</v>
      </c>
      <c r="BV128" s="82" t="n">
        <f aca="false">SUM(BV126:BV127)</f>
        <v>0</v>
      </c>
      <c r="BW128" s="82" t="n">
        <f aca="false">SUM(BW126:BW127)</f>
        <v>0</v>
      </c>
      <c r="BX128" s="82" t="n">
        <f aca="false">SUM(BX126:BX127)</f>
        <v>0</v>
      </c>
      <c r="BY128" s="82" t="n">
        <f aca="false">SUM(BY126:BY127)</f>
        <v>0</v>
      </c>
      <c r="BZ128" s="82" t="n">
        <f aca="false">SUM(BZ126:BZ127)</f>
        <v>0</v>
      </c>
      <c r="CA128" s="82" t="n">
        <f aca="false">SUM(CA126:CA127)</f>
        <v>0</v>
      </c>
      <c r="CC128" s="131" t="n">
        <f aca="false">SUM(CC126:CC127)</f>
        <v>0</v>
      </c>
      <c r="CD128" s="131" t="n">
        <f aca="false">SUM(CD126:CD127)</f>
        <v>0</v>
      </c>
      <c r="CE128" s="131" t="n">
        <f aca="false">SUM(CE126:CE127)</f>
        <v>0</v>
      </c>
      <c r="CF128" s="131" t="n">
        <f aca="false">SUM(CF126:CF127)</f>
        <v>0</v>
      </c>
      <c r="CG128" s="131" t="n">
        <f aca="false">SUM(CG126:CG127)</f>
        <v>0</v>
      </c>
      <c r="CI128" s="131" t="n">
        <f aca="false">CC128=L128</f>
        <v>1</v>
      </c>
      <c r="CJ128" s="131" t="n">
        <f aca="false">CD128=M128</f>
        <v>1</v>
      </c>
      <c r="CK128" s="131" t="n">
        <f aca="false">CE128=N128</f>
        <v>1</v>
      </c>
      <c r="CL128" s="131" t="n">
        <f aca="false">CF128=O128</f>
        <v>1</v>
      </c>
      <c r="CM128" s="131" t="n">
        <f aca="false">CG128=P128</f>
        <v>1</v>
      </c>
    </row>
    <row r="129" s="14" customFormat="true" ht="16.5" hidden="false" customHeight="true" outlineLevel="0" collapsed="false">
      <c r="E129" s="96"/>
      <c r="K129" s="35"/>
      <c r="L129" s="82"/>
      <c r="M129" s="82"/>
      <c r="N129" s="82"/>
      <c r="O129" s="82"/>
      <c r="P129" s="82"/>
      <c r="Q129" s="16"/>
      <c r="R129" s="16"/>
      <c r="T129" s="82"/>
      <c r="U129" s="82"/>
      <c r="V129" s="82"/>
      <c r="W129" s="82"/>
      <c r="X129" s="82"/>
      <c r="Y129" s="82"/>
      <c r="Z129" s="82"/>
      <c r="AA129" s="82"/>
      <c r="AB129" s="82"/>
      <c r="AC129" s="82"/>
      <c r="AD129" s="82"/>
      <c r="AE129" s="82"/>
      <c r="AF129" s="82"/>
      <c r="AG129" s="82"/>
      <c r="AH129" s="82"/>
      <c r="AI129" s="82"/>
      <c r="AJ129" s="82"/>
      <c r="AK129" s="82"/>
      <c r="AL129" s="82"/>
      <c r="AM129" s="82"/>
      <c r="AN129" s="82"/>
      <c r="AO129" s="82"/>
      <c r="AP129" s="82"/>
      <c r="AQ129" s="82"/>
      <c r="AR129" s="82"/>
      <c r="AS129" s="82"/>
      <c r="AT129" s="82"/>
      <c r="AU129" s="82"/>
      <c r="AV129" s="82"/>
      <c r="AW129" s="82"/>
      <c r="AX129" s="82"/>
      <c r="AY129" s="82"/>
      <c r="AZ129" s="82"/>
      <c r="BA129" s="82"/>
      <c r="BB129" s="82"/>
      <c r="BC129" s="82"/>
      <c r="BD129" s="82"/>
      <c r="BE129" s="82"/>
      <c r="BF129" s="82"/>
      <c r="BG129" s="82"/>
      <c r="BH129" s="82"/>
      <c r="BI129" s="82"/>
      <c r="BJ129" s="82"/>
      <c r="BK129" s="82"/>
      <c r="BL129" s="82"/>
      <c r="BM129" s="82"/>
      <c r="BN129" s="82"/>
      <c r="BO129" s="82"/>
      <c r="BP129" s="82"/>
      <c r="BQ129" s="82"/>
      <c r="BR129" s="82"/>
      <c r="BS129" s="82"/>
      <c r="BT129" s="82"/>
      <c r="BU129" s="82"/>
      <c r="BV129" s="82"/>
      <c r="BW129" s="82"/>
      <c r="BX129" s="82"/>
      <c r="BY129" s="82"/>
      <c r="BZ129" s="82"/>
      <c r="CA129" s="82"/>
    </row>
    <row r="130" s="14" customFormat="true" ht="16.5" hidden="false" customHeight="true" outlineLevel="0" collapsed="false">
      <c r="E130" s="109" t="s">
        <v>146</v>
      </c>
      <c r="F130" s="109"/>
      <c r="G130" s="109"/>
      <c r="H130" s="109"/>
      <c r="I130" s="132"/>
      <c r="J130" s="132"/>
      <c r="K130" s="219"/>
      <c r="L130" s="120" t="n">
        <f aca="false">L128</f>
        <v>0</v>
      </c>
      <c r="M130" s="120" t="n">
        <f aca="false">M128</f>
        <v>0</v>
      </c>
      <c r="N130" s="120" t="n">
        <f aca="false">N128</f>
        <v>0</v>
      </c>
      <c r="O130" s="120" t="n">
        <f aca="false">O128</f>
        <v>0</v>
      </c>
      <c r="P130" s="120" t="n">
        <f aca="false">P128</f>
        <v>0</v>
      </c>
      <c r="Q130" s="16"/>
      <c r="R130" s="16"/>
      <c r="T130" s="120" t="n">
        <f aca="false">T128</f>
        <v>0</v>
      </c>
      <c r="U130" s="120" t="n">
        <f aca="false">U128</f>
        <v>0</v>
      </c>
      <c r="V130" s="120" t="n">
        <f aca="false">V128</f>
        <v>0</v>
      </c>
      <c r="W130" s="120" t="n">
        <f aca="false">W128</f>
        <v>0</v>
      </c>
      <c r="X130" s="120" t="n">
        <f aca="false">X128</f>
        <v>0</v>
      </c>
      <c r="Y130" s="120" t="n">
        <f aca="false">Y128</f>
        <v>0</v>
      </c>
      <c r="Z130" s="120" t="n">
        <f aca="false">Z128</f>
        <v>0</v>
      </c>
      <c r="AA130" s="120" t="n">
        <f aca="false">AA128</f>
        <v>0</v>
      </c>
      <c r="AB130" s="120" t="n">
        <f aca="false">AB128</f>
        <v>0</v>
      </c>
      <c r="AC130" s="120" t="n">
        <f aca="false">AC128</f>
        <v>0</v>
      </c>
      <c r="AD130" s="120" t="n">
        <f aca="false">AD128</f>
        <v>0</v>
      </c>
      <c r="AE130" s="120" t="n">
        <f aca="false">AE128</f>
        <v>0</v>
      </c>
      <c r="AF130" s="120" t="n">
        <f aca="false">AF128</f>
        <v>0</v>
      </c>
      <c r="AG130" s="120" t="n">
        <f aca="false">AG128</f>
        <v>0</v>
      </c>
      <c r="AH130" s="120" t="n">
        <f aca="false">AH128</f>
        <v>0</v>
      </c>
      <c r="AI130" s="120" t="n">
        <f aca="false">AI128</f>
        <v>0</v>
      </c>
      <c r="AJ130" s="120" t="n">
        <f aca="false">AJ128</f>
        <v>0</v>
      </c>
      <c r="AK130" s="120" t="n">
        <f aca="false">AK128</f>
        <v>0</v>
      </c>
      <c r="AL130" s="120" t="n">
        <f aca="false">AL128</f>
        <v>0</v>
      </c>
      <c r="AM130" s="120" t="n">
        <f aca="false">AM128</f>
        <v>0</v>
      </c>
      <c r="AN130" s="120" t="n">
        <f aca="false">AN128</f>
        <v>0</v>
      </c>
      <c r="AO130" s="120" t="n">
        <f aca="false">AO128</f>
        <v>0</v>
      </c>
      <c r="AP130" s="120" t="n">
        <f aca="false">AP128</f>
        <v>0</v>
      </c>
      <c r="AQ130" s="120" t="n">
        <f aca="false">AQ128</f>
        <v>0</v>
      </c>
      <c r="AR130" s="120" t="n">
        <f aca="false">AR128</f>
        <v>0</v>
      </c>
      <c r="AS130" s="120" t="n">
        <f aca="false">AS128</f>
        <v>0</v>
      </c>
      <c r="AT130" s="120" t="n">
        <f aca="false">AT128</f>
        <v>0</v>
      </c>
      <c r="AU130" s="120" t="n">
        <f aca="false">AU128</f>
        <v>0</v>
      </c>
      <c r="AV130" s="120" t="n">
        <f aca="false">AV128</f>
        <v>0</v>
      </c>
      <c r="AW130" s="120" t="n">
        <f aca="false">AW128</f>
        <v>0</v>
      </c>
      <c r="AX130" s="120" t="n">
        <f aca="false">AX128</f>
        <v>0</v>
      </c>
      <c r="AY130" s="120" t="n">
        <f aca="false">AY128</f>
        <v>0</v>
      </c>
      <c r="AZ130" s="120" t="n">
        <f aca="false">AZ128</f>
        <v>0</v>
      </c>
      <c r="BA130" s="120" t="n">
        <f aca="false">BA128</f>
        <v>0</v>
      </c>
      <c r="BB130" s="120" t="n">
        <f aca="false">BB128</f>
        <v>0</v>
      </c>
      <c r="BC130" s="120" t="n">
        <f aca="false">BC128</f>
        <v>0</v>
      </c>
      <c r="BD130" s="120" t="n">
        <f aca="false">BD128</f>
        <v>0</v>
      </c>
      <c r="BE130" s="120" t="n">
        <f aca="false">BE128</f>
        <v>0</v>
      </c>
      <c r="BF130" s="120" t="n">
        <f aca="false">BF128</f>
        <v>0</v>
      </c>
      <c r="BG130" s="120" t="n">
        <f aca="false">BG128</f>
        <v>0</v>
      </c>
      <c r="BH130" s="120" t="n">
        <f aca="false">BH128</f>
        <v>0</v>
      </c>
      <c r="BI130" s="120" t="n">
        <f aca="false">BI128</f>
        <v>0</v>
      </c>
      <c r="BJ130" s="120" t="n">
        <f aca="false">BJ128</f>
        <v>0</v>
      </c>
      <c r="BK130" s="120" t="n">
        <f aca="false">BK128</f>
        <v>0</v>
      </c>
      <c r="BL130" s="120" t="n">
        <f aca="false">BL128</f>
        <v>0</v>
      </c>
      <c r="BM130" s="120" t="n">
        <f aca="false">BM128</f>
        <v>0</v>
      </c>
      <c r="BN130" s="120" t="n">
        <f aca="false">BN128</f>
        <v>0</v>
      </c>
      <c r="BO130" s="120" t="n">
        <f aca="false">BO128</f>
        <v>0</v>
      </c>
      <c r="BP130" s="120" t="n">
        <f aca="false">BP128</f>
        <v>0</v>
      </c>
      <c r="BQ130" s="120" t="n">
        <f aca="false">BQ128</f>
        <v>0</v>
      </c>
      <c r="BR130" s="120" t="n">
        <f aca="false">BR128</f>
        <v>0</v>
      </c>
      <c r="BS130" s="120" t="n">
        <f aca="false">BS128</f>
        <v>0</v>
      </c>
      <c r="BT130" s="120" t="n">
        <f aca="false">BT128</f>
        <v>0</v>
      </c>
      <c r="BU130" s="120" t="n">
        <f aca="false">BU128</f>
        <v>0</v>
      </c>
      <c r="BV130" s="120" t="n">
        <f aca="false">BV128</f>
        <v>0</v>
      </c>
      <c r="BW130" s="120" t="n">
        <f aca="false">BW128</f>
        <v>0</v>
      </c>
      <c r="BX130" s="120" t="n">
        <f aca="false">BX128</f>
        <v>0</v>
      </c>
      <c r="BY130" s="120" t="n">
        <f aca="false">BY128</f>
        <v>0</v>
      </c>
      <c r="BZ130" s="120" t="n">
        <f aca="false">BZ128</f>
        <v>0</v>
      </c>
      <c r="CA130" s="120" t="n">
        <f aca="false">CA128</f>
        <v>0</v>
      </c>
      <c r="CC130" s="132" t="n">
        <f aca="false">CC128</f>
        <v>0</v>
      </c>
      <c r="CD130" s="132" t="n">
        <f aca="false">CD128</f>
        <v>0</v>
      </c>
      <c r="CE130" s="132" t="n">
        <f aca="false">CE128</f>
        <v>0</v>
      </c>
      <c r="CF130" s="132" t="n">
        <f aca="false">CF128</f>
        <v>0</v>
      </c>
      <c r="CG130" s="132" t="n">
        <f aca="false">CG128</f>
        <v>0</v>
      </c>
      <c r="CI130" s="133" t="n">
        <f aca="false">CI128</f>
        <v>1</v>
      </c>
      <c r="CJ130" s="133" t="n">
        <f aca="false">CJ128</f>
        <v>1</v>
      </c>
      <c r="CK130" s="133" t="n">
        <f aca="false">CK128</f>
        <v>1</v>
      </c>
      <c r="CL130" s="133" t="n">
        <f aca="false">CL128</f>
        <v>1</v>
      </c>
      <c r="CM130" s="133" t="n">
        <f aca="false">CM128</f>
        <v>1</v>
      </c>
    </row>
    <row r="131" s="14" customFormat="true" ht="16.5" hidden="false" customHeight="true" outlineLevel="0" collapsed="false">
      <c r="K131" s="35"/>
    </row>
    <row r="132" s="14" customFormat="true" ht="16.5" hidden="false" customHeight="true" outlineLevel="0" collapsed="false">
      <c r="E132" s="85"/>
      <c r="K132" s="35"/>
      <c r="Q132" s="16"/>
      <c r="R132" s="16"/>
      <c r="T132" s="62" t="n">
        <v>2026</v>
      </c>
      <c r="U132" s="129"/>
      <c r="V132" s="129"/>
      <c r="W132" s="129"/>
      <c r="X132" s="129"/>
      <c r="Y132" s="129"/>
      <c r="Z132" s="129"/>
      <c r="AA132" s="129"/>
      <c r="AB132" s="129"/>
      <c r="AC132" s="129"/>
      <c r="AD132" s="129"/>
      <c r="AE132" s="129"/>
      <c r="AF132" s="62" t="n">
        <v>2027</v>
      </c>
      <c r="AG132" s="129"/>
      <c r="AH132" s="129"/>
      <c r="AI132" s="129"/>
      <c r="AJ132" s="129"/>
      <c r="AK132" s="129"/>
      <c r="AL132" s="129"/>
      <c r="AM132" s="129"/>
      <c r="AN132" s="129"/>
      <c r="AO132" s="129"/>
      <c r="AP132" s="129"/>
      <c r="AQ132" s="129"/>
      <c r="AR132" s="62" t="n">
        <v>2028</v>
      </c>
      <c r="AS132" s="129"/>
      <c r="AT132" s="129"/>
      <c r="AU132" s="129"/>
      <c r="AV132" s="129"/>
      <c r="AW132" s="129"/>
      <c r="AX132" s="129"/>
      <c r="AY132" s="129"/>
      <c r="AZ132" s="129"/>
      <c r="BA132" s="129"/>
      <c r="BB132" s="129"/>
      <c r="BC132" s="129"/>
      <c r="BD132" s="62" t="n">
        <v>2029</v>
      </c>
      <c r="BE132" s="129"/>
      <c r="BF132" s="129"/>
      <c r="BG132" s="129"/>
      <c r="BH132" s="129"/>
      <c r="BI132" s="129"/>
      <c r="BJ132" s="129"/>
      <c r="BK132" s="129"/>
      <c r="BL132" s="129"/>
      <c r="BM132" s="129"/>
      <c r="BN132" s="129"/>
      <c r="BO132" s="129"/>
      <c r="BP132" s="62" t="n">
        <v>2030</v>
      </c>
      <c r="BQ132" s="130"/>
      <c r="BR132" s="130"/>
      <c r="BS132" s="130"/>
      <c r="BT132" s="130"/>
      <c r="BU132" s="130"/>
      <c r="BV132" s="130"/>
      <c r="BW132" s="130"/>
      <c r="BX132" s="130"/>
      <c r="BY132" s="130"/>
      <c r="BZ132" s="130"/>
      <c r="CA132" s="130"/>
    </row>
    <row r="133" s="14" customFormat="true" ht="16.5" hidden="false" customHeight="true" outlineLevel="0" collapsed="false">
      <c r="D133" s="30" t="s">
        <v>147</v>
      </c>
      <c r="E133" s="31"/>
      <c r="F133" s="31"/>
      <c r="G133" s="31"/>
      <c r="H133" s="31"/>
      <c r="I133" s="31"/>
      <c r="J133" s="31"/>
      <c r="K133" s="30" t="s">
        <v>120</v>
      </c>
      <c r="L133" s="31" t="n">
        <v>2026</v>
      </c>
      <c r="M133" s="31" t="n">
        <f aca="false">L133+1</f>
        <v>2027</v>
      </c>
      <c r="N133" s="31" t="n">
        <f aca="false">M133+1</f>
        <v>2028</v>
      </c>
      <c r="O133" s="31" t="n">
        <f aca="false">N133+1</f>
        <v>2029</v>
      </c>
      <c r="P133" s="31" t="n">
        <f aca="false">O133+1</f>
        <v>2030</v>
      </c>
      <c r="Q133" s="16"/>
      <c r="R133" s="16"/>
      <c r="T133" s="59" t="n">
        <v>46023</v>
      </c>
      <c r="U133" s="60" t="n">
        <f aca="false">EOMONTH(T133, 1)</f>
        <v>46081</v>
      </c>
      <c r="V133" s="60" t="n">
        <f aca="false">EOMONTH(U133, 1)</f>
        <v>46112</v>
      </c>
      <c r="W133" s="60" t="n">
        <f aca="false">EOMONTH(V133, 1)</f>
        <v>46142</v>
      </c>
      <c r="X133" s="60" t="n">
        <f aca="false">EOMONTH(W133, 1)</f>
        <v>46173</v>
      </c>
      <c r="Y133" s="60" t="n">
        <f aca="false">EOMONTH(X133, 1)</f>
        <v>46203</v>
      </c>
      <c r="Z133" s="60" t="n">
        <f aca="false">EOMONTH(Y133, 1)</f>
        <v>46234</v>
      </c>
      <c r="AA133" s="60" t="n">
        <f aca="false">EOMONTH(Z133, 1)</f>
        <v>46265</v>
      </c>
      <c r="AB133" s="60" t="n">
        <f aca="false">EOMONTH(AA133, 1)</f>
        <v>46295</v>
      </c>
      <c r="AC133" s="60" t="n">
        <f aca="false">EOMONTH(AB133, 1)</f>
        <v>46326</v>
      </c>
      <c r="AD133" s="60" t="n">
        <f aca="false">EOMONTH(AC133, 1)</f>
        <v>46356</v>
      </c>
      <c r="AE133" s="61" t="n">
        <f aca="false">EOMONTH(AD133, 1)</f>
        <v>46387</v>
      </c>
      <c r="AF133" s="59" t="n">
        <f aca="false">EOMONTH(AE133, 1)</f>
        <v>46418</v>
      </c>
      <c r="AG133" s="60" t="n">
        <f aca="false">EOMONTH(AF133, 1)</f>
        <v>46446</v>
      </c>
      <c r="AH133" s="60" t="n">
        <f aca="false">EOMONTH(AG133, 1)</f>
        <v>46477</v>
      </c>
      <c r="AI133" s="60" t="n">
        <f aca="false">EOMONTH(AH133, 1)</f>
        <v>46507</v>
      </c>
      <c r="AJ133" s="60" t="n">
        <f aca="false">EOMONTH(AI133, 1)</f>
        <v>46538</v>
      </c>
      <c r="AK133" s="60" t="n">
        <f aca="false">EOMONTH(AJ133, 1)</f>
        <v>46568</v>
      </c>
      <c r="AL133" s="60" t="n">
        <f aca="false">EOMONTH(AK133, 1)</f>
        <v>46599</v>
      </c>
      <c r="AM133" s="60" t="n">
        <f aca="false">EOMONTH(AL133, 1)</f>
        <v>46630</v>
      </c>
      <c r="AN133" s="60" t="n">
        <f aca="false">EOMONTH(AM133, 1)</f>
        <v>46660</v>
      </c>
      <c r="AO133" s="60" t="n">
        <f aca="false">EOMONTH(AN133, 1)</f>
        <v>46691</v>
      </c>
      <c r="AP133" s="60" t="n">
        <f aca="false">EOMONTH(AO133, 1)</f>
        <v>46721</v>
      </c>
      <c r="AQ133" s="61" t="n">
        <f aca="false">EOMONTH(AP133, 1)</f>
        <v>46752</v>
      </c>
      <c r="AR133" s="59" t="n">
        <f aca="false">EOMONTH(AQ133, 1)</f>
        <v>46783</v>
      </c>
      <c r="AS133" s="60" t="n">
        <f aca="false">EOMONTH(AR133, 1)</f>
        <v>46812</v>
      </c>
      <c r="AT133" s="60" t="n">
        <f aca="false">EOMONTH(AS133, 1)</f>
        <v>46843</v>
      </c>
      <c r="AU133" s="60" t="n">
        <f aca="false">EOMONTH(AT133, 1)</f>
        <v>46873</v>
      </c>
      <c r="AV133" s="60" t="n">
        <f aca="false">EOMONTH(AU133, 1)</f>
        <v>46904</v>
      </c>
      <c r="AW133" s="60" t="n">
        <f aca="false">EOMONTH(AV133, 1)</f>
        <v>46934</v>
      </c>
      <c r="AX133" s="60" t="n">
        <f aca="false">EOMONTH(AW133, 1)</f>
        <v>46965</v>
      </c>
      <c r="AY133" s="60" t="n">
        <f aca="false">EOMONTH(AX133, 1)</f>
        <v>46996</v>
      </c>
      <c r="AZ133" s="60" t="n">
        <f aca="false">EOMONTH(AY133, 1)</f>
        <v>47026</v>
      </c>
      <c r="BA133" s="60" t="n">
        <f aca="false">EOMONTH(AZ133, 1)</f>
        <v>47057</v>
      </c>
      <c r="BB133" s="60" t="n">
        <f aca="false">EOMONTH(BA133, 1)</f>
        <v>47087</v>
      </c>
      <c r="BC133" s="61" t="n">
        <f aca="false">EOMONTH(BB133, 1)</f>
        <v>47118</v>
      </c>
      <c r="BD133" s="59" t="n">
        <f aca="false">EOMONTH(BC133, 1)</f>
        <v>47149</v>
      </c>
      <c r="BE133" s="60" t="n">
        <f aca="false">EOMONTH(BD133, 1)</f>
        <v>47177</v>
      </c>
      <c r="BF133" s="60" t="n">
        <f aca="false">EOMONTH(BE133, 1)</f>
        <v>47208</v>
      </c>
      <c r="BG133" s="60" t="n">
        <f aca="false">EOMONTH(BF133, 1)</f>
        <v>47238</v>
      </c>
      <c r="BH133" s="60" t="n">
        <f aca="false">EOMONTH(BG133, 1)</f>
        <v>47269</v>
      </c>
      <c r="BI133" s="60" t="n">
        <f aca="false">EOMONTH(BH133, 1)</f>
        <v>47299</v>
      </c>
      <c r="BJ133" s="60" t="n">
        <f aca="false">EOMONTH(BI133, 1)</f>
        <v>47330</v>
      </c>
      <c r="BK133" s="60" t="n">
        <f aca="false">EOMONTH(BJ133, 1)</f>
        <v>47361</v>
      </c>
      <c r="BL133" s="60" t="n">
        <f aca="false">EOMONTH(BK133, 1)</f>
        <v>47391</v>
      </c>
      <c r="BM133" s="60" t="n">
        <f aca="false">EOMONTH(BL133, 1)</f>
        <v>47422</v>
      </c>
      <c r="BN133" s="60" t="n">
        <f aca="false">EOMONTH(BM133, 1)</f>
        <v>47452</v>
      </c>
      <c r="BO133" s="61" t="n">
        <f aca="false">EOMONTH(BN133, 1)</f>
        <v>47483</v>
      </c>
      <c r="BP133" s="59" t="n">
        <f aca="false">EOMONTH(BO133, 1)</f>
        <v>47514</v>
      </c>
      <c r="BQ133" s="60" t="n">
        <f aca="false">EOMONTH(BP133, 1)</f>
        <v>47542</v>
      </c>
      <c r="BR133" s="60" t="n">
        <f aca="false">EOMONTH(BQ133, 1)</f>
        <v>47573</v>
      </c>
      <c r="BS133" s="60" t="n">
        <f aca="false">EOMONTH(BR133, 1)</f>
        <v>47603</v>
      </c>
      <c r="BT133" s="60" t="n">
        <f aca="false">EOMONTH(BS133, 1)</f>
        <v>47634</v>
      </c>
      <c r="BU133" s="60" t="n">
        <f aca="false">EOMONTH(BT133, 1)</f>
        <v>47664</v>
      </c>
      <c r="BV133" s="60" t="n">
        <f aca="false">EOMONTH(BU133, 1)</f>
        <v>47695</v>
      </c>
      <c r="BW133" s="60" t="n">
        <f aca="false">EOMONTH(BV133, 1)</f>
        <v>47726</v>
      </c>
      <c r="BX133" s="60" t="n">
        <f aca="false">EOMONTH(BW133, 1)</f>
        <v>47756</v>
      </c>
      <c r="BY133" s="60" t="n">
        <f aca="false">EOMONTH(BX133, 1)</f>
        <v>47787</v>
      </c>
      <c r="BZ133" s="60" t="n">
        <f aca="false">EOMONTH(BY133, 1)</f>
        <v>47817</v>
      </c>
      <c r="CA133" s="60" t="n">
        <f aca="false">EOMONTH(BZ133, 1)</f>
        <v>47848</v>
      </c>
      <c r="CC133" s="62" t="n">
        <v>2026</v>
      </c>
      <c r="CD133" s="62" t="n">
        <f aca="false">CC133+1</f>
        <v>2027</v>
      </c>
      <c r="CE133" s="62" t="n">
        <f aca="false">CD133+1</f>
        <v>2028</v>
      </c>
      <c r="CF133" s="62" t="n">
        <f aca="false">CE133+1</f>
        <v>2029</v>
      </c>
      <c r="CG133" s="62" t="n">
        <f aca="false">CF133+1</f>
        <v>2030</v>
      </c>
      <c r="CI133" s="62" t="n">
        <v>2026</v>
      </c>
      <c r="CJ133" s="62" t="n">
        <f aca="false">CI133+1</f>
        <v>2027</v>
      </c>
      <c r="CK133" s="62" t="n">
        <f aca="false">CJ133+1</f>
        <v>2028</v>
      </c>
      <c r="CL133" s="62" t="n">
        <f aca="false">CK133+1</f>
        <v>2029</v>
      </c>
      <c r="CM133" s="62" t="n">
        <f aca="false">CL133+1</f>
        <v>2030</v>
      </c>
    </row>
    <row r="134" s="14" customFormat="true" ht="16.5" hidden="false" customHeight="true" outlineLevel="0" collapsed="false">
      <c r="F134" s="21"/>
      <c r="G134" s="21"/>
      <c r="Q134" s="16"/>
      <c r="R134" s="16"/>
    </row>
    <row r="135" s="14" customFormat="true" ht="16.5" hidden="false" customHeight="true" outlineLevel="0" collapsed="false">
      <c r="E135" s="21" t="s">
        <v>148</v>
      </c>
      <c r="Q135" s="16"/>
      <c r="R135" s="16"/>
    </row>
    <row r="136" s="14" customFormat="true" ht="16.5" hidden="false" customHeight="true" outlineLevel="0" collapsed="false">
      <c r="D136" s="134"/>
      <c r="E136" s="91"/>
      <c r="L136" s="91"/>
      <c r="M136" s="91"/>
      <c r="N136" s="91"/>
      <c r="O136" s="91"/>
      <c r="P136" s="91"/>
      <c r="Q136" s="93"/>
      <c r="R136" s="16"/>
      <c r="T136" s="135"/>
      <c r="U136" s="135"/>
      <c r="V136" s="135"/>
      <c r="W136" s="135"/>
      <c r="X136" s="135"/>
      <c r="Y136" s="135"/>
      <c r="Z136" s="135"/>
      <c r="AA136" s="135"/>
      <c r="AB136" s="135"/>
      <c r="AC136" s="135"/>
      <c r="AD136" s="135"/>
      <c r="AE136" s="135"/>
      <c r="AF136" s="135"/>
      <c r="AG136" s="135"/>
      <c r="AH136" s="135"/>
      <c r="AI136" s="135"/>
      <c r="AJ136" s="135"/>
      <c r="AK136" s="135"/>
      <c r="AL136" s="135"/>
      <c r="AM136" s="135"/>
      <c r="AN136" s="135"/>
      <c r="AO136" s="135"/>
      <c r="AP136" s="135"/>
      <c r="AQ136" s="135"/>
      <c r="AR136" s="135"/>
      <c r="AS136" s="135"/>
      <c r="AT136" s="135"/>
      <c r="AU136" s="135"/>
      <c r="AV136" s="135"/>
      <c r="AW136" s="135"/>
      <c r="AX136" s="135"/>
      <c r="AY136" s="135"/>
      <c r="AZ136" s="135"/>
      <c r="BA136" s="135"/>
      <c r="BB136" s="135"/>
      <c r="BC136" s="135"/>
      <c r="BD136" s="135"/>
      <c r="BE136" s="135"/>
      <c r="BF136" s="135"/>
      <c r="BG136" s="135"/>
      <c r="BH136" s="135"/>
      <c r="BI136" s="135"/>
      <c r="BJ136" s="135"/>
      <c r="BK136" s="135"/>
      <c r="BL136" s="135"/>
      <c r="BM136" s="135"/>
      <c r="BN136" s="135"/>
      <c r="BO136" s="135"/>
      <c r="BP136" s="135"/>
      <c r="BQ136" s="135"/>
      <c r="BR136" s="135"/>
      <c r="BS136" s="135"/>
      <c r="BT136" s="135"/>
      <c r="BU136" s="135"/>
      <c r="BV136" s="135"/>
      <c r="BW136" s="135"/>
      <c r="BX136" s="135"/>
      <c r="BY136" s="135"/>
      <c r="BZ136" s="119"/>
      <c r="CA136" s="119"/>
      <c r="CC136" s="79" t="n">
        <f aca="false">SUMIFS($T136:$CA136, $T$1:$CA$1, CC$63)</f>
        <v>0</v>
      </c>
      <c r="CD136" s="79" t="n">
        <f aca="false">SUMIFS($T136:$CA136, $T$1:$CA$1, CD$63)</f>
        <v>0</v>
      </c>
      <c r="CE136" s="79" t="n">
        <f aca="false">SUMIFS($T136:$CA136, $T$1:$CA$1, CE$63)</f>
        <v>0</v>
      </c>
      <c r="CF136" s="79" t="n">
        <f aca="false">SUMIFS($T136:$CA136, $T$1:$CA$1, CF$63)</f>
        <v>0</v>
      </c>
      <c r="CG136" s="79" t="n">
        <f aca="false">SUMIFS($T136:$CA136, $T$1:$CA$1, CG$63)</f>
        <v>0</v>
      </c>
      <c r="CI136" s="79" t="n">
        <f aca="false">CC136=L136</f>
        <v>1</v>
      </c>
      <c r="CJ136" s="79" t="n">
        <f aca="false">CD136=M136</f>
        <v>1</v>
      </c>
      <c r="CK136" s="79" t="n">
        <f aca="false">CE136=N136</f>
        <v>1</v>
      </c>
      <c r="CL136" s="79" t="n">
        <f aca="false">CF136=O136</f>
        <v>1</v>
      </c>
      <c r="CM136" s="79" t="n">
        <f aca="false">CG136=P136</f>
        <v>1</v>
      </c>
    </row>
    <row r="137" s="14" customFormat="true" ht="16.5" hidden="false" customHeight="true" outlineLevel="0" collapsed="false">
      <c r="D137" s="134"/>
      <c r="E137" s="91"/>
      <c r="L137" s="91"/>
      <c r="M137" s="91"/>
      <c r="N137" s="91"/>
      <c r="O137" s="91"/>
      <c r="P137" s="91"/>
      <c r="Q137" s="93"/>
      <c r="R137" s="16"/>
      <c r="T137" s="135"/>
      <c r="U137" s="135"/>
      <c r="V137" s="135"/>
      <c r="W137" s="135"/>
      <c r="X137" s="135"/>
      <c r="Y137" s="135"/>
      <c r="Z137" s="135"/>
      <c r="AA137" s="135"/>
      <c r="AB137" s="135"/>
      <c r="AC137" s="135"/>
      <c r="AD137" s="135"/>
      <c r="AE137" s="135"/>
      <c r="AF137" s="135"/>
      <c r="AG137" s="135"/>
      <c r="AH137" s="135"/>
      <c r="AI137" s="135"/>
      <c r="AJ137" s="135"/>
      <c r="AK137" s="135"/>
      <c r="AL137" s="135"/>
      <c r="AM137" s="135"/>
      <c r="AN137" s="135"/>
      <c r="AO137" s="135"/>
      <c r="AP137" s="135"/>
      <c r="AQ137" s="135"/>
      <c r="AR137" s="135"/>
      <c r="AS137" s="135"/>
      <c r="AT137" s="135"/>
      <c r="AU137" s="135"/>
      <c r="AV137" s="135"/>
      <c r="AW137" s="135"/>
      <c r="AX137" s="135"/>
      <c r="AY137" s="135"/>
      <c r="AZ137" s="135"/>
      <c r="BA137" s="135"/>
      <c r="BB137" s="135"/>
      <c r="BC137" s="135"/>
      <c r="BD137" s="135"/>
      <c r="BE137" s="135"/>
      <c r="BF137" s="135"/>
      <c r="BG137" s="135"/>
      <c r="BH137" s="135"/>
      <c r="BI137" s="135"/>
      <c r="BJ137" s="135"/>
      <c r="BK137" s="135"/>
      <c r="BL137" s="135"/>
      <c r="BM137" s="135"/>
      <c r="BN137" s="135"/>
      <c r="BO137" s="135"/>
      <c r="BP137" s="135"/>
      <c r="BQ137" s="135"/>
      <c r="BR137" s="135"/>
      <c r="BS137" s="135"/>
      <c r="BT137" s="135"/>
      <c r="BU137" s="135"/>
      <c r="BV137" s="135"/>
      <c r="BW137" s="135"/>
      <c r="BX137" s="135"/>
      <c r="BY137" s="135"/>
      <c r="BZ137" s="119"/>
      <c r="CA137" s="119"/>
      <c r="CC137" s="79" t="n">
        <f aca="false">SUMIFS($T137:$CA137, $T$1:$CA$1, CC$63)</f>
        <v>0</v>
      </c>
      <c r="CD137" s="79" t="n">
        <f aca="false">SUMIFS($T137:$CA137, $T$1:$CA$1, CD$63)</f>
        <v>0</v>
      </c>
      <c r="CE137" s="79" t="n">
        <f aca="false">SUMIFS($T137:$CA137, $T$1:$CA$1, CE$63)</f>
        <v>0</v>
      </c>
      <c r="CF137" s="79" t="n">
        <f aca="false">SUMIFS($T137:$CA137, $T$1:$CA$1, CF$63)</f>
        <v>0</v>
      </c>
      <c r="CG137" s="79" t="n">
        <f aca="false">SUMIFS($T137:$CA137, $T$1:$CA$1, CG$63)</f>
        <v>0</v>
      </c>
      <c r="CI137" s="79" t="n">
        <f aca="false">CC137=L137</f>
        <v>1</v>
      </c>
      <c r="CJ137" s="79" t="n">
        <f aca="false">CD137=M137</f>
        <v>1</v>
      </c>
      <c r="CK137" s="79" t="n">
        <f aca="false">CE137=N137</f>
        <v>1</v>
      </c>
      <c r="CL137" s="79" t="n">
        <f aca="false">CF137=O137</f>
        <v>1</v>
      </c>
      <c r="CM137" s="79" t="n">
        <f aca="false">CG137=P137</f>
        <v>1</v>
      </c>
    </row>
    <row r="138" s="14" customFormat="true" ht="16.5" hidden="false" customHeight="true" outlineLevel="0" collapsed="false">
      <c r="E138" s="96" t="s">
        <v>150</v>
      </c>
      <c r="L138" s="82" t="n">
        <f aca="false">SUM(L136:L137)</f>
        <v>0</v>
      </c>
      <c r="M138" s="82" t="n">
        <f aca="false">SUM(M136:M137)</f>
        <v>0</v>
      </c>
      <c r="N138" s="82" t="n">
        <f aca="false">SUM(N136:N137)</f>
        <v>0</v>
      </c>
      <c r="O138" s="82" t="n">
        <f aca="false">SUM(O136:O137)</f>
        <v>0</v>
      </c>
      <c r="P138" s="82" t="n">
        <f aca="false">SUM(P136:P137)</f>
        <v>0</v>
      </c>
      <c r="Q138" s="16"/>
      <c r="R138" s="16"/>
      <c r="T138" s="131" t="n">
        <f aca="false">SUM(T136:T137)</f>
        <v>0</v>
      </c>
      <c r="U138" s="131" t="n">
        <f aca="false">SUM(U136:U137)</f>
        <v>0</v>
      </c>
      <c r="V138" s="131" t="n">
        <f aca="false">SUM(V136:V137)</f>
        <v>0</v>
      </c>
      <c r="W138" s="131" t="n">
        <f aca="false">SUM(W136:W137)</f>
        <v>0</v>
      </c>
      <c r="X138" s="131" t="n">
        <f aca="false">SUM(X136:X137)</f>
        <v>0</v>
      </c>
      <c r="Y138" s="131" t="n">
        <f aca="false">SUM(Y136:Y137)</f>
        <v>0</v>
      </c>
      <c r="Z138" s="131" t="n">
        <f aca="false">SUM(Z136:Z137)</f>
        <v>0</v>
      </c>
      <c r="AA138" s="131" t="n">
        <f aca="false">SUM(AA136:AA137)</f>
        <v>0</v>
      </c>
      <c r="AB138" s="131" t="n">
        <f aca="false">SUM(AB136:AB137)</f>
        <v>0</v>
      </c>
      <c r="AC138" s="131" t="n">
        <f aca="false">SUM(AC136:AC137)</f>
        <v>0</v>
      </c>
      <c r="AD138" s="131" t="n">
        <f aca="false">SUM(AD136:AD137)</f>
        <v>0</v>
      </c>
      <c r="AE138" s="131" t="n">
        <f aca="false">SUM(AE136:AE137)</f>
        <v>0</v>
      </c>
      <c r="AF138" s="131" t="n">
        <f aca="false">SUM(AF136:AF137)</f>
        <v>0</v>
      </c>
      <c r="AG138" s="131" t="n">
        <f aca="false">SUM(AG136:AG137)</f>
        <v>0</v>
      </c>
      <c r="AH138" s="131" t="n">
        <f aca="false">SUM(AH136:AH137)</f>
        <v>0</v>
      </c>
      <c r="AI138" s="131" t="n">
        <f aca="false">SUM(AI136:AI137)</f>
        <v>0</v>
      </c>
      <c r="AJ138" s="131" t="n">
        <f aca="false">SUM(AJ136:AJ137)</f>
        <v>0</v>
      </c>
      <c r="AK138" s="131" t="n">
        <f aca="false">SUM(AK136:AK137)</f>
        <v>0</v>
      </c>
      <c r="AL138" s="131" t="n">
        <f aca="false">SUM(AL136:AL137)</f>
        <v>0</v>
      </c>
      <c r="AM138" s="131" t="n">
        <f aca="false">SUM(AM136:AM137)</f>
        <v>0</v>
      </c>
      <c r="AN138" s="131" t="n">
        <f aca="false">SUM(AN136:AN137)</f>
        <v>0</v>
      </c>
      <c r="AO138" s="131" t="n">
        <f aca="false">SUM(AO136:AO137)</f>
        <v>0</v>
      </c>
      <c r="AP138" s="131" t="n">
        <f aca="false">SUM(AP136:AP137)</f>
        <v>0</v>
      </c>
      <c r="AQ138" s="131" t="n">
        <f aca="false">SUM(AQ136:AQ137)</f>
        <v>0</v>
      </c>
      <c r="AR138" s="131" t="n">
        <f aca="false">SUM(AR136:AR137)</f>
        <v>0</v>
      </c>
      <c r="AS138" s="131" t="n">
        <f aca="false">SUM(AS136:AS137)</f>
        <v>0</v>
      </c>
      <c r="AT138" s="131" t="n">
        <f aca="false">SUM(AT136:AT137)</f>
        <v>0</v>
      </c>
      <c r="AU138" s="131" t="n">
        <f aca="false">SUM(AU136:AU137)</f>
        <v>0</v>
      </c>
      <c r="AV138" s="131" t="n">
        <f aca="false">SUM(AV136:AV137)</f>
        <v>0</v>
      </c>
      <c r="AW138" s="131" t="n">
        <f aca="false">SUM(AW136:AW137)</f>
        <v>0</v>
      </c>
      <c r="AX138" s="131" t="n">
        <f aca="false">SUM(AX136:AX137)</f>
        <v>0</v>
      </c>
      <c r="AY138" s="131" t="n">
        <f aca="false">SUM(AY136:AY137)</f>
        <v>0</v>
      </c>
      <c r="AZ138" s="131" t="n">
        <f aca="false">SUM(AZ136:AZ137)</f>
        <v>0</v>
      </c>
      <c r="BA138" s="131" t="n">
        <f aca="false">SUM(BA136:BA137)</f>
        <v>0</v>
      </c>
      <c r="BB138" s="131" t="n">
        <f aca="false">SUM(BB136:BB137)</f>
        <v>0</v>
      </c>
      <c r="BC138" s="131" t="n">
        <f aca="false">SUM(BC136:BC137)</f>
        <v>0</v>
      </c>
      <c r="BD138" s="131" t="n">
        <f aca="false">SUM(BD136:BD137)</f>
        <v>0</v>
      </c>
      <c r="BE138" s="131" t="n">
        <f aca="false">SUM(BE136:BE137)</f>
        <v>0</v>
      </c>
      <c r="BF138" s="131" t="n">
        <f aca="false">SUM(BF136:BF137)</f>
        <v>0</v>
      </c>
      <c r="BG138" s="131" t="n">
        <f aca="false">SUM(BG136:BG137)</f>
        <v>0</v>
      </c>
      <c r="BH138" s="131" t="n">
        <f aca="false">SUM(BH136:BH137)</f>
        <v>0</v>
      </c>
      <c r="BI138" s="131" t="n">
        <f aca="false">SUM(BI136:BI137)</f>
        <v>0</v>
      </c>
      <c r="BJ138" s="131" t="n">
        <f aca="false">SUM(BJ136:BJ137)</f>
        <v>0</v>
      </c>
      <c r="BK138" s="131" t="n">
        <f aca="false">SUM(BK136:BK137)</f>
        <v>0</v>
      </c>
      <c r="BL138" s="131" t="n">
        <f aca="false">SUM(BL136:BL137)</f>
        <v>0</v>
      </c>
      <c r="BM138" s="131" t="n">
        <f aca="false">SUM(BM136:BM137)</f>
        <v>0</v>
      </c>
      <c r="BN138" s="131" t="n">
        <f aca="false">SUM(BN136:BN137)</f>
        <v>0</v>
      </c>
      <c r="BO138" s="131" t="n">
        <f aca="false">SUM(BO136:BO137)</f>
        <v>0</v>
      </c>
      <c r="BP138" s="131" t="n">
        <f aca="false">SUM(BP136:BP137)</f>
        <v>0</v>
      </c>
      <c r="BQ138" s="131" t="n">
        <f aca="false">SUM(BQ136:BQ137)</f>
        <v>0</v>
      </c>
      <c r="BR138" s="131" t="n">
        <f aca="false">SUM(BR136:BR137)</f>
        <v>0</v>
      </c>
      <c r="BS138" s="131" t="n">
        <f aca="false">SUM(BS136:BS137)</f>
        <v>0</v>
      </c>
      <c r="BT138" s="131" t="n">
        <f aca="false">SUM(BT136:BT137)</f>
        <v>0</v>
      </c>
      <c r="BU138" s="131" t="n">
        <f aca="false">SUM(BU136:BU137)</f>
        <v>0</v>
      </c>
      <c r="BV138" s="131" t="n">
        <f aca="false">SUM(BV136:BV137)</f>
        <v>0</v>
      </c>
      <c r="BW138" s="131" t="n">
        <f aca="false">SUM(BW136:BW137)</f>
        <v>0</v>
      </c>
      <c r="BX138" s="131" t="n">
        <f aca="false">SUM(BX136:BX137)</f>
        <v>0</v>
      </c>
      <c r="BY138" s="131" t="n">
        <f aca="false">SUM(BY136:BY137)</f>
        <v>0</v>
      </c>
      <c r="BZ138" s="136" t="n">
        <f aca="false">SUM(BZ136:BZ137)</f>
        <v>0</v>
      </c>
      <c r="CA138" s="136" t="n">
        <f aca="false">SUM(CA136:CA137)</f>
        <v>0</v>
      </c>
      <c r="CC138" s="136" t="n">
        <f aca="false">SUM(CC136:CC137)</f>
        <v>0</v>
      </c>
      <c r="CD138" s="136" t="n">
        <f aca="false">SUM(CD136:CD137)</f>
        <v>0</v>
      </c>
      <c r="CE138" s="136" t="n">
        <f aca="false">SUM(CE136:CE137)</f>
        <v>0</v>
      </c>
      <c r="CF138" s="136" t="n">
        <f aca="false">SUM(CF136:CF137)</f>
        <v>0</v>
      </c>
      <c r="CG138" s="136" t="n">
        <f aca="false">SUM(CG136:CG137)</f>
        <v>0</v>
      </c>
      <c r="CI138" s="136" t="n">
        <f aca="false">CC138=L138</f>
        <v>1</v>
      </c>
      <c r="CJ138" s="136" t="n">
        <f aca="false">CD138=M138</f>
        <v>1</v>
      </c>
      <c r="CK138" s="136" t="n">
        <f aca="false">CE138=N138</f>
        <v>1</v>
      </c>
      <c r="CL138" s="136" t="n">
        <f aca="false">CF138=O138</f>
        <v>1</v>
      </c>
      <c r="CM138" s="136" t="n">
        <f aca="false">CG138=P138</f>
        <v>1</v>
      </c>
    </row>
    <row r="139" s="14" customFormat="true" ht="16.5" hidden="false" customHeight="true" outlineLevel="0" collapsed="false">
      <c r="L139" s="88"/>
      <c r="M139" s="88"/>
      <c r="N139" s="88"/>
      <c r="O139" s="88"/>
      <c r="P139" s="88"/>
      <c r="Q139" s="16"/>
      <c r="R139" s="16"/>
      <c r="T139" s="137"/>
      <c r="U139" s="137"/>
      <c r="V139" s="137"/>
      <c r="W139" s="137"/>
      <c r="X139" s="137"/>
      <c r="Y139" s="137"/>
      <c r="Z139" s="137"/>
      <c r="AA139" s="137"/>
      <c r="AB139" s="137"/>
      <c r="AC139" s="137"/>
      <c r="AD139" s="137"/>
      <c r="AE139" s="137"/>
      <c r="AF139" s="137"/>
      <c r="AG139" s="137"/>
      <c r="AH139" s="137"/>
      <c r="AI139" s="137"/>
      <c r="AJ139" s="137"/>
      <c r="AK139" s="137"/>
      <c r="AL139" s="137"/>
      <c r="AM139" s="137"/>
      <c r="AN139" s="137"/>
      <c r="AO139" s="137"/>
      <c r="AP139" s="137"/>
      <c r="AQ139" s="137"/>
      <c r="AR139" s="137"/>
      <c r="AS139" s="137"/>
      <c r="AT139" s="137"/>
      <c r="AU139" s="137"/>
      <c r="AV139" s="137"/>
      <c r="AW139" s="137"/>
      <c r="AX139" s="137"/>
      <c r="AY139" s="137"/>
      <c r="AZ139" s="137"/>
      <c r="BA139" s="137"/>
      <c r="BB139" s="137"/>
      <c r="BC139" s="137"/>
      <c r="BD139" s="137"/>
      <c r="BE139" s="137"/>
      <c r="BF139" s="137"/>
      <c r="BG139" s="137"/>
      <c r="BH139" s="137"/>
      <c r="BI139" s="137"/>
      <c r="BJ139" s="137"/>
      <c r="BK139" s="137"/>
      <c r="BL139" s="137"/>
      <c r="BM139" s="137"/>
      <c r="BN139" s="137"/>
      <c r="BO139" s="137"/>
      <c r="BP139" s="137"/>
      <c r="BQ139" s="137"/>
      <c r="BR139" s="137"/>
      <c r="BS139" s="137"/>
      <c r="BT139" s="137"/>
      <c r="BU139" s="137"/>
      <c r="BV139" s="137"/>
      <c r="BW139" s="137"/>
      <c r="BX139" s="137"/>
      <c r="BY139" s="137"/>
      <c r="BZ139" s="121"/>
      <c r="CA139" s="121"/>
    </row>
    <row r="140" s="14" customFormat="true" ht="16.5" hidden="false" customHeight="true" outlineLevel="0" collapsed="false">
      <c r="E140" s="21" t="s">
        <v>151</v>
      </c>
      <c r="L140" s="88"/>
      <c r="M140" s="88"/>
      <c r="N140" s="88"/>
      <c r="O140" s="88"/>
      <c r="P140" s="88"/>
      <c r="Q140" s="16"/>
      <c r="R140" s="16"/>
      <c r="T140" s="137"/>
      <c r="U140" s="137"/>
      <c r="V140" s="137"/>
      <c r="W140" s="137"/>
      <c r="X140" s="137"/>
      <c r="Y140" s="137"/>
      <c r="Z140" s="137"/>
      <c r="AA140" s="137"/>
      <c r="AB140" s="137"/>
      <c r="AC140" s="137"/>
      <c r="AD140" s="137"/>
      <c r="AE140" s="137"/>
      <c r="AF140" s="137"/>
      <c r="AG140" s="137"/>
      <c r="AH140" s="137"/>
      <c r="AI140" s="137"/>
      <c r="AJ140" s="137"/>
      <c r="AK140" s="137"/>
      <c r="AL140" s="137"/>
      <c r="AM140" s="137"/>
      <c r="AN140" s="137"/>
      <c r="AO140" s="137"/>
      <c r="AP140" s="137"/>
      <c r="AQ140" s="137"/>
      <c r="AR140" s="137"/>
      <c r="AS140" s="137"/>
      <c r="AT140" s="137"/>
      <c r="AU140" s="137"/>
      <c r="AV140" s="137"/>
      <c r="AW140" s="137"/>
      <c r="AX140" s="137"/>
      <c r="AY140" s="137"/>
      <c r="AZ140" s="137"/>
      <c r="BA140" s="137"/>
      <c r="BB140" s="137"/>
      <c r="BC140" s="137"/>
      <c r="BD140" s="137"/>
      <c r="BE140" s="137"/>
      <c r="BF140" s="137"/>
      <c r="BG140" s="137"/>
      <c r="BH140" s="137"/>
      <c r="BI140" s="137"/>
      <c r="BJ140" s="137"/>
      <c r="BK140" s="137"/>
      <c r="BL140" s="137"/>
      <c r="BM140" s="137"/>
      <c r="BN140" s="137"/>
      <c r="BO140" s="137"/>
      <c r="BP140" s="137"/>
      <c r="BQ140" s="137"/>
      <c r="BR140" s="137"/>
      <c r="BS140" s="137"/>
      <c r="BT140" s="137"/>
      <c r="BU140" s="137"/>
      <c r="BV140" s="137"/>
      <c r="BW140" s="137"/>
      <c r="BX140" s="137"/>
      <c r="BY140" s="137"/>
      <c r="BZ140" s="121"/>
      <c r="CA140" s="121"/>
    </row>
    <row r="141" s="14" customFormat="true" ht="16.5" hidden="false" customHeight="true" outlineLevel="0" collapsed="false">
      <c r="E141" s="91"/>
      <c r="K141" s="29"/>
      <c r="L141" s="91"/>
      <c r="M141" s="91"/>
      <c r="N141" s="91"/>
      <c r="O141" s="91"/>
      <c r="P141" s="91"/>
      <c r="Q141" s="93"/>
      <c r="R141" s="16"/>
      <c r="T141" s="135"/>
      <c r="U141" s="135"/>
      <c r="V141" s="135"/>
      <c r="W141" s="135"/>
      <c r="X141" s="135"/>
      <c r="Y141" s="135"/>
      <c r="Z141" s="135"/>
      <c r="AA141" s="135"/>
      <c r="AB141" s="135"/>
      <c r="AC141" s="135"/>
      <c r="AD141" s="135"/>
      <c r="AE141" s="135"/>
      <c r="AF141" s="135"/>
      <c r="AG141" s="135"/>
      <c r="AH141" s="135"/>
      <c r="AI141" s="135"/>
      <c r="AJ141" s="135"/>
      <c r="AK141" s="135"/>
      <c r="AL141" s="135"/>
      <c r="AM141" s="135"/>
      <c r="AN141" s="135"/>
      <c r="AO141" s="135"/>
      <c r="AP141" s="135"/>
      <c r="AQ141" s="135"/>
      <c r="AR141" s="135"/>
      <c r="AS141" s="135"/>
      <c r="AT141" s="135"/>
      <c r="AU141" s="135"/>
      <c r="AV141" s="135"/>
      <c r="AW141" s="135"/>
      <c r="AX141" s="135"/>
      <c r="AY141" s="135"/>
      <c r="AZ141" s="135"/>
      <c r="BA141" s="135"/>
      <c r="BB141" s="135"/>
      <c r="BC141" s="135"/>
      <c r="BD141" s="135"/>
      <c r="BE141" s="135"/>
      <c r="BF141" s="135"/>
      <c r="BG141" s="135"/>
      <c r="BH141" s="135"/>
      <c r="BI141" s="135"/>
      <c r="BJ141" s="135"/>
      <c r="BK141" s="135"/>
      <c r="BL141" s="135"/>
      <c r="BM141" s="135"/>
      <c r="BN141" s="135"/>
      <c r="BO141" s="135"/>
      <c r="BP141" s="135"/>
      <c r="BQ141" s="135"/>
      <c r="BR141" s="135"/>
      <c r="BS141" s="135"/>
      <c r="BT141" s="135"/>
      <c r="BU141" s="135"/>
      <c r="BV141" s="135"/>
      <c r="BW141" s="135"/>
      <c r="BX141" s="135"/>
      <c r="BY141" s="135"/>
      <c r="BZ141" s="138"/>
      <c r="CA141" s="138"/>
      <c r="CC141" s="79" t="n">
        <f aca="false">SUMIFS($T141:$CA141, $T$1:$CA$1, CC$63)</f>
        <v>0</v>
      </c>
      <c r="CD141" s="79" t="n">
        <f aca="false">SUMIFS($T141:$CA141, $T$1:$CA$1, CD$63)</f>
        <v>0</v>
      </c>
      <c r="CE141" s="79" t="n">
        <f aca="false">SUMIFS($T141:$CA141, $T$1:$CA$1, CE$63)</f>
        <v>0</v>
      </c>
      <c r="CF141" s="79" t="n">
        <f aca="false">SUMIFS($T141:$CA141, $T$1:$CA$1, CF$63)</f>
        <v>0</v>
      </c>
      <c r="CG141" s="79" t="n">
        <f aca="false">SUMIFS($T141:$CA141, $T$1:$CA$1, CG$63)</f>
        <v>0</v>
      </c>
      <c r="CI141" s="79" t="n">
        <f aca="false">CC141=L141</f>
        <v>1</v>
      </c>
      <c r="CJ141" s="79" t="n">
        <f aca="false">CD141=M141</f>
        <v>1</v>
      </c>
      <c r="CK141" s="79" t="n">
        <f aca="false">CE141=N141</f>
        <v>1</v>
      </c>
      <c r="CL141" s="79" t="n">
        <f aca="false">CF141=O141</f>
        <v>1</v>
      </c>
      <c r="CM141" s="79" t="n">
        <f aca="false">CG141=P141</f>
        <v>1</v>
      </c>
    </row>
    <row r="142" s="14" customFormat="true" ht="16.5" hidden="false" customHeight="true" outlineLevel="0" collapsed="false">
      <c r="E142" s="91"/>
      <c r="L142" s="91"/>
      <c r="M142" s="91"/>
      <c r="N142" s="91"/>
      <c r="O142" s="91"/>
      <c r="P142" s="91"/>
      <c r="Q142" s="93"/>
      <c r="R142" s="16"/>
      <c r="T142" s="135"/>
      <c r="U142" s="135"/>
      <c r="V142" s="135"/>
      <c r="W142" s="135"/>
      <c r="X142" s="135"/>
      <c r="Y142" s="135"/>
      <c r="Z142" s="135"/>
      <c r="AA142" s="135"/>
      <c r="AB142" s="135"/>
      <c r="AC142" s="135"/>
      <c r="AD142" s="135"/>
      <c r="AE142" s="135"/>
      <c r="AF142" s="135"/>
      <c r="AG142" s="135"/>
      <c r="AH142" s="135"/>
      <c r="AI142" s="135"/>
      <c r="AJ142" s="135"/>
      <c r="AK142" s="135"/>
      <c r="AL142" s="135"/>
      <c r="AM142" s="135"/>
      <c r="AN142" s="135"/>
      <c r="AO142" s="135"/>
      <c r="AP142" s="135"/>
      <c r="AQ142" s="135"/>
      <c r="AR142" s="135"/>
      <c r="AS142" s="135"/>
      <c r="AT142" s="135"/>
      <c r="AU142" s="135"/>
      <c r="AV142" s="135"/>
      <c r="AW142" s="135"/>
      <c r="AX142" s="135"/>
      <c r="AY142" s="135"/>
      <c r="AZ142" s="135"/>
      <c r="BA142" s="135"/>
      <c r="BB142" s="135"/>
      <c r="BC142" s="135"/>
      <c r="BD142" s="135"/>
      <c r="BE142" s="135"/>
      <c r="BF142" s="135"/>
      <c r="BG142" s="135"/>
      <c r="BH142" s="135"/>
      <c r="BI142" s="135"/>
      <c r="BJ142" s="135"/>
      <c r="BK142" s="135"/>
      <c r="BL142" s="135"/>
      <c r="BM142" s="135"/>
      <c r="BN142" s="135"/>
      <c r="BO142" s="135"/>
      <c r="BP142" s="135"/>
      <c r="BQ142" s="135"/>
      <c r="BR142" s="135"/>
      <c r="BS142" s="135"/>
      <c r="BT142" s="135"/>
      <c r="BU142" s="135"/>
      <c r="BV142" s="135"/>
      <c r="BW142" s="135"/>
      <c r="BX142" s="135"/>
      <c r="BY142" s="135"/>
      <c r="BZ142" s="138"/>
      <c r="CA142" s="138"/>
      <c r="CC142" s="79" t="n">
        <f aca="false">SUMIFS($T142:$CA142, $T$1:$CA$1, CC$63)</f>
        <v>0</v>
      </c>
      <c r="CD142" s="79" t="n">
        <f aca="false">SUMIFS($T142:$CA142, $T$1:$CA$1, CD$63)</f>
        <v>0</v>
      </c>
      <c r="CE142" s="79" t="n">
        <f aca="false">SUMIFS($T142:$CA142, $T$1:$CA$1, CE$63)</f>
        <v>0</v>
      </c>
      <c r="CF142" s="79" t="n">
        <f aca="false">SUMIFS($T142:$CA142, $T$1:$CA$1, CF$63)</f>
        <v>0</v>
      </c>
      <c r="CG142" s="79" t="n">
        <f aca="false">SUMIFS($T142:$CA142, $T$1:$CA$1, CG$63)</f>
        <v>0</v>
      </c>
      <c r="CI142" s="79" t="n">
        <f aca="false">CC142=L142</f>
        <v>1</v>
      </c>
      <c r="CJ142" s="79" t="n">
        <f aca="false">CD142=M142</f>
        <v>1</v>
      </c>
      <c r="CK142" s="79" t="n">
        <f aca="false">CE142=N142</f>
        <v>1</v>
      </c>
      <c r="CL142" s="79" t="n">
        <f aca="false">CF142=O142</f>
        <v>1</v>
      </c>
      <c r="CM142" s="79" t="n">
        <f aca="false">CG142=P142</f>
        <v>1</v>
      </c>
    </row>
    <row r="143" s="14" customFormat="true" ht="16.5" hidden="false" customHeight="true" outlineLevel="0" collapsed="false">
      <c r="E143" s="91"/>
      <c r="L143" s="91"/>
      <c r="M143" s="91"/>
      <c r="N143" s="91"/>
      <c r="O143" s="91"/>
      <c r="P143" s="91"/>
      <c r="Q143" s="93"/>
      <c r="R143" s="16"/>
      <c r="T143" s="135"/>
      <c r="U143" s="135"/>
      <c r="V143" s="135"/>
      <c r="W143" s="135"/>
      <c r="X143" s="135"/>
      <c r="Y143" s="135"/>
      <c r="Z143" s="135"/>
      <c r="AA143" s="135"/>
      <c r="AB143" s="135"/>
      <c r="AC143" s="135"/>
      <c r="AD143" s="135"/>
      <c r="AE143" s="135"/>
      <c r="AF143" s="135"/>
      <c r="AG143" s="135"/>
      <c r="AH143" s="135"/>
      <c r="AI143" s="135"/>
      <c r="AJ143" s="135"/>
      <c r="AK143" s="135"/>
      <c r="AL143" s="135"/>
      <c r="AM143" s="135"/>
      <c r="AN143" s="135"/>
      <c r="AO143" s="135"/>
      <c r="AP143" s="135"/>
      <c r="AQ143" s="135"/>
      <c r="AR143" s="135"/>
      <c r="AS143" s="135"/>
      <c r="AT143" s="135"/>
      <c r="AU143" s="135"/>
      <c r="AV143" s="135"/>
      <c r="AW143" s="135"/>
      <c r="AX143" s="135"/>
      <c r="AY143" s="135"/>
      <c r="AZ143" s="135"/>
      <c r="BA143" s="135"/>
      <c r="BB143" s="135"/>
      <c r="BC143" s="135"/>
      <c r="BD143" s="135"/>
      <c r="BE143" s="135"/>
      <c r="BF143" s="135"/>
      <c r="BG143" s="135"/>
      <c r="BH143" s="135"/>
      <c r="BI143" s="135"/>
      <c r="BJ143" s="135"/>
      <c r="BK143" s="135"/>
      <c r="BL143" s="135"/>
      <c r="BM143" s="135"/>
      <c r="BN143" s="135"/>
      <c r="BO143" s="135"/>
      <c r="BP143" s="135"/>
      <c r="BQ143" s="135"/>
      <c r="BR143" s="135"/>
      <c r="BS143" s="135"/>
      <c r="BT143" s="135"/>
      <c r="BU143" s="135"/>
      <c r="BV143" s="135"/>
      <c r="BW143" s="135"/>
      <c r="BX143" s="135"/>
      <c r="BY143" s="135"/>
      <c r="BZ143" s="138"/>
      <c r="CA143" s="138"/>
      <c r="CC143" s="79" t="n">
        <f aca="false">SUMIFS($T143:$CA143, $T$1:$CA$1, CC$63)</f>
        <v>0</v>
      </c>
      <c r="CD143" s="79" t="n">
        <f aca="false">SUMIFS($T143:$CA143, $T$1:$CA$1, CD$63)</f>
        <v>0</v>
      </c>
      <c r="CE143" s="79" t="n">
        <f aca="false">SUMIFS($T143:$CA143, $T$1:$CA$1, CE$63)</f>
        <v>0</v>
      </c>
      <c r="CF143" s="79" t="n">
        <f aca="false">SUMIFS($T143:$CA143, $T$1:$CA$1, CF$63)</f>
        <v>0</v>
      </c>
      <c r="CG143" s="79" t="n">
        <f aca="false">SUMIFS($T143:$CA143, $T$1:$CA$1, CG$63)</f>
        <v>0</v>
      </c>
      <c r="CI143" s="79" t="n">
        <f aca="false">CC143=L143</f>
        <v>1</v>
      </c>
      <c r="CJ143" s="79" t="n">
        <f aca="false">CD143=M143</f>
        <v>1</v>
      </c>
      <c r="CK143" s="79" t="n">
        <f aca="false">CE143=N143</f>
        <v>1</v>
      </c>
      <c r="CL143" s="79" t="n">
        <f aca="false">CF143=O143</f>
        <v>1</v>
      </c>
      <c r="CM143" s="79" t="n">
        <f aca="false">CG143=P143</f>
        <v>1</v>
      </c>
    </row>
    <row r="144" s="14" customFormat="true" ht="16.5" hidden="false" customHeight="true" outlineLevel="0" collapsed="false">
      <c r="E144" s="96" t="s">
        <v>152</v>
      </c>
      <c r="L144" s="82" t="n">
        <f aca="false">SUM(L141:L143)</f>
        <v>0</v>
      </c>
      <c r="M144" s="82" t="n">
        <f aca="false">SUM(M141:M143)</f>
        <v>0</v>
      </c>
      <c r="N144" s="82" t="n">
        <f aca="false">SUM(N141:N143)</f>
        <v>0</v>
      </c>
      <c r="O144" s="82" t="n">
        <f aca="false">SUM(O141:O143)</f>
        <v>0</v>
      </c>
      <c r="P144" s="82" t="n">
        <f aca="false">SUM(P141:P143)</f>
        <v>0</v>
      </c>
      <c r="Q144" s="16"/>
      <c r="R144" s="16"/>
      <c r="T144" s="131" t="n">
        <f aca="false">SUM(T141:T143)</f>
        <v>0</v>
      </c>
      <c r="U144" s="131" t="n">
        <f aca="false">SUM(U141:U143)</f>
        <v>0</v>
      </c>
      <c r="V144" s="131" t="n">
        <f aca="false">SUM(V141:V143)</f>
        <v>0</v>
      </c>
      <c r="W144" s="131" t="n">
        <f aca="false">SUM(W141:W143)</f>
        <v>0</v>
      </c>
      <c r="X144" s="131" t="n">
        <f aca="false">SUM(X141:X143)</f>
        <v>0</v>
      </c>
      <c r="Y144" s="131" t="n">
        <f aca="false">SUM(Y141:Y143)</f>
        <v>0</v>
      </c>
      <c r="Z144" s="131" t="n">
        <f aca="false">SUM(Z141:Z143)</f>
        <v>0</v>
      </c>
      <c r="AA144" s="131" t="n">
        <f aca="false">SUM(AA141:AA143)</f>
        <v>0</v>
      </c>
      <c r="AB144" s="131" t="n">
        <f aca="false">SUM(AB141:AB143)</f>
        <v>0</v>
      </c>
      <c r="AC144" s="131" t="n">
        <f aca="false">SUM(AC141:AC143)</f>
        <v>0</v>
      </c>
      <c r="AD144" s="131" t="n">
        <f aca="false">SUM(AD141:AD143)</f>
        <v>0</v>
      </c>
      <c r="AE144" s="131" t="n">
        <f aca="false">SUM(AE141:AE143)</f>
        <v>0</v>
      </c>
      <c r="AF144" s="131" t="n">
        <f aca="false">SUM(AF141:AF143)</f>
        <v>0</v>
      </c>
      <c r="AG144" s="131" t="n">
        <f aca="false">SUM(AG141:AG143)</f>
        <v>0</v>
      </c>
      <c r="AH144" s="131" t="n">
        <f aca="false">SUM(AH141:AH143)</f>
        <v>0</v>
      </c>
      <c r="AI144" s="131" t="n">
        <f aca="false">SUM(AI141:AI143)</f>
        <v>0</v>
      </c>
      <c r="AJ144" s="131" t="n">
        <f aca="false">SUM(AJ141:AJ143)</f>
        <v>0</v>
      </c>
      <c r="AK144" s="131" t="n">
        <f aca="false">SUM(AK141:AK143)</f>
        <v>0</v>
      </c>
      <c r="AL144" s="131" t="n">
        <f aca="false">SUM(AL141:AL143)</f>
        <v>0</v>
      </c>
      <c r="AM144" s="131" t="n">
        <f aca="false">SUM(AM141:AM143)</f>
        <v>0</v>
      </c>
      <c r="AN144" s="131" t="n">
        <f aca="false">SUM(AN141:AN143)</f>
        <v>0</v>
      </c>
      <c r="AO144" s="131" t="n">
        <f aca="false">SUM(AO141:AO143)</f>
        <v>0</v>
      </c>
      <c r="AP144" s="131" t="n">
        <f aca="false">SUM(AP141:AP143)</f>
        <v>0</v>
      </c>
      <c r="AQ144" s="131" t="n">
        <f aca="false">SUM(AQ141:AQ143)</f>
        <v>0</v>
      </c>
      <c r="AR144" s="131" t="n">
        <f aca="false">SUM(AR141:AR143)</f>
        <v>0</v>
      </c>
      <c r="AS144" s="131" t="n">
        <f aca="false">SUM(AS141:AS143)</f>
        <v>0</v>
      </c>
      <c r="AT144" s="131" t="n">
        <f aca="false">SUM(AT141:AT143)</f>
        <v>0</v>
      </c>
      <c r="AU144" s="131" t="n">
        <f aca="false">SUM(AU141:AU143)</f>
        <v>0</v>
      </c>
      <c r="AV144" s="131" t="n">
        <f aca="false">SUM(AV141:AV143)</f>
        <v>0</v>
      </c>
      <c r="AW144" s="131" t="n">
        <f aca="false">SUM(AW141:AW143)</f>
        <v>0</v>
      </c>
      <c r="AX144" s="131" t="n">
        <f aca="false">SUM(AX141:AX143)</f>
        <v>0</v>
      </c>
      <c r="AY144" s="131" t="n">
        <f aca="false">SUM(AY141:AY143)</f>
        <v>0</v>
      </c>
      <c r="AZ144" s="131" t="n">
        <f aca="false">SUM(AZ141:AZ143)</f>
        <v>0</v>
      </c>
      <c r="BA144" s="131" t="n">
        <f aca="false">SUM(BA141:BA143)</f>
        <v>0</v>
      </c>
      <c r="BB144" s="131" t="n">
        <f aca="false">SUM(BB141:BB143)</f>
        <v>0</v>
      </c>
      <c r="BC144" s="131" t="n">
        <f aca="false">SUM(BC141:BC143)</f>
        <v>0</v>
      </c>
      <c r="BD144" s="131" t="n">
        <f aca="false">SUM(BD141:BD143)</f>
        <v>0</v>
      </c>
      <c r="BE144" s="131" t="n">
        <f aca="false">SUM(BE141:BE143)</f>
        <v>0</v>
      </c>
      <c r="BF144" s="131" t="n">
        <f aca="false">SUM(BF141:BF143)</f>
        <v>0</v>
      </c>
      <c r="BG144" s="131" t="n">
        <f aca="false">SUM(BG141:BG143)</f>
        <v>0</v>
      </c>
      <c r="BH144" s="131" t="n">
        <f aca="false">SUM(BH141:BH143)</f>
        <v>0</v>
      </c>
      <c r="BI144" s="131" t="n">
        <f aca="false">SUM(BI141:BI143)</f>
        <v>0</v>
      </c>
      <c r="BJ144" s="131" t="n">
        <f aca="false">SUM(BJ141:BJ143)</f>
        <v>0</v>
      </c>
      <c r="BK144" s="131" t="n">
        <f aca="false">SUM(BK141:BK143)</f>
        <v>0</v>
      </c>
      <c r="BL144" s="131" t="n">
        <f aca="false">SUM(BL141:BL143)</f>
        <v>0</v>
      </c>
      <c r="BM144" s="131" t="n">
        <f aca="false">SUM(BM141:BM143)</f>
        <v>0</v>
      </c>
      <c r="BN144" s="131" t="n">
        <f aca="false">SUM(BN141:BN143)</f>
        <v>0</v>
      </c>
      <c r="BO144" s="131" t="n">
        <f aca="false">SUM(BO141:BO143)</f>
        <v>0</v>
      </c>
      <c r="BP144" s="131" t="n">
        <f aca="false">SUM(BP141:BP143)</f>
        <v>0</v>
      </c>
      <c r="BQ144" s="131" t="n">
        <f aca="false">SUM(BQ141:BQ143)</f>
        <v>0</v>
      </c>
      <c r="BR144" s="131" t="n">
        <f aca="false">SUM(BR141:BR143)</f>
        <v>0</v>
      </c>
      <c r="BS144" s="131" t="n">
        <f aca="false">SUM(BS141:BS143)</f>
        <v>0</v>
      </c>
      <c r="BT144" s="131" t="n">
        <f aca="false">SUM(BT141:BT143)</f>
        <v>0</v>
      </c>
      <c r="BU144" s="131" t="n">
        <f aca="false">SUM(BU141:BU143)</f>
        <v>0</v>
      </c>
      <c r="BV144" s="131" t="n">
        <f aca="false">SUM(BV141:BV143)</f>
        <v>0</v>
      </c>
      <c r="BW144" s="131" t="n">
        <f aca="false">SUM(BW141:BW143)</f>
        <v>0</v>
      </c>
      <c r="BX144" s="131" t="n">
        <f aca="false">SUM(BX141:BX143)</f>
        <v>0</v>
      </c>
      <c r="BY144" s="131" t="n">
        <f aca="false">SUM(BY141:BY143)</f>
        <v>0</v>
      </c>
      <c r="BZ144" s="136" t="n">
        <f aca="false">SUM(BZ141:BZ143)</f>
        <v>0</v>
      </c>
      <c r="CA144" s="136" t="n">
        <f aca="false">SUM(CA141:CA143)</f>
        <v>0</v>
      </c>
      <c r="CC144" s="136" t="n">
        <f aca="false">SUM(CC141:CC143)</f>
        <v>0</v>
      </c>
      <c r="CD144" s="136" t="n">
        <f aca="false">SUM(CD141:CD143)</f>
        <v>0</v>
      </c>
      <c r="CE144" s="136" t="n">
        <f aca="false">SUM(CE141:CE143)</f>
        <v>0</v>
      </c>
      <c r="CF144" s="136" t="n">
        <f aca="false">SUM(CF141:CF143)</f>
        <v>0</v>
      </c>
      <c r="CG144" s="136" t="n">
        <f aca="false">SUM(CG141:CG143)</f>
        <v>0</v>
      </c>
      <c r="CI144" s="136" t="n">
        <f aca="false">CC144=L144</f>
        <v>1</v>
      </c>
      <c r="CJ144" s="136" t="n">
        <f aca="false">CD144=M144</f>
        <v>1</v>
      </c>
      <c r="CK144" s="136" t="n">
        <f aca="false">CE144=N144</f>
        <v>1</v>
      </c>
      <c r="CL144" s="136" t="n">
        <f aca="false">CF144=O144</f>
        <v>1</v>
      </c>
      <c r="CM144" s="136" t="n">
        <f aca="false">CG144=P144</f>
        <v>1</v>
      </c>
    </row>
    <row r="145" s="14" customFormat="true" ht="16.5" hidden="false" customHeight="true" outlineLevel="0" collapsed="false">
      <c r="E145" s="96"/>
      <c r="L145" s="82"/>
      <c r="M145" s="82"/>
      <c r="N145" s="82"/>
      <c r="O145" s="82"/>
      <c r="P145" s="82"/>
      <c r="Q145" s="16"/>
      <c r="R145" s="16"/>
      <c r="T145" s="131"/>
      <c r="U145" s="131"/>
      <c r="V145" s="131"/>
      <c r="W145" s="131"/>
      <c r="X145" s="131"/>
      <c r="Y145" s="131"/>
      <c r="Z145" s="131"/>
      <c r="AA145" s="131"/>
      <c r="AB145" s="131"/>
      <c r="AC145" s="131"/>
      <c r="AD145" s="131"/>
      <c r="AE145" s="131"/>
      <c r="AF145" s="131"/>
      <c r="AG145" s="131"/>
      <c r="AH145" s="131"/>
      <c r="AI145" s="131"/>
      <c r="AJ145" s="131"/>
      <c r="AK145" s="131"/>
      <c r="AL145" s="131"/>
      <c r="AM145" s="131"/>
      <c r="AN145" s="131"/>
      <c r="AO145" s="131"/>
      <c r="AP145" s="131"/>
      <c r="AQ145" s="131"/>
      <c r="AR145" s="131"/>
      <c r="AS145" s="131"/>
      <c r="AT145" s="131"/>
      <c r="AU145" s="131"/>
      <c r="AV145" s="131"/>
      <c r="AW145" s="131"/>
      <c r="AX145" s="131"/>
      <c r="AY145" s="131"/>
      <c r="AZ145" s="131"/>
      <c r="BA145" s="131"/>
      <c r="BB145" s="131"/>
      <c r="BC145" s="131"/>
      <c r="BD145" s="131"/>
      <c r="BE145" s="131"/>
      <c r="BF145" s="131"/>
      <c r="BG145" s="131"/>
      <c r="BH145" s="131"/>
      <c r="BI145" s="131"/>
      <c r="BJ145" s="131"/>
      <c r="BK145" s="131"/>
      <c r="BL145" s="131"/>
      <c r="BM145" s="131"/>
      <c r="BN145" s="131"/>
      <c r="BO145" s="131"/>
      <c r="BP145" s="131"/>
      <c r="BQ145" s="131"/>
      <c r="BR145" s="131"/>
      <c r="BS145" s="131"/>
      <c r="BT145" s="131"/>
      <c r="BU145" s="131"/>
      <c r="BV145" s="131"/>
      <c r="BW145" s="131"/>
      <c r="BX145" s="131"/>
      <c r="BY145" s="131"/>
      <c r="BZ145" s="136"/>
      <c r="CA145" s="136"/>
    </row>
    <row r="146" s="14" customFormat="true" ht="16.5" hidden="false" customHeight="true" outlineLevel="0" collapsed="false">
      <c r="E146" s="96"/>
      <c r="L146" s="82"/>
      <c r="M146" s="82"/>
      <c r="N146" s="82"/>
      <c r="O146" s="82"/>
      <c r="P146" s="82"/>
      <c r="Q146" s="16"/>
      <c r="R146" s="16"/>
      <c r="T146" s="131"/>
      <c r="U146" s="131"/>
      <c r="V146" s="131"/>
      <c r="W146" s="131"/>
      <c r="X146" s="131"/>
      <c r="Y146" s="131"/>
      <c r="Z146" s="131"/>
      <c r="AA146" s="131"/>
      <c r="AB146" s="131"/>
      <c r="AC146" s="131"/>
      <c r="AD146" s="131"/>
      <c r="AE146" s="131"/>
      <c r="AF146" s="131"/>
      <c r="AG146" s="131"/>
      <c r="AH146" s="131"/>
      <c r="AI146" s="131"/>
      <c r="AJ146" s="131"/>
      <c r="AK146" s="131"/>
      <c r="AL146" s="131"/>
      <c r="AM146" s="131"/>
      <c r="AN146" s="131"/>
      <c r="AO146" s="131"/>
      <c r="AP146" s="131"/>
      <c r="AQ146" s="131"/>
      <c r="AR146" s="131"/>
      <c r="AS146" s="131"/>
      <c r="AT146" s="131"/>
      <c r="AU146" s="131"/>
      <c r="AV146" s="131"/>
      <c r="AW146" s="131"/>
      <c r="AX146" s="131"/>
      <c r="AY146" s="131"/>
      <c r="AZ146" s="131"/>
      <c r="BA146" s="131"/>
      <c r="BB146" s="131"/>
      <c r="BC146" s="131"/>
      <c r="BD146" s="131"/>
      <c r="BE146" s="131"/>
      <c r="BF146" s="131"/>
      <c r="BG146" s="131"/>
      <c r="BH146" s="131"/>
      <c r="BI146" s="131"/>
      <c r="BJ146" s="131"/>
      <c r="BK146" s="131"/>
      <c r="BL146" s="131"/>
      <c r="BM146" s="131"/>
      <c r="BN146" s="131"/>
      <c r="BO146" s="131"/>
      <c r="BP146" s="131"/>
      <c r="BQ146" s="131"/>
      <c r="BR146" s="131"/>
      <c r="BS146" s="131"/>
      <c r="BT146" s="131"/>
      <c r="BU146" s="131"/>
      <c r="BV146" s="131"/>
      <c r="BW146" s="131"/>
      <c r="BX146" s="131"/>
      <c r="BY146" s="131"/>
      <c r="BZ146" s="136"/>
      <c r="CA146" s="136"/>
    </row>
    <row r="147" s="14" customFormat="true" ht="16.5" hidden="false" customHeight="true" outlineLevel="0" collapsed="false">
      <c r="E147" s="109" t="s">
        <v>153</v>
      </c>
      <c r="F147" s="109"/>
      <c r="G147" s="109"/>
      <c r="H147" s="109"/>
      <c r="I147" s="132"/>
      <c r="J147" s="132"/>
      <c r="K147" s="132"/>
      <c r="L147" s="120" t="n">
        <f aca="false">SUM(L138, L144)</f>
        <v>0</v>
      </c>
      <c r="M147" s="120" t="n">
        <f aca="false">SUM(M138, M144)</f>
        <v>0</v>
      </c>
      <c r="N147" s="120" t="n">
        <f aca="false">SUM(N138, N144)</f>
        <v>0</v>
      </c>
      <c r="O147" s="120" t="n">
        <f aca="false">SUM(O138, O144)</f>
        <v>0</v>
      </c>
      <c r="P147" s="120" t="n">
        <f aca="false">SUM(P138, P144)</f>
        <v>0</v>
      </c>
      <c r="Q147" s="139"/>
      <c r="R147" s="139"/>
      <c r="T147" s="120" t="n">
        <f aca="false">SUM(T138, T144)</f>
        <v>0</v>
      </c>
      <c r="U147" s="120" t="n">
        <f aca="false">SUM(U138, U144)</f>
        <v>0</v>
      </c>
      <c r="V147" s="120" t="n">
        <f aca="false">SUM(V138, V144)</f>
        <v>0</v>
      </c>
      <c r="W147" s="120" t="n">
        <f aca="false">SUM(W138, W144)</f>
        <v>0</v>
      </c>
      <c r="X147" s="120" t="n">
        <f aca="false">SUM(X138, X144)</f>
        <v>0</v>
      </c>
      <c r="Y147" s="120" t="n">
        <f aca="false">SUM(Y138, Y144)</f>
        <v>0</v>
      </c>
      <c r="Z147" s="120" t="n">
        <f aca="false">SUM(Z138, Z144)</f>
        <v>0</v>
      </c>
      <c r="AA147" s="120" t="n">
        <f aca="false">SUM(AA138, AA144)</f>
        <v>0</v>
      </c>
      <c r="AB147" s="120" t="n">
        <f aca="false">SUM(AB138, AB144)</f>
        <v>0</v>
      </c>
      <c r="AC147" s="120" t="n">
        <f aca="false">SUM(AC138, AC144)</f>
        <v>0</v>
      </c>
      <c r="AD147" s="120" t="n">
        <f aca="false">SUM(AD138, AD144)</f>
        <v>0</v>
      </c>
      <c r="AE147" s="120" t="n">
        <f aca="false">SUM(AE138, AE144)</f>
        <v>0</v>
      </c>
      <c r="AF147" s="120" t="n">
        <f aca="false">SUM(AF138, AF144)</f>
        <v>0</v>
      </c>
      <c r="AG147" s="120" t="n">
        <f aca="false">SUM(AG138, AG144)</f>
        <v>0</v>
      </c>
      <c r="AH147" s="120" t="n">
        <f aca="false">SUM(AH138, AH144)</f>
        <v>0</v>
      </c>
      <c r="AI147" s="120" t="n">
        <f aca="false">SUM(AI138, AI144)</f>
        <v>0</v>
      </c>
      <c r="AJ147" s="120" t="n">
        <f aca="false">SUM(AJ138, AJ144)</f>
        <v>0</v>
      </c>
      <c r="AK147" s="120" t="n">
        <f aca="false">SUM(AK138, AK144)</f>
        <v>0</v>
      </c>
      <c r="AL147" s="120" t="n">
        <f aca="false">SUM(AL138, AL144)</f>
        <v>0</v>
      </c>
      <c r="AM147" s="120" t="n">
        <f aca="false">SUM(AM138, AM144)</f>
        <v>0</v>
      </c>
      <c r="AN147" s="120" t="n">
        <f aca="false">SUM(AN138, AN144)</f>
        <v>0</v>
      </c>
      <c r="AO147" s="120" t="n">
        <f aca="false">SUM(AO138, AO144)</f>
        <v>0</v>
      </c>
      <c r="AP147" s="120" t="n">
        <f aca="false">SUM(AP138, AP144)</f>
        <v>0</v>
      </c>
      <c r="AQ147" s="120" t="n">
        <f aca="false">SUM(AQ138, AQ144)</f>
        <v>0</v>
      </c>
      <c r="AR147" s="120" t="n">
        <f aca="false">SUM(AR138, AR144)</f>
        <v>0</v>
      </c>
      <c r="AS147" s="120" t="n">
        <f aca="false">SUM(AS138, AS144)</f>
        <v>0</v>
      </c>
      <c r="AT147" s="120" t="n">
        <f aca="false">SUM(AT138, AT144)</f>
        <v>0</v>
      </c>
      <c r="AU147" s="120" t="n">
        <f aca="false">SUM(AU138, AU144)</f>
        <v>0</v>
      </c>
      <c r="AV147" s="120" t="n">
        <f aca="false">SUM(AV138, AV144)</f>
        <v>0</v>
      </c>
      <c r="AW147" s="120" t="n">
        <f aca="false">SUM(AW138, AW144)</f>
        <v>0</v>
      </c>
      <c r="AX147" s="120" t="n">
        <f aca="false">SUM(AX138, AX144)</f>
        <v>0</v>
      </c>
      <c r="AY147" s="120" t="n">
        <f aca="false">SUM(AY138, AY144)</f>
        <v>0</v>
      </c>
      <c r="AZ147" s="120" t="n">
        <f aca="false">SUM(AZ138, AZ144)</f>
        <v>0</v>
      </c>
      <c r="BA147" s="120" t="n">
        <f aca="false">SUM(BA138, BA144)</f>
        <v>0</v>
      </c>
      <c r="BB147" s="120" t="n">
        <f aca="false">SUM(BB138, BB144)</f>
        <v>0</v>
      </c>
      <c r="BC147" s="120" t="n">
        <f aca="false">SUM(BC138, BC144)</f>
        <v>0</v>
      </c>
      <c r="BD147" s="120" t="n">
        <f aca="false">SUM(BD138, BD144)</f>
        <v>0</v>
      </c>
      <c r="BE147" s="120" t="n">
        <f aca="false">SUM(BE138, BE144)</f>
        <v>0</v>
      </c>
      <c r="BF147" s="120" t="n">
        <f aca="false">SUM(BF138, BF144)</f>
        <v>0</v>
      </c>
      <c r="BG147" s="120" t="n">
        <f aca="false">SUM(BG138, BG144)</f>
        <v>0</v>
      </c>
      <c r="BH147" s="120" t="n">
        <f aca="false">SUM(BH138, BH144)</f>
        <v>0</v>
      </c>
      <c r="BI147" s="120" t="n">
        <f aca="false">SUM(BI138, BI144)</f>
        <v>0</v>
      </c>
      <c r="BJ147" s="120" t="n">
        <f aca="false">SUM(BJ138, BJ144)</f>
        <v>0</v>
      </c>
      <c r="BK147" s="120" t="n">
        <f aca="false">SUM(BK138, BK144)</f>
        <v>0</v>
      </c>
      <c r="BL147" s="120" t="n">
        <f aca="false">SUM(BL138, BL144)</f>
        <v>0</v>
      </c>
      <c r="BM147" s="120" t="n">
        <f aca="false">SUM(BM138, BM144)</f>
        <v>0</v>
      </c>
      <c r="BN147" s="120" t="n">
        <f aca="false">SUM(BN138, BN144)</f>
        <v>0</v>
      </c>
      <c r="BO147" s="120" t="n">
        <f aca="false">SUM(BO138, BO144)</f>
        <v>0</v>
      </c>
      <c r="BP147" s="120" t="n">
        <f aca="false">SUM(BP138, BP144)</f>
        <v>0</v>
      </c>
      <c r="BQ147" s="120" t="n">
        <f aca="false">SUM(BQ138, BQ144)</f>
        <v>0</v>
      </c>
      <c r="BR147" s="120" t="n">
        <f aca="false">SUM(BR138, BR144)</f>
        <v>0</v>
      </c>
      <c r="BS147" s="120" t="n">
        <f aca="false">SUM(BS138, BS144)</f>
        <v>0</v>
      </c>
      <c r="BT147" s="120" t="n">
        <f aca="false">SUM(BT138, BT144)</f>
        <v>0</v>
      </c>
      <c r="BU147" s="120" t="n">
        <f aca="false">SUM(BU138, BU144)</f>
        <v>0</v>
      </c>
      <c r="BV147" s="120" t="n">
        <f aca="false">SUM(BV138, BV144)</f>
        <v>0</v>
      </c>
      <c r="BW147" s="120" t="n">
        <f aca="false">SUM(BW138, BW144)</f>
        <v>0</v>
      </c>
      <c r="BX147" s="120" t="n">
        <f aca="false">SUM(BX138, BX144)</f>
        <v>0</v>
      </c>
      <c r="BY147" s="120" t="n">
        <f aca="false">SUM(BY138, BY144)</f>
        <v>0</v>
      </c>
      <c r="BZ147" s="120" t="n">
        <f aca="false">SUM(BZ138, BZ144)</f>
        <v>0</v>
      </c>
      <c r="CA147" s="120" t="n">
        <f aca="false">SUM(CA138, CA144)</f>
        <v>0</v>
      </c>
      <c r="CC147" s="120" t="n">
        <f aca="false">SUM(CC138, CC144)</f>
        <v>0</v>
      </c>
      <c r="CD147" s="120" t="n">
        <f aca="false">SUM(CD138, CD144)</f>
        <v>0</v>
      </c>
      <c r="CE147" s="120" t="n">
        <f aca="false">SUM(CE138, CE144)</f>
        <v>0</v>
      </c>
      <c r="CF147" s="120" t="n">
        <f aca="false">SUM(CF138, CF144)</f>
        <v>0</v>
      </c>
      <c r="CG147" s="120" t="n">
        <f aca="false">SUM(CG138, CG144)</f>
        <v>0</v>
      </c>
      <c r="CI147" s="140" t="n">
        <f aca="false">CC147=L147</f>
        <v>1</v>
      </c>
      <c r="CJ147" s="140" t="n">
        <f aca="false">CD147=M147</f>
        <v>1</v>
      </c>
      <c r="CK147" s="140" t="n">
        <f aca="false">CE147=N147</f>
        <v>1</v>
      </c>
      <c r="CL147" s="140" t="n">
        <f aca="false">CF147=O147</f>
        <v>1</v>
      </c>
      <c r="CM147" s="140" t="n">
        <f aca="false">CG147=P147</f>
        <v>1</v>
      </c>
    </row>
    <row r="148" s="14" customFormat="true" ht="16.5" hidden="false" customHeight="true" outlineLevel="0" collapsed="false">
      <c r="E148" s="21"/>
      <c r="L148" s="88"/>
      <c r="M148" s="88"/>
      <c r="N148" s="88"/>
      <c r="O148" s="88"/>
      <c r="P148" s="88"/>
      <c r="Q148" s="121"/>
      <c r="R148" s="121"/>
      <c r="T148" s="137"/>
      <c r="U148" s="137"/>
      <c r="V148" s="137"/>
      <c r="W148" s="137"/>
      <c r="X148" s="137"/>
      <c r="Y148" s="137"/>
      <c r="Z148" s="137"/>
      <c r="AA148" s="137"/>
      <c r="AB148" s="137"/>
      <c r="AC148" s="137"/>
      <c r="AD148" s="137"/>
      <c r="AE148" s="137"/>
      <c r="AF148" s="137"/>
      <c r="AG148" s="137"/>
      <c r="AH148" s="137"/>
      <c r="AI148" s="137"/>
      <c r="AJ148" s="137"/>
      <c r="AK148" s="137"/>
      <c r="AL148" s="137"/>
      <c r="AM148" s="137"/>
      <c r="AN148" s="137"/>
      <c r="AO148" s="137"/>
      <c r="AP148" s="137"/>
      <c r="AQ148" s="137"/>
      <c r="AR148" s="137"/>
      <c r="AS148" s="137"/>
      <c r="AT148" s="137"/>
      <c r="AU148" s="137"/>
      <c r="AV148" s="137"/>
      <c r="AW148" s="137"/>
      <c r="AX148" s="137"/>
      <c r="AY148" s="137"/>
      <c r="AZ148" s="137"/>
      <c r="BA148" s="137"/>
      <c r="BB148" s="137"/>
      <c r="BC148" s="137"/>
      <c r="BD148" s="137"/>
      <c r="BE148" s="137"/>
      <c r="BF148" s="137"/>
      <c r="BG148" s="137"/>
      <c r="BH148" s="137"/>
      <c r="BI148" s="137"/>
      <c r="BJ148" s="137"/>
      <c r="BK148" s="137"/>
      <c r="BL148" s="137"/>
      <c r="BM148" s="137"/>
      <c r="BN148" s="137"/>
      <c r="BO148" s="137"/>
      <c r="BP148" s="137"/>
      <c r="BQ148" s="137"/>
      <c r="BR148" s="137"/>
      <c r="BS148" s="137"/>
      <c r="BT148" s="137"/>
      <c r="BU148" s="137"/>
      <c r="BV148" s="137"/>
      <c r="BW148" s="137"/>
      <c r="BX148" s="137"/>
      <c r="BY148" s="137"/>
      <c r="BZ148" s="121"/>
      <c r="CA148" s="121"/>
    </row>
    <row r="149" s="14" customFormat="true" ht="16.5" hidden="false" customHeight="true" outlineLevel="0" collapsed="false">
      <c r="E149" s="141" t="s">
        <v>401</v>
      </c>
      <c r="F149" s="123"/>
      <c r="G149" s="123"/>
      <c r="H149" s="123"/>
      <c r="I149" s="126"/>
      <c r="J149" s="126"/>
      <c r="K149" s="142"/>
      <c r="L149" s="125" t="n">
        <f aca="false">SUM(L130, -L147)</f>
        <v>0</v>
      </c>
      <c r="M149" s="125" t="n">
        <f aca="false">SUM(M130, -M147)</f>
        <v>0</v>
      </c>
      <c r="N149" s="125" t="n">
        <f aca="false">SUM(N130, -N147)</f>
        <v>0</v>
      </c>
      <c r="O149" s="125" t="n">
        <f aca="false">SUM(O130, -O147)</f>
        <v>0</v>
      </c>
      <c r="P149" s="125" t="n">
        <f aca="false">SUM(P130, -P147)</f>
        <v>0</v>
      </c>
      <c r="Q149" s="143"/>
      <c r="R149" s="143"/>
      <c r="T149" s="144" t="n">
        <f aca="false">SUM(T130, -T147)</f>
        <v>0</v>
      </c>
      <c r="U149" s="144" t="n">
        <f aca="false">SUM(U130, -U147)</f>
        <v>0</v>
      </c>
      <c r="V149" s="144" t="n">
        <f aca="false">SUM(V130, -V147)</f>
        <v>0</v>
      </c>
      <c r="W149" s="144" t="n">
        <f aca="false">SUM(W130, -W147)</f>
        <v>0</v>
      </c>
      <c r="X149" s="144" t="n">
        <f aca="false">SUM(X130, -X147)</f>
        <v>0</v>
      </c>
      <c r="Y149" s="144" t="n">
        <f aca="false">SUM(Y130, -Y147)</f>
        <v>0</v>
      </c>
      <c r="Z149" s="144" t="n">
        <f aca="false">SUM(Z130, -Z147)</f>
        <v>0</v>
      </c>
      <c r="AA149" s="144" t="n">
        <f aca="false">SUM(AA130, -AA147)</f>
        <v>0</v>
      </c>
      <c r="AB149" s="144" t="n">
        <f aca="false">SUM(AB130, -AB147)</f>
        <v>0</v>
      </c>
      <c r="AC149" s="144" t="n">
        <f aca="false">SUM(AC130, -AC147)</f>
        <v>0</v>
      </c>
      <c r="AD149" s="144" t="n">
        <f aca="false">SUM(AD130, -AD147)</f>
        <v>0</v>
      </c>
      <c r="AE149" s="144" t="n">
        <f aca="false">SUM(AE130, -AE147)</f>
        <v>0</v>
      </c>
      <c r="AF149" s="144" t="n">
        <f aca="false">SUM(AF130, -AF147)</f>
        <v>0</v>
      </c>
      <c r="AG149" s="144" t="n">
        <f aca="false">SUM(AG130, -AG147)</f>
        <v>0</v>
      </c>
      <c r="AH149" s="144" t="n">
        <f aca="false">SUM(AH130, -AH147)</f>
        <v>0</v>
      </c>
      <c r="AI149" s="144" t="n">
        <f aca="false">SUM(AI130, -AI147)</f>
        <v>0</v>
      </c>
      <c r="AJ149" s="144" t="n">
        <f aca="false">SUM(AJ130, -AJ147)</f>
        <v>0</v>
      </c>
      <c r="AK149" s="144" t="n">
        <f aca="false">SUM(AK130, -AK147)</f>
        <v>0</v>
      </c>
      <c r="AL149" s="144" t="n">
        <f aca="false">SUM(AL130, -AL147)</f>
        <v>0</v>
      </c>
      <c r="AM149" s="144" t="n">
        <f aca="false">SUM(AM130, -AM147)</f>
        <v>0</v>
      </c>
      <c r="AN149" s="144" t="n">
        <f aca="false">SUM(AN130, -AN147)</f>
        <v>0</v>
      </c>
      <c r="AO149" s="144" t="n">
        <f aca="false">SUM(AO130, -AO147)</f>
        <v>0</v>
      </c>
      <c r="AP149" s="144" t="n">
        <f aca="false">SUM(AP130, -AP147)</f>
        <v>0</v>
      </c>
      <c r="AQ149" s="144" t="n">
        <f aca="false">SUM(AQ130, -AQ147)</f>
        <v>0</v>
      </c>
      <c r="AR149" s="144" t="n">
        <f aca="false">SUM(AR130, -AR147)</f>
        <v>0</v>
      </c>
      <c r="AS149" s="144" t="n">
        <f aca="false">SUM(AS130, -AS147)</f>
        <v>0</v>
      </c>
      <c r="AT149" s="144" t="n">
        <f aca="false">SUM(AT130, -AT147)</f>
        <v>0</v>
      </c>
      <c r="AU149" s="144" t="n">
        <f aca="false">SUM(AU130, -AU147)</f>
        <v>0</v>
      </c>
      <c r="AV149" s="144" t="n">
        <f aca="false">SUM(AV130, -AV147)</f>
        <v>0</v>
      </c>
      <c r="AW149" s="144" t="n">
        <f aca="false">SUM(AW130, -AW147)</f>
        <v>0</v>
      </c>
      <c r="AX149" s="144" t="n">
        <f aca="false">SUM(AX130, -AX147)</f>
        <v>0</v>
      </c>
      <c r="AY149" s="144" t="n">
        <f aca="false">SUM(AY130, -AY147)</f>
        <v>0</v>
      </c>
      <c r="AZ149" s="144" t="n">
        <f aca="false">SUM(AZ130, -AZ147)</f>
        <v>0</v>
      </c>
      <c r="BA149" s="144" t="n">
        <f aca="false">SUM(BA130, -BA147)</f>
        <v>0</v>
      </c>
      <c r="BB149" s="144" t="n">
        <f aca="false">SUM(BB130, -BB147)</f>
        <v>0</v>
      </c>
      <c r="BC149" s="144" t="n">
        <f aca="false">SUM(BC130, -BC147)</f>
        <v>0</v>
      </c>
      <c r="BD149" s="144" t="n">
        <f aca="false">SUM(BD130, -BD147)</f>
        <v>0</v>
      </c>
      <c r="BE149" s="144" t="n">
        <f aca="false">SUM(BE130, -BE147)</f>
        <v>0</v>
      </c>
      <c r="BF149" s="144" t="n">
        <f aca="false">SUM(BF130, -BF147)</f>
        <v>0</v>
      </c>
      <c r="BG149" s="144" t="n">
        <f aca="false">SUM(BG130, -BG147)</f>
        <v>0</v>
      </c>
      <c r="BH149" s="144" t="n">
        <f aca="false">SUM(BH130, -BH147)</f>
        <v>0</v>
      </c>
      <c r="BI149" s="144" t="n">
        <f aca="false">SUM(BI130, -BI147)</f>
        <v>0</v>
      </c>
      <c r="BJ149" s="144" t="n">
        <f aca="false">SUM(BJ130, -BJ147)</f>
        <v>0</v>
      </c>
      <c r="BK149" s="144" t="n">
        <f aca="false">SUM(BK130, -BK147)</f>
        <v>0</v>
      </c>
      <c r="BL149" s="144" t="n">
        <f aca="false">SUM(BL130, -BL147)</f>
        <v>0</v>
      </c>
      <c r="BM149" s="144" t="n">
        <f aca="false">SUM(BM130, -BM147)</f>
        <v>0</v>
      </c>
      <c r="BN149" s="144" t="n">
        <f aca="false">SUM(BN130, -BN147)</f>
        <v>0</v>
      </c>
      <c r="BO149" s="144" t="n">
        <f aca="false">SUM(BO130, -BO147)</f>
        <v>0</v>
      </c>
      <c r="BP149" s="144" t="n">
        <f aca="false">SUM(BP130, -BP147)</f>
        <v>0</v>
      </c>
      <c r="BQ149" s="144" t="n">
        <f aca="false">SUM(BQ130, -BQ147)</f>
        <v>0</v>
      </c>
      <c r="BR149" s="144" t="n">
        <f aca="false">SUM(BR130, -BR147)</f>
        <v>0</v>
      </c>
      <c r="BS149" s="144" t="n">
        <f aca="false">SUM(BS130, -BS147)</f>
        <v>0</v>
      </c>
      <c r="BT149" s="144" t="n">
        <f aca="false">SUM(BT130, -BT147)</f>
        <v>0</v>
      </c>
      <c r="BU149" s="144" t="n">
        <f aca="false">SUM(BU130, -BU147)</f>
        <v>0</v>
      </c>
      <c r="BV149" s="144" t="n">
        <f aca="false">SUM(BV130, -BV147)</f>
        <v>0</v>
      </c>
      <c r="BW149" s="144" t="n">
        <f aca="false">SUM(BW130, -BW147)</f>
        <v>0</v>
      </c>
      <c r="BX149" s="144" t="n">
        <f aca="false">SUM(BX130, -BX147)</f>
        <v>0</v>
      </c>
      <c r="BY149" s="144" t="n">
        <f aca="false">SUM(BY130, -BY147)</f>
        <v>0</v>
      </c>
      <c r="BZ149" s="143" t="n">
        <f aca="false">SUM(BZ130, -BZ147)</f>
        <v>0</v>
      </c>
      <c r="CA149" s="143" t="n">
        <f aca="false">SUM(CA130, -CA147)</f>
        <v>0</v>
      </c>
      <c r="CC149" s="143" t="n">
        <f aca="false">SUM(CC130, -CC147)</f>
        <v>0</v>
      </c>
      <c r="CD149" s="143" t="n">
        <f aca="false">SUM(CD130, -CD147)</f>
        <v>0</v>
      </c>
      <c r="CE149" s="143" t="n">
        <f aca="false">SUM(CE130, -CE147)</f>
        <v>0</v>
      </c>
      <c r="CF149" s="143" t="n">
        <f aca="false">SUM(CF130, -CF147)</f>
        <v>0</v>
      </c>
      <c r="CG149" s="143" t="n">
        <f aca="false">SUM(CG130, -CG147)</f>
        <v>0</v>
      </c>
      <c r="CI149" s="143" t="n">
        <f aca="false">CC149=L149</f>
        <v>1</v>
      </c>
      <c r="CJ149" s="143" t="n">
        <f aca="false">CD149=M149</f>
        <v>1</v>
      </c>
      <c r="CK149" s="143" t="n">
        <f aca="false">CE149=N149</f>
        <v>1</v>
      </c>
      <c r="CL149" s="143" t="n">
        <f aca="false">CF149=O149</f>
        <v>1</v>
      </c>
      <c r="CM149" s="143" t="n">
        <f aca="false">CG149=P149</f>
        <v>1</v>
      </c>
    </row>
    <row r="150" s="14" customFormat="true" ht="16.5" hidden="false" customHeight="true" outlineLevel="0" collapsed="false">
      <c r="E150" s="21"/>
      <c r="H150" s="21"/>
      <c r="I150" s="21"/>
      <c r="J150" s="21"/>
      <c r="K150" s="21"/>
      <c r="L150" s="21"/>
      <c r="M150" s="21"/>
      <c r="N150" s="21"/>
      <c r="O150" s="21"/>
      <c r="P150" s="21"/>
      <c r="Q150" s="145"/>
      <c r="R150" s="145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  <c r="AV150" s="21"/>
      <c r="AW150" s="21"/>
      <c r="AX150" s="21"/>
      <c r="AY150" s="21"/>
      <c r="AZ150" s="21"/>
      <c r="BA150" s="21"/>
      <c r="BB150" s="21"/>
      <c r="BC150" s="21"/>
      <c r="BD150" s="21"/>
      <c r="BE150" s="21"/>
      <c r="BF150" s="21"/>
      <c r="BG150" s="21"/>
      <c r="BH150" s="21"/>
      <c r="BI150" s="21"/>
      <c r="BJ150" s="21"/>
      <c r="BK150" s="21"/>
      <c r="BL150" s="21"/>
      <c r="BM150" s="21"/>
      <c r="BN150" s="21"/>
      <c r="BO150" s="21"/>
      <c r="BP150" s="21"/>
      <c r="BQ150" s="21"/>
      <c r="BR150" s="21"/>
      <c r="BS150" s="21"/>
      <c r="BT150" s="21"/>
      <c r="BU150" s="21"/>
      <c r="BV150" s="21"/>
      <c r="BW150" s="21"/>
      <c r="BX150" s="21"/>
      <c r="BY150" s="21"/>
      <c r="BZ150" s="21"/>
      <c r="CA150" s="21"/>
    </row>
    <row r="151" s="14" customFormat="true" ht="16.5" hidden="false" customHeight="true" outlineLevel="0" collapsed="false">
      <c r="E151" s="21"/>
      <c r="H151" s="21"/>
      <c r="I151" s="21"/>
      <c r="J151" s="21"/>
      <c r="K151" s="21"/>
      <c r="L151" s="21"/>
      <c r="M151" s="21"/>
      <c r="N151" s="21"/>
      <c r="O151" s="21"/>
      <c r="P151" s="21"/>
      <c r="Q151" s="145"/>
      <c r="R151" s="145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  <c r="AX151" s="21"/>
      <c r="AY151" s="21"/>
      <c r="AZ151" s="21"/>
      <c r="BA151" s="21"/>
      <c r="BB151" s="21"/>
      <c r="BC151" s="21"/>
      <c r="BD151" s="21"/>
      <c r="BE151" s="21"/>
      <c r="BF151" s="21"/>
      <c r="BG151" s="21"/>
      <c r="BH151" s="21"/>
      <c r="BI151" s="21"/>
      <c r="BJ151" s="21"/>
      <c r="BK151" s="21"/>
      <c r="BL151" s="21"/>
      <c r="BM151" s="21"/>
      <c r="BN151" s="21"/>
      <c r="BO151" s="21"/>
      <c r="BP151" s="21"/>
      <c r="BQ151" s="21"/>
      <c r="BR151" s="21"/>
      <c r="BS151" s="21"/>
      <c r="BT151" s="21"/>
      <c r="BU151" s="21"/>
      <c r="BV151" s="21"/>
      <c r="BW151" s="21"/>
      <c r="BX151" s="21"/>
      <c r="BY151" s="21"/>
      <c r="BZ151" s="21"/>
      <c r="CA151" s="21"/>
    </row>
    <row r="152" s="14" customFormat="true" ht="16.5" hidden="true" customHeight="true" outlineLevel="1" collapsed="false">
      <c r="C152" s="19" t="s">
        <v>155</v>
      </c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20"/>
      <c r="R152" s="20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  <c r="AJ152" s="19"/>
      <c r="AK152" s="19"/>
      <c r="AL152" s="19"/>
      <c r="AM152" s="19"/>
      <c r="AN152" s="19"/>
      <c r="AO152" s="19"/>
      <c r="AP152" s="19"/>
      <c r="AQ152" s="19"/>
      <c r="AR152" s="19"/>
      <c r="AS152" s="19"/>
      <c r="AT152" s="19"/>
      <c r="AU152" s="19"/>
      <c r="AV152" s="19"/>
      <c r="AW152" s="19"/>
      <c r="AX152" s="19"/>
      <c r="AY152" s="19"/>
      <c r="AZ152" s="19"/>
      <c r="BA152" s="19"/>
      <c r="BB152" s="19"/>
      <c r="BC152" s="19"/>
      <c r="BD152" s="19"/>
      <c r="BE152" s="19"/>
      <c r="BF152" s="19"/>
      <c r="BG152" s="19"/>
      <c r="BH152" s="19"/>
      <c r="BI152" s="19"/>
      <c r="BJ152" s="19"/>
      <c r="BK152" s="19"/>
      <c r="BL152" s="19"/>
      <c r="BM152" s="19"/>
      <c r="BN152" s="19"/>
      <c r="BO152" s="19"/>
      <c r="BP152" s="19"/>
      <c r="BQ152" s="19"/>
      <c r="BR152" s="19"/>
      <c r="BS152" s="19"/>
      <c r="BT152" s="19"/>
      <c r="BU152" s="19"/>
      <c r="BV152" s="19"/>
      <c r="BW152" s="19"/>
      <c r="BX152" s="19"/>
      <c r="BY152" s="19"/>
      <c r="BZ152" s="19"/>
      <c r="CA152" s="19"/>
      <c r="CC152" s="19" t="s">
        <v>117</v>
      </c>
      <c r="CD152" s="19"/>
      <c r="CE152" s="19"/>
      <c r="CF152" s="19"/>
      <c r="CG152" s="19"/>
      <c r="CI152" s="19" t="s">
        <v>118</v>
      </c>
      <c r="CJ152" s="19"/>
      <c r="CK152" s="19"/>
      <c r="CL152" s="19"/>
      <c r="CM152" s="19"/>
    </row>
    <row r="153" s="14" customFormat="true" ht="16.5" hidden="true" customHeight="true" outlineLevel="1" collapsed="false">
      <c r="E153" s="21"/>
      <c r="H153" s="21"/>
      <c r="I153" s="21"/>
      <c r="J153" s="21"/>
      <c r="K153" s="21"/>
      <c r="L153" s="21"/>
      <c r="M153" s="21"/>
      <c r="N153" s="21"/>
      <c r="O153" s="21"/>
      <c r="P153" s="21"/>
      <c r="Q153" s="145"/>
      <c r="R153" s="145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  <c r="AY153" s="21"/>
      <c r="AZ153" s="21"/>
      <c r="BA153" s="21"/>
      <c r="BB153" s="21"/>
      <c r="BC153" s="21"/>
      <c r="BD153" s="21"/>
      <c r="BE153" s="21"/>
      <c r="BF153" s="21"/>
      <c r="BG153" s="21"/>
      <c r="BH153" s="21"/>
      <c r="BI153" s="21"/>
      <c r="BJ153" s="21"/>
      <c r="BK153" s="21"/>
      <c r="BL153" s="21"/>
      <c r="BM153" s="21"/>
      <c r="BN153" s="21"/>
      <c r="BO153" s="21"/>
      <c r="BP153" s="21"/>
      <c r="BQ153" s="21"/>
      <c r="BR153" s="21"/>
      <c r="BS153" s="21"/>
      <c r="BT153" s="21"/>
      <c r="BU153" s="21"/>
      <c r="BV153" s="21"/>
      <c r="BW153" s="21"/>
      <c r="BX153" s="21"/>
      <c r="BY153" s="21"/>
      <c r="BZ153" s="21"/>
      <c r="CA153" s="21"/>
    </row>
    <row r="154" s="14" customFormat="true" ht="16.5" hidden="true" customHeight="true" outlineLevel="1" collapsed="false">
      <c r="E154" s="21"/>
      <c r="H154" s="21"/>
      <c r="I154" s="21"/>
      <c r="J154" s="21"/>
      <c r="K154" s="21"/>
      <c r="Q154" s="145"/>
      <c r="R154" s="145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  <c r="AV154" s="21"/>
      <c r="AW154" s="21"/>
      <c r="AX154" s="21"/>
      <c r="AY154" s="21"/>
      <c r="AZ154" s="21"/>
      <c r="BA154" s="21"/>
      <c r="BB154" s="21"/>
      <c r="BC154" s="21"/>
      <c r="BD154" s="21"/>
      <c r="BE154" s="21"/>
      <c r="BF154" s="21"/>
      <c r="BG154" s="21"/>
      <c r="BH154" s="21"/>
      <c r="BI154" s="21"/>
      <c r="BJ154" s="21"/>
      <c r="BK154" s="21"/>
      <c r="BL154" s="21"/>
      <c r="BM154" s="21"/>
      <c r="BN154" s="21"/>
      <c r="BO154" s="21"/>
      <c r="BP154" s="21"/>
      <c r="BQ154" s="21"/>
      <c r="BR154" s="21"/>
      <c r="BS154" s="21"/>
      <c r="BT154" s="21"/>
      <c r="BU154" s="21"/>
      <c r="BV154" s="21"/>
      <c r="BW154" s="21"/>
      <c r="BX154" s="21"/>
      <c r="BY154" s="21"/>
      <c r="BZ154" s="21"/>
      <c r="CA154" s="21"/>
    </row>
    <row r="155" s="14" customFormat="true" ht="16.5" hidden="true" customHeight="true" outlineLevel="1" collapsed="false">
      <c r="E155" s="30" t="s">
        <v>156</v>
      </c>
      <c r="F155" s="31"/>
      <c r="G155" s="31"/>
      <c r="H155" s="31"/>
      <c r="I155" s="31"/>
      <c r="J155" s="31"/>
      <c r="K155" s="31"/>
      <c r="L155" s="31" t="n">
        <v>2026</v>
      </c>
      <c r="M155" s="31" t="n">
        <f aca="false">L155+1</f>
        <v>2027</v>
      </c>
      <c r="N155" s="31" t="n">
        <f aca="false">M155+1</f>
        <v>2028</v>
      </c>
      <c r="O155" s="31" t="n">
        <f aca="false">N155+1</f>
        <v>2029</v>
      </c>
      <c r="P155" s="31" t="n">
        <f aca="false">O155+1</f>
        <v>2030</v>
      </c>
      <c r="Q155" s="31" t="s">
        <v>157</v>
      </c>
      <c r="R155" s="145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  <c r="AX155" s="21"/>
      <c r="AY155" s="21"/>
      <c r="AZ155" s="21"/>
      <c r="BA155" s="21"/>
      <c r="BB155" s="21"/>
      <c r="BC155" s="21"/>
      <c r="BD155" s="21"/>
      <c r="BE155" s="21"/>
      <c r="BF155" s="21"/>
      <c r="BG155" s="21"/>
      <c r="BH155" s="21"/>
      <c r="BI155" s="21"/>
      <c r="BJ155" s="21"/>
      <c r="BK155" s="21"/>
      <c r="BL155" s="21"/>
      <c r="BM155" s="21"/>
      <c r="BN155" s="21"/>
      <c r="BO155" s="21"/>
      <c r="BP155" s="21"/>
      <c r="BQ155" s="21"/>
      <c r="BR155" s="21"/>
      <c r="BS155" s="21"/>
      <c r="BT155" s="21"/>
      <c r="BU155" s="21"/>
      <c r="BV155" s="21"/>
      <c r="BW155" s="21"/>
      <c r="BX155" s="21"/>
      <c r="BY155" s="21"/>
      <c r="BZ155" s="21"/>
      <c r="CA155" s="21"/>
    </row>
    <row r="156" s="14" customFormat="true" ht="16.5" hidden="true" customHeight="true" outlineLevel="1" collapsed="false">
      <c r="E156" s="14" t="s">
        <v>158</v>
      </c>
      <c r="H156" s="21"/>
      <c r="I156" s="21"/>
      <c r="J156" s="21"/>
      <c r="K156" s="21"/>
      <c r="L156" s="90" t="n">
        <f aca="false">L117</f>
        <v>0</v>
      </c>
      <c r="M156" s="90" t="n">
        <f aca="false">M117</f>
        <v>0</v>
      </c>
      <c r="N156" s="90" t="n">
        <f aca="false">N117</f>
        <v>0</v>
      </c>
      <c r="O156" s="90" t="n">
        <f aca="false">O117</f>
        <v>0</v>
      </c>
      <c r="P156" s="90" t="n">
        <f aca="false">P117</f>
        <v>0</v>
      </c>
      <c r="Q156" s="146" t="n">
        <f aca="false">SUM(L156:P156)</f>
        <v>0</v>
      </c>
      <c r="R156" s="145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  <c r="BE156" s="21"/>
      <c r="BF156" s="21"/>
      <c r="BG156" s="21"/>
      <c r="BH156" s="21"/>
      <c r="BI156" s="21"/>
      <c r="BJ156" s="21"/>
      <c r="BK156" s="21"/>
      <c r="BL156" s="21"/>
      <c r="BM156" s="21"/>
      <c r="BN156" s="21"/>
      <c r="BO156" s="21"/>
      <c r="BP156" s="21"/>
      <c r="BQ156" s="21"/>
      <c r="BR156" s="21"/>
      <c r="BS156" s="21"/>
      <c r="BT156" s="21"/>
      <c r="BU156" s="21"/>
      <c r="BV156" s="21"/>
      <c r="BW156" s="21"/>
      <c r="BX156" s="21"/>
      <c r="BY156" s="21"/>
      <c r="BZ156" s="21"/>
      <c r="CA156" s="21"/>
    </row>
    <row r="157" s="14" customFormat="true" ht="16.5" hidden="true" customHeight="true" outlineLevel="1" collapsed="false">
      <c r="E157" s="14" t="s">
        <v>159</v>
      </c>
      <c r="L157" s="90" t="n">
        <f aca="false">L130</f>
        <v>0</v>
      </c>
      <c r="M157" s="90" t="n">
        <f aca="false">M130</f>
        <v>0</v>
      </c>
      <c r="N157" s="90" t="n">
        <f aca="false">N130</f>
        <v>0</v>
      </c>
      <c r="O157" s="90" t="n">
        <f aca="false">O130</f>
        <v>0</v>
      </c>
      <c r="P157" s="90" t="n">
        <f aca="false">P130</f>
        <v>0</v>
      </c>
      <c r="Q157" s="146" t="n">
        <f aca="false">SUM(L157:P157)</f>
        <v>0</v>
      </c>
      <c r="R157" s="145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21"/>
      <c r="AY157" s="21"/>
      <c r="AZ157" s="21"/>
      <c r="BA157" s="21"/>
      <c r="BB157" s="21"/>
      <c r="BC157" s="21"/>
      <c r="BD157" s="21"/>
      <c r="BE157" s="21"/>
      <c r="BF157" s="21"/>
      <c r="BG157" s="21"/>
      <c r="BH157" s="21"/>
      <c r="BI157" s="21"/>
      <c r="BJ157" s="21"/>
      <c r="BK157" s="21"/>
      <c r="BL157" s="21"/>
      <c r="BM157" s="21"/>
      <c r="BN157" s="21"/>
      <c r="BO157" s="21"/>
      <c r="BP157" s="21"/>
      <c r="BQ157" s="21"/>
      <c r="BR157" s="21"/>
      <c r="BS157" s="21"/>
      <c r="BT157" s="21"/>
      <c r="BU157" s="21"/>
      <c r="BV157" s="21"/>
      <c r="BW157" s="21"/>
      <c r="BX157" s="21"/>
      <c r="BY157" s="21"/>
      <c r="BZ157" s="21"/>
      <c r="CA157" s="21"/>
    </row>
    <row r="158" s="14" customFormat="true" ht="16.5" hidden="true" customHeight="true" outlineLevel="1" collapsed="false">
      <c r="E158" s="14" t="s">
        <v>160</v>
      </c>
      <c r="L158" s="90" t="n">
        <f aca="false">-L147</f>
        <v>-0</v>
      </c>
      <c r="M158" s="90" t="n">
        <f aca="false">-M147</f>
        <v>-0</v>
      </c>
      <c r="N158" s="90" t="n">
        <f aca="false">-N147</f>
        <v>-0</v>
      </c>
      <c r="O158" s="90" t="n">
        <f aca="false">-O147</f>
        <v>-0</v>
      </c>
      <c r="P158" s="90" t="n">
        <f aca="false">-P147</f>
        <v>-0</v>
      </c>
      <c r="Q158" s="146" t="n">
        <f aca="false">SUM(L158:P158)</f>
        <v>0</v>
      </c>
      <c r="R158" s="145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1"/>
      <c r="BI158" s="21"/>
      <c r="BJ158" s="21"/>
      <c r="BK158" s="21"/>
      <c r="BL158" s="21"/>
      <c r="BM158" s="21"/>
      <c r="BN158" s="21"/>
      <c r="BO158" s="21"/>
      <c r="BP158" s="21"/>
      <c r="BQ158" s="21"/>
      <c r="BR158" s="21"/>
      <c r="BS158" s="21"/>
      <c r="BT158" s="21"/>
      <c r="BU158" s="21"/>
      <c r="BV158" s="21"/>
      <c r="BW158" s="21"/>
      <c r="BX158" s="21"/>
      <c r="BY158" s="21"/>
      <c r="BZ158" s="21"/>
      <c r="CA158" s="21"/>
    </row>
    <row r="159" s="14" customFormat="true" ht="16.5" hidden="true" customHeight="true" outlineLevel="1" collapsed="false">
      <c r="E159" s="223" t="s">
        <v>156</v>
      </c>
      <c r="F159" s="223"/>
      <c r="G159" s="223"/>
      <c r="H159" s="223"/>
      <c r="I159" s="223"/>
      <c r="J159" s="223"/>
      <c r="K159" s="223"/>
      <c r="L159" s="224" t="n">
        <f aca="false">SUM(L156:L158)</f>
        <v>0</v>
      </c>
      <c r="M159" s="224" t="n">
        <f aca="false">SUM(M156:M158)</f>
        <v>0</v>
      </c>
      <c r="N159" s="224" t="n">
        <f aca="false">SUM(N156:N158)</f>
        <v>0</v>
      </c>
      <c r="O159" s="224" t="n">
        <f aca="false">SUM(O156:O158)</f>
        <v>0</v>
      </c>
      <c r="P159" s="224" t="n">
        <f aca="false">SUM(P156:P158)</f>
        <v>0</v>
      </c>
      <c r="Q159" s="225" t="n">
        <f aca="false">SUM(L159:P159)</f>
        <v>0</v>
      </c>
      <c r="R159" s="145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  <c r="BK159" s="21"/>
      <c r="BL159" s="21"/>
      <c r="BM159" s="21"/>
      <c r="BN159" s="21"/>
      <c r="BO159" s="21"/>
      <c r="BP159" s="21"/>
      <c r="BQ159" s="21"/>
      <c r="BR159" s="21"/>
      <c r="BS159" s="21"/>
      <c r="BT159" s="21"/>
      <c r="BU159" s="21"/>
      <c r="BV159" s="21"/>
      <c r="BW159" s="21"/>
      <c r="BX159" s="21"/>
      <c r="BY159" s="21"/>
      <c r="BZ159" s="21"/>
      <c r="CA159" s="21"/>
    </row>
    <row r="160" s="14" customFormat="true" ht="16.5" hidden="true" customHeight="true" outlineLevel="1" collapsed="false">
      <c r="E160" s="14" t="s">
        <v>161</v>
      </c>
      <c r="H160" s="21"/>
      <c r="I160" s="21"/>
      <c r="J160" s="21"/>
      <c r="K160" s="21"/>
      <c r="L160" s="90" t="n">
        <f aca="false">L159</f>
        <v>0</v>
      </c>
      <c r="M160" s="90" t="n">
        <f aca="false">L160+M159</f>
        <v>0</v>
      </c>
      <c r="N160" s="90" t="n">
        <f aca="false">M160+N159</f>
        <v>0</v>
      </c>
      <c r="O160" s="90" t="n">
        <f aca="false">N160+O159</f>
        <v>0</v>
      </c>
      <c r="P160" s="90" t="n">
        <f aca="false">O160+P159</f>
        <v>0</v>
      </c>
      <c r="Q160" s="146" t="n">
        <f aca="false">P160</f>
        <v>0</v>
      </c>
      <c r="R160" s="145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  <c r="BL160" s="21"/>
      <c r="BM160" s="21"/>
      <c r="BN160" s="21"/>
      <c r="BO160" s="21"/>
      <c r="BP160" s="21"/>
      <c r="BQ160" s="21"/>
      <c r="BR160" s="21"/>
      <c r="BS160" s="21"/>
      <c r="BT160" s="21"/>
      <c r="BU160" s="21"/>
      <c r="BV160" s="21"/>
      <c r="BW160" s="21"/>
      <c r="BX160" s="21"/>
      <c r="BY160" s="21"/>
      <c r="BZ160" s="21"/>
      <c r="CA160" s="21"/>
    </row>
    <row r="161" s="14" customFormat="true" ht="16.5" hidden="true" customHeight="true" outlineLevel="1" collapsed="false">
      <c r="E161" s="14" t="s">
        <v>162</v>
      </c>
      <c r="H161" s="21"/>
      <c r="I161" s="21"/>
      <c r="J161" s="21"/>
      <c r="K161" s="21"/>
      <c r="L161" s="148" t="n">
        <f aca="false">IF(L160&lt;0,1,0)</f>
        <v>0</v>
      </c>
      <c r="M161" s="148" t="n">
        <f aca="false">IF(M160&lt;0,1,IF(AND(L160&lt;0,M159&gt;0),-L160/M159,0))</f>
        <v>0</v>
      </c>
      <c r="N161" s="148" t="n">
        <f aca="false">IF(N160&lt;0,1,IF(AND(M160&lt;0,N159&gt;0),-M160/N159,0))</f>
        <v>0</v>
      </c>
      <c r="O161" s="148" t="n">
        <f aca="false">IF(O160&lt;0,1,IF(AND(N160&lt;0,O159&gt;0),-N160/O159,0))</f>
        <v>0</v>
      </c>
      <c r="P161" s="148" t="n">
        <f aca="false">IF(P160&lt;0,1,IF(AND(O160&lt;0,P159&gt;0),-O160/P159,0))</f>
        <v>0</v>
      </c>
      <c r="Q161" s="90"/>
      <c r="R161" s="145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  <c r="AZ161" s="21"/>
      <c r="BA161" s="21"/>
      <c r="BB161" s="21"/>
      <c r="BC161" s="21"/>
      <c r="BD161" s="21"/>
      <c r="BE161" s="21"/>
      <c r="BF161" s="21"/>
      <c r="BG161" s="21"/>
      <c r="BH161" s="21"/>
      <c r="BI161" s="21"/>
      <c r="BJ161" s="21"/>
      <c r="BK161" s="21"/>
      <c r="BL161" s="21"/>
      <c r="BM161" s="21"/>
      <c r="BN161" s="21"/>
      <c r="BO161" s="21"/>
      <c r="BP161" s="21"/>
      <c r="BQ161" s="21"/>
      <c r="BR161" s="21"/>
      <c r="BS161" s="21"/>
      <c r="BT161" s="21"/>
      <c r="BU161" s="21"/>
      <c r="BV161" s="21"/>
      <c r="BW161" s="21"/>
      <c r="BX161" s="21"/>
      <c r="BY161" s="21"/>
      <c r="BZ161" s="21"/>
      <c r="CA161" s="21"/>
    </row>
    <row r="162" s="14" customFormat="true" ht="16.5" hidden="true" customHeight="true" outlineLevel="1" collapsed="false">
      <c r="H162" s="21"/>
      <c r="I162" s="21"/>
      <c r="J162" s="21"/>
      <c r="K162" s="21"/>
      <c r="R162" s="145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1"/>
      <c r="AY162" s="21"/>
      <c r="AZ162" s="21"/>
      <c r="BA162" s="21"/>
      <c r="BB162" s="21"/>
      <c r="BC162" s="21"/>
      <c r="BD162" s="21"/>
      <c r="BE162" s="21"/>
      <c r="BF162" s="21"/>
      <c r="BG162" s="21"/>
      <c r="BH162" s="21"/>
      <c r="BI162" s="21"/>
      <c r="BJ162" s="21"/>
      <c r="BK162" s="21"/>
      <c r="BL162" s="21"/>
      <c r="BM162" s="21"/>
      <c r="BN162" s="21"/>
      <c r="BO162" s="21"/>
      <c r="BP162" s="21"/>
      <c r="BQ162" s="21"/>
      <c r="BR162" s="21"/>
      <c r="BS162" s="21"/>
      <c r="BT162" s="21"/>
      <c r="BU162" s="21"/>
      <c r="BV162" s="21"/>
      <c r="BW162" s="21"/>
      <c r="BX162" s="21"/>
      <c r="BY162" s="21"/>
      <c r="BZ162" s="21"/>
      <c r="CA162" s="21"/>
    </row>
    <row r="163" s="14" customFormat="true" ht="16.5" hidden="true" customHeight="true" outlineLevel="1" collapsed="false">
      <c r="E163" s="21" t="s">
        <v>402</v>
      </c>
      <c r="F163" s="150" t="s">
        <v>403</v>
      </c>
      <c r="G163" s="148" t="str">
        <f aca="false">IFERROR(I117/-SUM(L149:P149),"n/a")</f>
        <v>n/a</v>
      </c>
      <c r="H163" s="21"/>
      <c r="I163" s="21"/>
      <c r="J163" s="21"/>
      <c r="K163" s="21"/>
      <c r="R163" s="145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  <c r="BC163" s="21"/>
      <c r="BD163" s="21"/>
      <c r="BE163" s="21"/>
      <c r="BF163" s="21"/>
      <c r="BG163" s="21"/>
      <c r="BH163" s="21"/>
      <c r="BI163" s="21"/>
      <c r="BJ163" s="21"/>
      <c r="BK163" s="21"/>
      <c r="BL163" s="21"/>
      <c r="BM163" s="21"/>
      <c r="BN163" s="21"/>
      <c r="BO163" s="21"/>
      <c r="BP163" s="21"/>
      <c r="BQ163" s="21"/>
      <c r="BR163" s="21"/>
      <c r="BS163" s="21"/>
      <c r="BT163" s="21"/>
      <c r="BU163" s="21"/>
      <c r="BV163" s="21"/>
      <c r="BW163" s="21"/>
      <c r="BX163" s="21"/>
      <c r="BY163" s="21"/>
      <c r="BZ163" s="21"/>
      <c r="CA163" s="21"/>
    </row>
    <row r="164" s="14" customFormat="true" ht="16.5" hidden="true" customHeight="true" outlineLevel="1" collapsed="false">
      <c r="E164" s="21" t="s">
        <v>404</v>
      </c>
      <c r="F164" s="150" t="s">
        <v>405</v>
      </c>
      <c r="G164" s="226" t="str">
        <f aca="false">IFERROR(IRR($L$159:$P$159, 0.2),"n/a")</f>
        <v>n/a</v>
      </c>
      <c r="H164" s="21"/>
      <c r="I164" s="21"/>
      <c r="J164" s="21"/>
      <c r="K164" s="21"/>
      <c r="R164" s="145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  <c r="AZ164" s="21"/>
      <c r="BA164" s="21"/>
      <c r="BB164" s="21"/>
      <c r="BC164" s="21"/>
      <c r="BD164" s="21"/>
      <c r="BE164" s="21"/>
      <c r="BF164" s="21"/>
      <c r="BG164" s="21"/>
      <c r="BH164" s="21"/>
      <c r="BI164" s="21"/>
      <c r="BJ164" s="21"/>
      <c r="BK164" s="21"/>
      <c r="BL164" s="21"/>
      <c r="BM164" s="21"/>
      <c r="BN164" s="21"/>
      <c r="BO164" s="21"/>
      <c r="BP164" s="21"/>
      <c r="BQ164" s="21"/>
      <c r="BR164" s="21"/>
      <c r="BS164" s="21"/>
      <c r="BT164" s="21"/>
      <c r="BU164" s="21"/>
      <c r="BV164" s="21"/>
      <c r="BW164" s="21"/>
      <c r="BX164" s="21"/>
      <c r="BY164" s="21"/>
      <c r="BZ164" s="21"/>
      <c r="CA164" s="21"/>
    </row>
    <row r="165" s="14" customFormat="true" ht="16.5" hidden="true" customHeight="true" outlineLevel="1" collapsed="false">
      <c r="E165" s="21" t="s">
        <v>406</v>
      </c>
      <c r="F165" s="150" t="s">
        <v>166</v>
      </c>
      <c r="G165" s="148" t="n">
        <f aca="false">SUM(L161:P161)</f>
        <v>0</v>
      </c>
      <c r="H165" s="21"/>
      <c r="I165" s="21"/>
      <c r="J165" s="21"/>
      <c r="K165" s="21"/>
      <c r="R165" s="145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  <c r="AZ165" s="21"/>
      <c r="BA165" s="21"/>
      <c r="BB165" s="21"/>
      <c r="BC165" s="21"/>
      <c r="BD165" s="21"/>
      <c r="BE165" s="21"/>
      <c r="BF165" s="21"/>
      <c r="BG165" s="21"/>
      <c r="BH165" s="21"/>
      <c r="BI165" s="21"/>
      <c r="BJ165" s="21"/>
      <c r="BK165" s="21"/>
      <c r="BL165" s="21"/>
      <c r="BM165" s="21"/>
      <c r="BN165" s="21"/>
      <c r="BO165" s="21"/>
      <c r="BP165" s="21"/>
      <c r="BQ165" s="21"/>
      <c r="BR165" s="21"/>
      <c r="BS165" s="21"/>
      <c r="BT165" s="21"/>
      <c r="BU165" s="21"/>
      <c r="BV165" s="21"/>
      <c r="BW165" s="21"/>
      <c r="BX165" s="21"/>
      <c r="BY165" s="21"/>
      <c r="BZ165" s="21"/>
      <c r="CA165" s="21"/>
    </row>
    <row r="166" s="14" customFormat="true" ht="16.5" hidden="true" customHeight="true" outlineLevel="1" collapsed="false">
      <c r="E166" s="21"/>
      <c r="F166" s="150"/>
      <c r="G166" s="148"/>
      <c r="H166" s="21"/>
      <c r="I166" s="21"/>
      <c r="J166" s="21"/>
      <c r="K166" s="21"/>
      <c r="R166" s="145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  <c r="AZ166" s="21"/>
      <c r="BA166" s="21"/>
      <c r="BB166" s="21"/>
      <c r="BC166" s="21"/>
      <c r="BD166" s="21"/>
      <c r="BE166" s="21"/>
      <c r="BF166" s="21"/>
      <c r="BG166" s="21"/>
      <c r="BH166" s="21"/>
      <c r="BI166" s="21"/>
      <c r="BJ166" s="21"/>
      <c r="BK166" s="21"/>
      <c r="BL166" s="21"/>
      <c r="BM166" s="21"/>
      <c r="BN166" s="21"/>
      <c r="BO166" s="21"/>
      <c r="BP166" s="21"/>
      <c r="BQ166" s="21"/>
      <c r="BR166" s="21"/>
      <c r="BS166" s="21"/>
      <c r="BT166" s="21"/>
      <c r="BU166" s="21"/>
      <c r="BV166" s="21"/>
      <c r="BW166" s="21"/>
      <c r="BX166" s="21"/>
      <c r="BY166" s="21"/>
      <c r="BZ166" s="21"/>
      <c r="CA166" s="21"/>
    </row>
    <row r="167" s="14" customFormat="true" ht="16.5" hidden="true" customHeight="true" outlineLevel="1" collapsed="false">
      <c r="E167" s="21" t="s">
        <v>163</v>
      </c>
      <c r="G167" s="149" t="n">
        <v>0.095</v>
      </c>
      <c r="H167" s="21"/>
      <c r="I167" s="21"/>
      <c r="J167" s="21"/>
      <c r="K167" s="21"/>
      <c r="R167" s="145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  <c r="AY167" s="21"/>
      <c r="AZ167" s="21"/>
      <c r="BA167" s="21"/>
      <c r="BB167" s="21"/>
      <c r="BC167" s="21"/>
      <c r="BD167" s="21"/>
      <c r="BE167" s="21"/>
      <c r="BF167" s="21"/>
      <c r="BG167" s="21"/>
      <c r="BH167" s="21"/>
      <c r="BI167" s="21"/>
      <c r="BJ167" s="21"/>
      <c r="BK167" s="21"/>
      <c r="BL167" s="21"/>
      <c r="BM167" s="21"/>
      <c r="BN167" s="21"/>
      <c r="BO167" s="21"/>
      <c r="BP167" s="21"/>
      <c r="BQ167" s="21"/>
      <c r="BR167" s="21"/>
      <c r="BS167" s="21"/>
      <c r="BT167" s="21"/>
      <c r="BU167" s="21"/>
      <c r="BV167" s="21"/>
      <c r="BW167" s="21"/>
      <c r="BX167" s="21"/>
      <c r="BY167" s="21"/>
      <c r="BZ167" s="21"/>
      <c r="CA167" s="21"/>
    </row>
    <row r="168" s="14" customFormat="true" ht="16.5" hidden="true" customHeight="true" outlineLevel="1" collapsed="false">
      <c r="E168" s="21" t="s">
        <v>164</v>
      </c>
      <c r="F168" s="150" t="s">
        <v>165</v>
      </c>
      <c r="G168" s="90" t="n">
        <f aca="false">SUM(L168:P168)</f>
        <v>0</v>
      </c>
      <c r="H168" s="21"/>
      <c r="I168" s="21"/>
      <c r="J168" s="21"/>
      <c r="K168" s="21"/>
      <c r="L168" s="90" t="n">
        <f aca="false">L159/(1+$G$167)^L$1</f>
        <v>0</v>
      </c>
      <c r="M168" s="90" t="n">
        <f aca="false">M159/(1+$G$167)^M$1</f>
        <v>0</v>
      </c>
      <c r="N168" s="90" t="n">
        <f aca="false">N159/(1+$G$167)^N$1</f>
        <v>0</v>
      </c>
      <c r="O168" s="90" t="n">
        <f aca="false">O159/(1+$G$167)^O$1</f>
        <v>0</v>
      </c>
      <c r="P168" s="90" t="n">
        <f aca="false">P159/(1+$G$167)^P$1</f>
        <v>0</v>
      </c>
      <c r="Q168" s="90" t="n">
        <f aca="false">SUM(L168:P168)</f>
        <v>0</v>
      </c>
      <c r="R168" s="145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  <c r="AZ168" s="21"/>
      <c r="BA168" s="21"/>
      <c r="BB168" s="21"/>
      <c r="BC168" s="21"/>
      <c r="BD168" s="21"/>
      <c r="BE168" s="21"/>
      <c r="BF168" s="21"/>
      <c r="BG168" s="21"/>
      <c r="BH168" s="21"/>
      <c r="BI168" s="21"/>
      <c r="BJ168" s="21"/>
      <c r="BK168" s="21"/>
      <c r="BL168" s="21"/>
      <c r="BM168" s="21"/>
      <c r="BN168" s="21"/>
      <c r="BO168" s="21"/>
      <c r="BP168" s="21"/>
      <c r="BQ168" s="21"/>
      <c r="BR168" s="21"/>
      <c r="BS168" s="21"/>
      <c r="BT168" s="21"/>
      <c r="BU168" s="21"/>
      <c r="BV168" s="21"/>
      <c r="BW168" s="21"/>
      <c r="BX168" s="21"/>
      <c r="BY168" s="21"/>
      <c r="BZ168" s="21"/>
      <c r="CA168" s="21"/>
    </row>
    <row r="169" s="14" customFormat="true" ht="16.5" hidden="true" customHeight="true" outlineLevel="1" collapsed="false">
      <c r="Q169" s="16"/>
      <c r="R169" s="16"/>
    </row>
    <row r="170" s="14" customFormat="true" ht="16.5" hidden="false" customHeight="true" outlineLevel="0" collapsed="false">
      <c r="Q170" s="16"/>
      <c r="R170" s="16"/>
    </row>
    <row r="171" s="14" customFormat="true" ht="16.5" hidden="false" customHeight="true" outlineLevel="0" collapsed="false">
      <c r="C171" s="19" t="s">
        <v>168</v>
      </c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20"/>
      <c r="R171" s="20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  <c r="AL171" s="19"/>
      <c r="AM171" s="19"/>
      <c r="AN171" s="19"/>
      <c r="AO171" s="19"/>
      <c r="AP171" s="19"/>
      <c r="AQ171" s="19"/>
      <c r="AR171" s="19"/>
      <c r="AS171" s="19"/>
      <c r="AT171" s="19"/>
      <c r="AU171" s="19"/>
      <c r="AV171" s="19"/>
      <c r="AW171" s="19"/>
      <c r="AX171" s="19"/>
      <c r="AY171" s="19"/>
      <c r="AZ171" s="19"/>
      <c r="BA171" s="19"/>
      <c r="BB171" s="19"/>
      <c r="BC171" s="19"/>
      <c r="BD171" s="19"/>
      <c r="BE171" s="19"/>
      <c r="BF171" s="19"/>
      <c r="BG171" s="19"/>
      <c r="BH171" s="19"/>
      <c r="BI171" s="19"/>
      <c r="BJ171" s="19"/>
      <c r="BK171" s="19"/>
      <c r="BL171" s="19"/>
      <c r="BM171" s="19"/>
      <c r="BN171" s="19"/>
      <c r="BO171" s="19"/>
      <c r="BP171" s="19"/>
      <c r="BQ171" s="19"/>
      <c r="BR171" s="19"/>
      <c r="BS171" s="19"/>
      <c r="BT171" s="19"/>
      <c r="BU171" s="19"/>
      <c r="BV171" s="19"/>
      <c r="BW171" s="19"/>
      <c r="BX171" s="19"/>
      <c r="BY171" s="19"/>
      <c r="BZ171" s="19"/>
      <c r="CA171" s="19"/>
      <c r="CB171" s="19"/>
      <c r="CC171" s="19"/>
      <c r="CD171" s="19"/>
      <c r="CE171" s="19"/>
      <c r="CF171" s="19"/>
      <c r="CG171" s="19"/>
      <c r="CH171" s="19"/>
      <c r="CI171" s="19"/>
      <c r="CJ171" s="19"/>
      <c r="CK171" s="19"/>
      <c r="CL171" s="19"/>
      <c r="CM171" s="19"/>
    </row>
  </sheetData>
  <mergeCells count="3">
    <mergeCell ref="F8:J10"/>
    <mergeCell ref="CI62:CM62"/>
    <mergeCell ref="CI90:CM90"/>
  </mergeCells>
  <conditionalFormatting sqref="J26">
    <cfRule type="expression" priority="2" aboveAverage="0" equalAverage="0" bottom="0" percent="0" rank="0" text="" dxfId="0">
      <formula>AND($F26="Yes")</formula>
    </cfRule>
    <cfRule type="expression" priority="3" aboveAverage="0" equalAverage="0" bottom="0" percent="0" rank="0" text="" dxfId="1">
      <formula>AND($F26="No")</formula>
    </cfRule>
  </conditionalFormatting>
  <conditionalFormatting sqref="T79:CA86">
    <cfRule type="expression" priority="4" aboveAverage="0" equalAverage="0" bottom="0" percent="0" rank="0" text="" dxfId="0">
      <formula>AND($F79="Yes")</formula>
    </cfRule>
    <cfRule type="expression" priority="5" aboveAverage="0" equalAverage="0" bottom="0" percent="0" rank="0" text="" dxfId="1">
      <formula>AND($F79="No")</formula>
    </cfRule>
  </conditionalFormatting>
  <conditionalFormatting sqref="I84:P86">
    <cfRule type="expression" priority="6" aboveAverage="0" equalAverage="0" bottom="0" percent="0" rank="0" text="" dxfId="0">
      <formula>AND($F84="Yes")</formula>
    </cfRule>
    <cfRule type="expression" priority="7" aboveAverage="0" equalAverage="0" bottom="0" percent="0" rank="0" text="" dxfId="1">
      <formula>AND($F84="No")</formula>
    </cfRule>
  </conditionalFormatting>
  <conditionalFormatting sqref="I112:K113">
    <cfRule type="expression" priority="8" aboveAverage="0" equalAverage="0" bottom="0" percent="0" rank="0" text="" dxfId="0">
      <formula>AND($F112="Yes")</formula>
    </cfRule>
    <cfRule type="expression" priority="9" aboveAverage="0" equalAverage="0" bottom="0" percent="0" rank="0" text="" dxfId="1">
      <formula>AND($F112="No")</formula>
    </cfRule>
  </conditionalFormatting>
  <conditionalFormatting sqref="E94:E95">
    <cfRule type="expression" priority="10" aboveAverage="0" equalAverage="0" bottom="0" percent="0" rank="0" text="" dxfId="0">
      <formula>AND($F94="Yes")</formula>
    </cfRule>
    <cfRule type="expression" priority="11" aboveAverage="0" equalAverage="0" bottom="0" percent="0" rank="0" text="" dxfId="1">
      <formula>AND($F94="No")</formula>
    </cfRule>
  </conditionalFormatting>
  <conditionalFormatting sqref="E107:E111">
    <cfRule type="expression" priority="12" aboveAverage="0" equalAverage="0" bottom="0" percent="0" rank="0" text="" dxfId="0">
      <formula>AND($F107="Yes")</formula>
    </cfRule>
    <cfRule type="expression" priority="13" aboveAverage="0" equalAverage="0" bottom="0" percent="0" rank="0" text="" dxfId="1">
      <formula>AND($F107="No")</formula>
    </cfRule>
  </conditionalFormatting>
  <conditionalFormatting sqref="E141:E143">
    <cfRule type="expression" priority="14" aboveAverage="0" equalAverage="0" bottom="0" percent="0" rank="0" text="" dxfId="0">
      <formula>AND($F141="Yes")</formula>
    </cfRule>
    <cfRule type="expression" priority="15" aboveAverage="0" equalAverage="0" bottom="0" percent="0" rank="0" text="" dxfId="1">
      <formula>AND($F141="No")</formula>
    </cfRule>
  </conditionalFormatting>
  <conditionalFormatting sqref="E136:E137">
    <cfRule type="expression" priority="16" aboveAverage="0" equalAverage="0" bottom="0" percent="0" rank="0" text="" dxfId="0">
      <formula>AND($F136="Yes")</formula>
    </cfRule>
    <cfRule type="expression" priority="17" aboveAverage="0" equalAverage="0" bottom="0" percent="0" rank="0" text="" dxfId="1">
      <formula>AND($F136="No")</formula>
    </cfRule>
  </conditionalFormatting>
  <conditionalFormatting sqref="E126:E127">
    <cfRule type="expression" priority="18" aboveAverage="0" equalAverage="0" bottom="0" percent="0" rank="0" text="" dxfId="0">
      <formula>AND($F126="Yes")</formula>
    </cfRule>
    <cfRule type="expression" priority="19" aboveAverage="0" equalAverage="0" bottom="0" percent="0" rank="0" text="" dxfId="1">
      <formula>AND($F126="No")</formula>
    </cfRule>
  </conditionalFormatting>
  <conditionalFormatting sqref="E66:E67">
    <cfRule type="expression" priority="20" aboveAverage="0" equalAverage="0" bottom="0" percent="0" rank="0" text="" dxfId="0">
      <formula>AND($F66="Yes")</formula>
    </cfRule>
    <cfRule type="expression" priority="21" aboveAverage="0" equalAverage="0" bottom="0" percent="0" rank="0" text="" dxfId="1">
      <formula>AND($F66="No")</formula>
    </cfRule>
  </conditionalFormatting>
  <conditionalFormatting sqref="CJ152:CM152">
    <cfRule type="containsText" priority="22" operator="containsText" aboveAverage="0" equalAverage="0" bottom="0" percent="0" rank="0" text="FALSE" dxfId="2">
      <formula>NOT(ISERROR(SEARCH("FALSE",CJ152)))</formula>
    </cfRule>
  </conditionalFormatting>
  <conditionalFormatting sqref="Q141:Q143">
    <cfRule type="containsText" priority="23" operator="containsText" aboveAverage="0" equalAverage="0" bottom="0" percent="0" rank="0" text="Error" dxfId="2">
      <formula>NOT(ISERROR(SEARCH("Error",Q141)))</formula>
    </cfRule>
    <cfRule type="containsText" priority="24" operator="containsText" aboveAverage="0" equalAverage="0" bottom="0" percent="0" rank="0" text="FALSE" dxfId="2">
      <formula>NOT(ISERROR(SEARCH("FALSE",Q141)))</formula>
    </cfRule>
  </conditionalFormatting>
  <conditionalFormatting sqref="Q136:Q137">
    <cfRule type="containsText" priority="25" operator="containsText" aboveAverage="0" equalAverage="0" bottom="0" percent="0" rank="0" text="Error" dxfId="2">
      <formula>NOT(ISERROR(SEARCH("Error",Q136)))</formula>
    </cfRule>
    <cfRule type="containsText" priority="26" operator="containsText" aboveAverage="0" equalAverage="0" bottom="0" percent="0" rank="0" text="FALSE" dxfId="2">
      <formula>NOT(ISERROR(SEARCH("FALSE",Q136)))</formula>
    </cfRule>
  </conditionalFormatting>
  <conditionalFormatting sqref="Q126:Q127">
    <cfRule type="containsText" priority="27" operator="containsText" aboveAverage="0" equalAverage="0" bottom="0" percent="0" rank="0" text="Error" dxfId="2">
      <formula>NOT(ISERROR(SEARCH("Error",Q126)))</formula>
    </cfRule>
    <cfRule type="containsText" priority="28" operator="containsText" aboveAverage="0" equalAverage="0" bottom="0" percent="0" rank="0" text="FALSE" dxfId="2">
      <formula>NOT(ISERROR(SEARCH("FALSE",Q126)))</formula>
    </cfRule>
  </conditionalFormatting>
  <conditionalFormatting sqref="J56:J57">
    <cfRule type="expression" priority="29" aboveAverage="0" equalAverage="0" bottom="0" percent="0" rank="0" text="" dxfId="0">
      <formula>AND($F56="Yes")</formula>
    </cfRule>
    <cfRule type="expression" priority="30" aboveAverage="0" equalAverage="0" bottom="0" percent="0" rank="0" text="" dxfId="1">
      <formula>AND($F56="No")</formula>
    </cfRule>
  </conditionalFormatting>
  <conditionalFormatting sqref="J46:J47 J51">
    <cfRule type="expression" priority="31" aboveAverage="0" equalAverage="0" bottom="0" percent="0" rank="0" text="" dxfId="0">
      <formula>AND($F46="Yes")</formula>
    </cfRule>
    <cfRule type="expression" priority="32" aboveAverage="0" equalAverage="0" bottom="0" percent="0" rank="0" text="" dxfId="1">
      <formula>AND($F46="No")</formula>
    </cfRule>
  </conditionalFormatting>
  <conditionalFormatting sqref="J52">
    <cfRule type="expression" priority="33" aboveAverage="0" equalAverage="0" bottom="0" percent="0" rank="0" text="" dxfId="0">
      <formula>AND(#ref!="Yes")</formula>
    </cfRule>
    <cfRule type="expression" priority="34" aboveAverage="0" equalAverage="0" bottom="0" percent="0" rank="0" text="" dxfId="1">
      <formula>AND(#ref!="No")</formula>
    </cfRule>
  </conditionalFormatting>
  <conditionalFormatting sqref="J42:J43">
    <cfRule type="expression" priority="35" aboveAverage="0" equalAverage="0" bottom="0" percent="0" rank="0" text="" dxfId="0">
      <formula>AND($F42="Yes")</formula>
    </cfRule>
    <cfRule type="expression" priority="36" aboveAverage="0" equalAverage="0" bottom="0" percent="0" rank="0" text="" dxfId="1">
      <formula>AND($F42="No")</formula>
    </cfRule>
  </conditionalFormatting>
  <conditionalFormatting sqref="J32:J33 J37">
    <cfRule type="expression" priority="37" aboveAverage="0" equalAverage="0" bottom="0" percent="0" rank="0" text="" dxfId="0">
      <formula>AND($F32="Yes")</formula>
    </cfRule>
    <cfRule type="expression" priority="38" aboveAverage="0" equalAverage="0" bottom="0" percent="0" rank="0" text="" dxfId="1">
      <formula>AND($F32="No")</formula>
    </cfRule>
  </conditionalFormatting>
  <conditionalFormatting sqref="J38">
    <cfRule type="expression" priority="39" aboveAverage="0" equalAverage="0" bottom="0" percent="0" rank="0" text="" dxfId="0">
      <formula>AND(#ref!="Yes")</formula>
    </cfRule>
    <cfRule type="expression" priority="40" aboveAverage="0" equalAverage="0" bottom="0" percent="0" rank="0" text="" dxfId="1">
      <formula>AND(#ref!="No")</formula>
    </cfRule>
  </conditionalFormatting>
  <conditionalFormatting sqref="CJ171:CM171">
    <cfRule type="containsText" priority="41" operator="containsText" aboveAverage="0" equalAverage="0" bottom="0" percent="0" rank="0" text="FALSE" dxfId="2">
      <formula>NOT(ISERROR(SEARCH("FALSE",CJ171)))</formula>
    </cfRule>
  </conditionalFormatting>
  <conditionalFormatting sqref="CJ120:CM120">
    <cfRule type="containsText" priority="42" operator="containsText" aboveAverage="0" equalAverage="0" bottom="0" percent="0" rank="0" text="FALSE" dxfId="2">
      <formula>NOT(ISERROR(SEARCH("FALSE",CJ120)))</formula>
    </cfRule>
  </conditionalFormatting>
  <conditionalFormatting sqref="P18:P21">
    <cfRule type="containsText" priority="43" operator="containsText" aboveAverage="0" equalAverage="0" bottom="0" percent="0" rank="0" text="PASS" dxfId="3">
      <formula>NOT(ISERROR(SEARCH("PASS",P18)))</formula>
    </cfRule>
  </conditionalFormatting>
  <conditionalFormatting sqref="CI141:CM144">
    <cfRule type="expression" priority="44" aboveAverage="0" equalAverage="0" bottom="0" percent="0" rank="0" text="" dxfId="0">
      <formula>AND($F141="Yes")</formula>
    </cfRule>
    <cfRule type="expression" priority="45" aboveAverage="0" equalAverage="0" bottom="0" percent="0" rank="0" text="" dxfId="1">
      <formula>AND($F141="No")</formula>
    </cfRule>
  </conditionalFormatting>
  <conditionalFormatting sqref="CI136:CM138">
    <cfRule type="expression" priority="46" aboveAverage="0" equalAverage="0" bottom="0" percent="0" rank="0" text="" dxfId="0">
      <formula>AND($F136="Yes")</formula>
    </cfRule>
    <cfRule type="expression" priority="47" aboveAverage="0" equalAverage="0" bottom="0" percent="0" rank="0" text="" dxfId="1">
      <formula>AND($F136="No")</formula>
    </cfRule>
  </conditionalFormatting>
  <conditionalFormatting sqref="CC141:CG144">
    <cfRule type="expression" priority="48" aboveAverage="0" equalAverage="0" bottom="0" percent="0" rank="0" text="" dxfId="0">
      <formula>AND($F141="Yes")</formula>
    </cfRule>
    <cfRule type="expression" priority="49" aboveAverage="0" equalAverage="0" bottom="0" percent="0" rank="0" text="" dxfId="1">
      <formula>AND($F141="No")</formula>
    </cfRule>
  </conditionalFormatting>
  <conditionalFormatting sqref="CC136:CG138">
    <cfRule type="expression" priority="50" aboveAverage="0" equalAverage="0" bottom="0" percent="0" rank="0" text="" dxfId="0">
      <formula>AND($F136="Yes")</formula>
    </cfRule>
    <cfRule type="expression" priority="51" aboveAverage="0" equalAverage="0" bottom="0" percent="0" rank="0" text="" dxfId="1">
      <formula>AND($F136="No")</formula>
    </cfRule>
  </conditionalFormatting>
  <conditionalFormatting sqref="V112:CA113">
    <cfRule type="expression" priority="52" aboveAverage="0" equalAverage="0" bottom="0" percent="0" rank="0" text="" dxfId="0">
      <formula>AND($F112="Yes")</formula>
    </cfRule>
    <cfRule type="expression" priority="53" aboveAverage="0" equalAverage="0" bottom="0" percent="0" rank="0" text="" dxfId="1">
      <formula>AND($F112="No")</formula>
    </cfRule>
  </conditionalFormatting>
  <conditionalFormatting sqref="T136:CA138">
    <cfRule type="expression" priority="54" aboveAverage="0" equalAverage="0" bottom="0" percent="0" rank="0" text="" dxfId="0">
      <formula>AND($F136="Yes")</formula>
    </cfRule>
    <cfRule type="expression" priority="55" aboveAverage="0" equalAverage="0" bottom="0" percent="0" rank="0" text="" dxfId="1">
      <formula>AND($F136="No")</formula>
    </cfRule>
  </conditionalFormatting>
  <conditionalFormatting sqref="V85:CA85">
    <cfRule type="expression" priority="56" aboveAverage="0" equalAverage="0" bottom="0" percent="0" rank="0" text="" dxfId="0">
      <formula>AND($F85="Yes")</formula>
    </cfRule>
    <cfRule type="expression" priority="57" aboveAverage="0" equalAverage="0" bottom="0" percent="0" rank="0" text="" dxfId="1">
      <formula>AND($F85="No")</formula>
    </cfRule>
  </conditionalFormatting>
  <conditionalFormatting sqref="T141:CA146">
    <cfRule type="expression" priority="58" aboveAverage="0" equalAverage="0" bottom="0" percent="0" rank="0" text="" dxfId="0">
      <formula>AND($F141="Yes")</formula>
    </cfRule>
    <cfRule type="expression" priority="59" aboveAverage="0" equalAverage="0" bottom="0" percent="0" rank="0" text="" dxfId="1">
      <formula>AND($F141="No")</formula>
    </cfRule>
  </conditionalFormatting>
  <conditionalFormatting sqref="Q63:R113 Q123">
    <cfRule type="containsText" priority="60" operator="containsText" aboveAverage="0" equalAverage="0" bottom="0" percent="0" rank="0" text="Error" dxfId="2">
      <formula>NOT(ISERROR(SEARCH("Error",Q63)))</formula>
    </cfRule>
  </conditionalFormatting>
  <conditionalFormatting sqref="Q66:R90 Q92:R113 CI66:CM119 CI121:CM149">
    <cfRule type="containsText" priority="61" operator="containsText" aboveAverage="0" equalAverage="0" bottom="0" percent="0" rank="0" text="FALSE" dxfId="2">
      <formula>NOT(ISERROR(SEARCH("FALSE",Q66)))</formula>
    </cfRule>
  </conditionalFormatting>
  <conditionalFormatting sqref="L136:P138">
    <cfRule type="expression" priority="62" aboveAverage="0" equalAverage="0" bottom="0" percent="0" rank="0" text="" dxfId="0">
      <formula>AND($F136="Yes")</formula>
    </cfRule>
    <cfRule type="expression" priority="63" aboveAverage="0" equalAverage="0" bottom="0" percent="0" rank="0" text="" dxfId="1">
      <formula>AND($F136="No")</formula>
    </cfRule>
  </conditionalFormatting>
  <conditionalFormatting sqref="Q117:R117">
    <cfRule type="containsText" priority="64" operator="containsText" aboveAverage="0" equalAverage="0" bottom="0" percent="0" rank="0" text="Error" dxfId="2">
      <formula>NOT(ISERROR(SEARCH("Error",Q117)))</formula>
    </cfRule>
    <cfRule type="containsText" priority="65" operator="containsText" aboveAverage="0" equalAverage="0" bottom="0" percent="0" rank="0" text="FALSE" dxfId="2">
      <formula>NOT(ISERROR(SEARCH("FALSE",Q117)))</formula>
    </cfRule>
  </conditionalFormatting>
  <conditionalFormatting sqref="I96:K96">
    <cfRule type="expression" priority="66" aboveAverage="0" equalAverage="0" bottom="0" percent="0" rank="0" text="" dxfId="0">
      <formula>AND($F96="Yes")</formula>
    </cfRule>
    <cfRule type="expression" priority="67" aboveAverage="0" equalAverage="0" bottom="0" percent="0" rank="0" text="" dxfId="1">
      <formula>AND($F96="No")</formula>
    </cfRule>
  </conditionalFormatting>
  <conditionalFormatting sqref="I104:K104">
    <cfRule type="expression" priority="68" aboveAverage="0" equalAverage="0" bottom="0" percent="0" rank="0" text="" dxfId="0">
      <formula>AND($F104="Yes")</formula>
    </cfRule>
    <cfRule type="expression" priority="69" aboveAverage="0" equalAverage="0" bottom="0" percent="0" rank="0" text="" dxfId="1">
      <formula>AND($F104="No")</formula>
    </cfRule>
  </conditionalFormatting>
  <conditionalFormatting sqref="E71:E75 E79:E83 E99:E103 F6:G6 I66:J67 I71:J75 I79:J83 I94:J95 I99:J103 I107:J111 J18:J21 J29 L66:P67 L71:P75 L79:P83 L94:P96 L99:P104 L107:P113 L126:P129 L141:P146 T66:CA68 T71:CA76 T94:CA96 T99:CA104 T107:CA113 T126:CA129 CC66:CG68 CC71:CG76 CC79:CG86 CC94:CG96 CC99:CG104 CC107:CG113 CC126:CG128 CI66:CM68 CI71:CM76 CI79:CM86 CI94:CM96 CI99:CM104 CI107:CM113 CI126:CM128">
    <cfRule type="expression" priority="70" aboveAverage="0" equalAverage="0" bottom="0" percent="0" rank="0" text="" dxfId="0">
      <formula>AND($F6="Yes")</formula>
    </cfRule>
    <cfRule type="expression" priority="71" aboveAverage="0" equalAverage="0" bottom="0" percent="0" rank="0" text="" dxfId="1">
      <formula>AND($F6="No")</formula>
    </cfRule>
  </conditionalFormatting>
  <conditionalFormatting sqref="E97">
    <cfRule type="expression" priority="72" aboveAverage="0" equalAverage="0" bottom="0" percent="0" rank="0" text="" dxfId="4">
      <formula>AND($F97="Yes")</formula>
    </cfRule>
    <cfRule type="expression" priority="73" aboveAverage="0" equalAverage="0" bottom="0" percent="0" rank="0" text="" dxfId="5">
      <formula>AND($F97="No")</formula>
    </cfRule>
  </conditionalFormatting>
  <conditionalFormatting sqref="E114">
    <cfRule type="expression" priority="74" aboveAverage="0" equalAverage="0" bottom="0" percent="0" rank="0" text="" dxfId="4">
      <formula>AND($F114="Yes")</formula>
    </cfRule>
    <cfRule type="expression" priority="75" aboveAverage="0" equalAverage="0" bottom="0" percent="0" rank="0" text="" dxfId="5">
      <formula>AND($F114="No")</formula>
    </cfRule>
  </conditionalFormatting>
  <conditionalFormatting sqref="I68:P68">
    <cfRule type="expression" priority="76" aboveAverage="0" equalAverage="0" bottom="0" percent="0" rank="0" text="" dxfId="0">
      <formula>AND($F68="Yes")</formula>
    </cfRule>
    <cfRule type="expression" priority="77" aboveAverage="0" equalAverage="0" bottom="0" percent="0" rank="0" text="" dxfId="1">
      <formula>AND($F68="No")</formula>
    </cfRule>
  </conditionalFormatting>
  <conditionalFormatting sqref="D136:D137 E69 E132">
    <cfRule type="expression" priority="78" aboveAverage="0" equalAverage="0" bottom="0" percent="0" rank="0" text="" dxfId="4">
      <formula>AND($F69="Yes")</formula>
    </cfRule>
    <cfRule type="expression" priority="79" aboveAverage="0" equalAverage="0" bottom="0" percent="0" rank="0" text="" dxfId="5">
      <formula>AND($F69="No")</formula>
    </cfRule>
  </conditionalFormatting>
  <conditionalFormatting sqref="I76:P76">
    <cfRule type="expression" priority="80" aboveAverage="0" equalAverage="0" bottom="0" percent="0" rank="0" text="" dxfId="0">
      <formula>AND($F76="Yes")</formula>
    </cfRule>
    <cfRule type="expression" priority="81" aboveAverage="0" equalAverage="0" bottom="0" percent="0" rank="0" text="" dxfId="1">
      <formula>AND($F76="No")</formula>
    </cfRule>
  </conditionalFormatting>
  <conditionalFormatting sqref="E87">
    <cfRule type="expression" priority="82" aboveAverage="0" equalAverage="0" bottom="0" percent="0" rank="0" text="" dxfId="4">
      <formula>AND($F87="Yes")</formula>
    </cfRule>
    <cfRule type="expression" priority="83" aboveAverage="0" equalAverage="0" bottom="0" percent="0" rank="0" text="" dxfId="5">
      <formula>AND($F87="No")</formula>
    </cfRule>
  </conditionalFormatting>
  <conditionalFormatting sqref="G167 J24:J25">
    <cfRule type="expression" priority="84" aboveAverage="0" equalAverage="0" bottom="0" percent="0" rank="0" text="" dxfId="0">
      <formula>AND(#ref!="Yes")</formula>
    </cfRule>
    <cfRule type="expression" priority="85" aboveAverage="0" equalAverage="0" bottom="0" percent="0" rank="0" text="" dxfId="1">
      <formula>AND(#ref!="No")</formula>
    </cfRule>
  </conditionalFormatting>
  <printOptions headings="false" gridLines="false" gridLinesSet="true" horizontalCentered="true" verticalCentered="false"/>
  <pageMargins left="0.25" right="0.25" top="0.75" bottom="0.75" header="0.3" footer="0.3"/>
  <pageSetup paperSize="1" scale="27" fitToWidth="1" fitToHeight="1" pageOrder="downThenOver" orientation="portrait" blackAndWhite="false" draft="false" cellComments="none" horizontalDpi="300" verticalDpi="300" copies="1"/>
  <headerFooter differentFirst="false" differentOddEven="false">
    <oddHeader>&amp;CSTRICTLY CONFIDENTIAL</oddHeader>
    <oddFooter>&amp;R&amp;P/&amp;N</oddFooter>
  </headerFooter>
  <rowBreaks count="1" manualBreakCount="1">
    <brk id="119" man="true" max="16383" min="0"/>
  </row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Rocío Eiriz</dc:creator>
  <dc:description/>
  <dc:language>en-US</dc:language>
  <cp:lastModifiedBy>Parth Bahl</cp:lastModifiedBy>
  <dcterms:modified xsi:type="dcterms:W3CDTF">2026-08-31T10:49:01Z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0x010100DE6A7A104E3FD24B966A32B28867FD57</vt:lpwstr>
  </property>
  <property fmtid="{D5CDD505-2E9C-101B-9397-08002B2CF9AE}" pid="3" name="MSIP_Label_83303d7c-e5a3-4cc8-90eb-69bfd7570ac4_ActionId">
    <vt:lpwstr>75c3313a-a215-4397-b1fb-5e09aa931d0b</vt:lpwstr>
  </property>
  <property fmtid="{D5CDD505-2E9C-101B-9397-08002B2CF9AE}" pid="4" name="MSIP_Label_83303d7c-e5a3-4cc8-90eb-69bfd7570ac4_ContentBits">
    <vt:lpwstr>0</vt:lpwstr>
  </property>
  <property fmtid="{D5CDD505-2E9C-101B-9397-08002B2CF9AE}" pid="5" name="MSIP_Label_83303d7c-e5a3-4cc8-90eb-69bfd7570ac4_Enabled">
    <vt:lpwstr>true</vt:lpwstr>
  </property>
  <property fmtid="{D5CDD505-2E9C-101B-9397-08002B2CF9AE}" pid="6" name="MSIP_Label_83303d7c-e5a3-4cc8-90eb-69bfd7570ac4_Method">
    <vt:lpwstr>Standard</vt:lpwstr>
  </property>
  <property fmtid="{D5CDD505-2E9C-101B-9397-08002B2CF9AE}" pid="7" name="MSIP_Label_83303d7c-e5a3-4cc8-90eb-69bfd7570ac4_Name">
    <vt:lpwstr>Client Confidential Information-SLV1</vt:lpwstr>
  </property>
  <property fmtid="{D5CDD505-2E9C-101B-9397-08002B2CF9AE}" pid="8" name="MSIP_Label_83303d7c-e5a3-4cc8-90eb-69bfd7570ac4_SetDate">
    <vt:lpwstr>2026-08-12T14:24:48Z</vt:lpwstr>
  </property>
  <property fmtid="{D5CDD505-2E9C-101B-9397-08002B2CF9AE}" pid="9" name="MSIP_Label_83303d7c-e5a3-4cc8-90eb-69bfd7570ac4_SiteId">
    <vt:lpwstr>cc8936bc-9382-4fff-87cb-6f55999549e7</vt:lpwstr>
  </property>
  <property fmtid="{D5CDD505-2E9C-101B-9397-08002B2CF9AE}" pid="10" name="MSIP_Label_83303d7c-e5a3-4cc8-90eb-69bfd7570ac4_Tag">
    <vt:lpwstr>10, 3, 0, 1</vt:lpwstr>
  </property>
  <property fmtid="{D5CDD505-2E9C-101B-9397-08002B2CF9AE}" pid="11" name="MediaServiceImageTags">
    <vt:lpwstr/>
  </property>
  <property fmtid="{D5CDD505-2E9C-101B-9397-08002B2CF9AE}" pid="12" name="_dlc_DocIdItemGuid">
    <vt:lpwstr>f4d9cd27-ac07-4b04-815e-88422d881bf2</vt:lpwstr>
  </property>
</Properties>
</file>