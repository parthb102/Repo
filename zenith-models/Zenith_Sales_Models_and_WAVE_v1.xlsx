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ate Card" sheetId="3" state="visible" r:id="rId5"/>
    <sheet name="Summary" sheetId="4" state="visible" r:id="rId6"/>
    <sheet name="SALES-1 Model" sheetId="5" state="visible" r:id="rId7"/>
    <sheet name="SALES-1 WAVE" sheetId="6" state="visible" r:id="rId8"/>
    <sheet name="SALES-2 Model" sheetId="7" state="visible" r:id="rId9"/>
    <sheet name="SALES-2 WAVE" sheetId="8" state="visible" r:id="rId10"/>
    <sheet name="Standard Template" sheetId="9" state="visible" r:id="rId11"/>
  </sheets>
  <definedNames>
    <definedName function="false" hidden="false" localSheetId="1" name="_xlnm.Print_Area" vbProcedure="false">Instructions!$B$18:$CB$224</definedName>
    <definedName function="false" hidden="false" localSheetId="1" name="_xlnm.Print_Titles" vbProcedure="false">Instructions!$A:$I,Instructions!$18:$32</definedName>
    <definedName function="false" hidden="false" localSheetId="8" name="_xlnm.Print_Area" vbProcedure="false">'Standard Template'!$B$1:$CB$170</definedName>
    <definedName function="false" hidden="false" localSheetId="8" name="_xlnm.Print_Titles" vbProcedure="false">'Standard Template'!$A:$I,'Standard Template'!$1:$13</definedName>
    <definedName function="false" hidden="false" localSheetId="1" name="_xlnm.Print_Titles" vbProcedure="false">Instructions!$18:$32,Instructions!$A:$I</definedName>
    <definedName function="false" hidden="false" localSheetId="8" name="_xlnm.Print_Titles" vbProcedure="false">'Standard Template'!$1:$13,'Standard Template'!$A:$I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7" authorId="0">
      <text>
        <r>
          <rPr>
            <sz val="10"/>
            <rFont val="Arial"/>
            <family val="2"/>
          </rPr>
          <t xml:space="preserve">Recurring Benefit - Revenue: incremental revenue to be realized from Initiative execution</t>
        </r>
      </text>
    </comment>
    <comment ref="E82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90" authorId="0">
      <text>
        <r>
          <rPr>
            <sz val="10"/>
            <rFont val="Arial"/>
            <family val="2"/>
          </rPr>
          <t xml:space="preserve">Recurring Benefit - Costs: cost savings to be realized from Initiative execution</t>
        </r>
      </text>
    </comment>
    <comment ref="E100" authorId="0">
      <text>
        <r>
          <rPr>
            <sz val="10"/>
            <rFont val="Arial"/>
            <family val="2"/>
          </rPr>
          <t xml:space="preserve">Recurring Benefits: total value of incremental revenue and cost savings to be realized from Initiative execution</t>
        </r>
      </text>
    </comment>
    <comment ref="E104" authorId="0">
      <text>
        <r>
          <rPr>
            <sz val="10"/>
            <rFont val="Arial"/>
            <family val="2"/>
          </rPr>
          <t xml:space="preserve">Recurring Costs - Revenue: lost revenue to be realized from Initiative execution</t>
        </r>
      </text>
    </comment>
    <comment ref="E109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17" authorId="0">
      <text>
        <r>
          <rPr>
            <sz val="10"/>
            <rFont val="Arial"/>
            <family val="2"/>
          </rPr>
          <t xml:space="preserve">Recurring Costs - Costs: incremental costs to be realized from Initiative execution</t>
        </r>
      </text>
    </comment>
    <comment ref="E126" authorId="0">
      <text>
        <r>
          <rPr>
            <sz val="10"/>
            <rFont val="Arial"/>
            <family val="2"/>
          </rPr>
          <t xml:space="preserve">Recurring Costs: total value of lost revenue and incremental cost to be realized from Initiative execution</t>
        </r>
      </text>
    </comment>
    <comment ref="R75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102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8" authorId="0">
      <text>
        <r>
          <rPr>
            <sz val="10"/>
            <rFont val="Arial"/>
            <family val="2"/>
          </rPr>
          <t xml:space="preserve">Yearly / Monthly / Hourly — drives which rate column is used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6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7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5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7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5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6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6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6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6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Benefits start in this month; feeds the WAVE 'Estimated L4 date'</t>
        </r>
      </text>
    </comment>
    <comment ref="D55" authorId="0">
      <text>
        <r>
          <rPr>
            <sz val="10"/>
            <rFont val="Arial"/>
            <family val="2"/>
          </rPr>
          <t xml:space="preserve">Benefit ramps linearly from 0% at go-live to 100% after this many months (same convention as the Servicing S2 model: scale-up phase drives the ramp).</t>
        </r>
      </text>
    </comment>
    <comment ref="F71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2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3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F74" authorId="0">
      <text>
        <r>
          <rPr>
            <sz val="10"/>
            <rFont val="Arial"/>
            <family val="2"/>
          </rPr>
          <t xml:space="preserve">Low=10% Medium=15% High=20% Very high=50% (see Rate Card)</t>
        </r>
      </text>
    </comment>
    <comment ref="I71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2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3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I74" authorId="0">
      <text>
        <r>
          <rPr>
            <sz val="10"/>
            <rFont val="Arial"/>
            <family val="2"/>
          </rPr>
          <t xml:space="preserve">Default = Rate Card capitalization policy. Type a % to override.</t>
        </r>
      </text>
    </comment>
    <comment ref="K62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6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6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3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4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  <comment ref="K115" authorId="0">
      <text>
        <r>
          <rPr>
            <sz val="10"/>
            <rFont val="Arial"/>
            <family val="2"/>
          </rPr>
          <t xml:space="preserve">Annual run rate = 2030 value (matches WAVE check rule)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63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  <comment ref="R91" authorId="0">
      <text>
        <r>
          <rPr>
            <sz val="10"/>
            <rFont val="Arial"/>
            <family val="2"/>
          </rPr>
          <t xml:space="preserve">Check: Annual Run Rate (column K) must equal 2030 value (colum P)</t>
        </r>
      </text>
    </comment>
  </commentList>
</comments>
</file>

<file path=xl/sharedStrings.xml><?xml version="1.0" encoding="utf-8"?>
<sst xmlns="http://schemas.openxmlformats.org/spreadsheetml/2006/main" count="1191" uniqueCount="526">
  <si>
    <t xml:space="preserve">PROJECT ZENITH — SALES WORKSTREAM | INITIATIVE MODELS &amp; WAVE TEMPLATES</t>
  </si>
  <si>
    <t xml:space="preserve">Workstream</t>
  </si>
  <si>
    <t xml:space="preserve">Sales — 2 priority initiatives: (1) Underwriting &amp; Pricing for front book, (2) SMB Long Tail — Partner. ELT sponsor: Susan | WSL: Selwyn. LE and MM initiatives follow the Track 2 timeline.</t>
  </si>
  <si>
    <t xml:space="preserve">Purpose</t>
  </si>
  <si>
    <t xml:space="preserve">One file per workstream: each initiative has a Model sheet (all logic and inputs) formula-linked into its own copy of the standard WAVE business-case template. S2 submission: Sep 4; S3: Sep 18.</t>
  </si>
  <si>
    <t xml:space="preserve">Version / status</t>
  </si>
  <si>
    <t xml:space="preserve">v1 — structure complete; impact-driver rates seeded from Aug 13 / Board decks (midpoints), revenue/seller baselines to be populated from received + pending datasets (models compute $0 until baselines are entered).</t>
  </si>
  <si>
    <t xml:space="preserve">Prepared</t>
  </si>
  <si>
    <t xml:space="preserve">Prepared by AAO model build, 31 Aug 2026. Sources: Project Zenith workplan vS_1; Zenith Business Case Template by Lever (WAVE); Aug 13 deck pp. 6, 14–15; Board deck pp. 9, 20, 52.</t>
  </si>
  <si>
    <t xml:space="preserve">Sources</t>
  </si>
  <si>
    <t xml:space="preserve">Workplan Sales tab (initiative-specific data POV); Sales Data Requests tab (4 of 6 received); WAVE standard template (reference copy at the end of this file).</t>
  </si>
  <si>
    <t xml:space="preserve">HOW THIS FILE IS ORGANIZED</t>
  </si>
  <si>
    <t xml:space="preserve">Cover</t>
  </si>
  <si>
    <t xml:space="preserve">This sheet — orientation, legend, deviations, open items.</t>
  </si>
  <si>
    <t xml:space="preserve">Instructions</t>
  </si>
  <si>
    <t xml:space="preserve">The WAVE template's own instruction sheet (as uploaded; dead broken-reference drop-down cells cleared).</t>
  </si>
  <si>
    <t xml:space="preserve">Rate Card</t>
  </si>
  <si>
    <t xml:space="preserve">Shared people-cost engine: rate basis, role table + blended rate, contingency reference, capitalization policy.</t>
  </si>
  <si>
    <t xml:space="preserve">Summary</t>
  </si>
  <si>
    <t xml:space="preserve">Portfolio roll-up of both initiatives (links to WAVE sheets).</t>
  </si>
  <si>
    <t xml:space="preserve">SALES-1 Model / SALES-1 WAVE</t>
  </si>
  <si>
    <t xml:space="preserve">Underwriting &amp; Pricing front book — model + linked WAVE template.</t>
  </si>
  <si>
    <t xml:space="preserve">SALES-2 Model / SALES-2 WAVE</t>
  </si>
  <si>
    <t xml:space="preserve">SMB Long Tail — Partner — model + linked WAVE template.</t>
  </si>
  <si>
    <t xml:space="preserve">Standard Template</t>
  </si>
  <si>
    <t xml:space="preserve">Reference copy of the standard WAVE template (only error-guard fixes applied — see deviations).</t>
  </si>
  <si>
    <t xml:space="preserve">COLOR LEGEND</t>
  </si>
  <si>
    <t xml:space="preserve">Input — change freely</t>
  </si>
  <si>
    <t xml:space="preserve">Formula — do not overwrite</t>
  </si>
  <si>
    <t xml:space="preserve">Link to another sheet</t>
  </si>
  <si>
    <t xml:space="preserve">Section band</t>
  </si>
  <si>
    <t xml:space="preserve">MODEL -&gt; WAVE LINKING</t>
  </si>
  <si>
    <t xml:space="preserve">• Each initiative has a '&lt;code&gt; Model' sheet (all logic and inputs) and a '&lt;code&gt; WAVE' sheet (the standard template). The WAVE sheet contains NO hardcoded numbers for this initiative — its benefit/cost rows link (green) to the Model sheet's feed rows in $M.</t>
  </si>
  <si>
    <t xml:space="preserve">• Model sheets use the same time grid as WAVE: columns L:P = FY2026–2030 annual, columns T:CA = Jan-2026..Dec-2030 monthly. Annual cells are SUMIFS of the monthly grid, so the WAVE monthly-vs-annual checks (CI1:CM1) pass by construction.</t>
  </si>
  <si>
    <t xml:space="preserve">• The 'Ann. Run Rate' (K) on feed rows is defined as the 2030 value, matching the WAVE rule 'Annualized Run Rate (K) = 2030 Value (P)'. Keep ramps reaching 100% before 2030.</t>
  </si>
  <si>
    <t xml:space="preserve">• Benefits ramp linearly from the go-live date over 'months to full run rate' — same convention as the Servicing S2 model. One-time costs spread evenly over each milestone's billing months.</t>
  </si>
  <si>
    <t xml:space="preserve">• People costs: milestone labor = Team size x Billing months x blended monthly rate (Rate Card) x (1 + contingency). Capitalization: each milestone carries a Cap % (default from Rate Card policy) that splits labor into WAVE CapEx vs OTC rows. Same for non-labor one-time items.</t>
  </si>
  <si>
    <t xml:space="preserve">DEVIATIONS FROM THE STANDARD WAVE TEMPLATE (documented fixes)</t>
  </si>
  <si>
    <t xml:space="preserve">• WAVE 'Recurring Benefits Total' run-rate cell K88: standard template has =SUM(-K68,K76,K84), which negates revenue in the run-rate column only (annual columns sum straight). Fixed here to =SUM(K68,K76,K84) so revenue-bearing cases pass the template's own K-vs-2030 check.</t>
  </si>
  <si>
    <t xml:space="preserve">• WAVE ROI cell G163: standard template divides the BASELINE column (I117) by one-time cost; fixed to use the run-rate NRB (K117). Both G163 (ROI) and G164 (IRR) are IFERROR-guarded so a blank or zero-cost state shows 'n/a' instead of DIV/0- and NUM-errors.</t>
  </si>
  <si>
    <t xml:space="preserve">• WAVE label cells I64/I92 ('TTM TTM 6/1/26' in the source, caused by a text period in H18): now display the Section I baseline period directly (=$H$18).</t>
  </si>
  <si>
    <t xml:space="preserve">• Template's illustrative prefills in rows 79/107 (I79=J21 link, J107=J26 link) neutralized on unused rows so phantom values cannot appear; the Section I generic 'xxxx' placeholder blocks (template rows 31-57) are cleared on initiative WAVE sheets.</t>
  </si>
  <si>
    <t xml:space="preserve">• On populated WAVE rows the K 'Ann. Run Rate' cell links the model's run-rate cell directly instead of recomputing I-J / J-I (J is built from I and that same cell, so the arithmetic is identical); this keeps K bit-identical to the 2030 column so the R-column run-rate checks stay exact in Excel.</t>
  </si>
  <si>
    <t xml:space="preserve">• Payback timeline (row 161 / G165): the template's chain formula stalls whenever a year's cumulative cash flow is exactly zero (its own example shows payback '0 yrs' despite a -6.2M cumulative in 2027). Replaced with a robust per-year form: 1 if cumulative CF &lt; 0, the crossing-year fraction when it turns positive, else 0; G165 shows '&gt;5' when payback is not reached inside the 2026-30 horizon.</t>
  </si>
  <si>
    <t xml:space="preserve">• The reference 'Standard Template' tab at the end of this file carries ONLY the error-guard fixes (G163/G164 IFERROR wraps, robust payback row) so the file recalculates clean; every other cell is byte-identical to the uploaded template, including its original K88/I64 quirks and all check machinery (R1, CI1:CM1), WACC 9.5%, cash-basis CapEx treatment. The 'Instructions' tab is as uploaded except its dead broken-reference (REF) hidden drop-down cells were cleared (broken in the source file).</t>
  </si>
  <si>
    <t xml:space="preserve">OPEN ITEMS / QC FLAGS CARRIED FROM SOURCE MATERIALS</t>
  </si>
  <si>
    <t xml:space="preserve">• No Sales sizing model file was provided — only the workplan. Models are built from the workplan's initiative-specific data POV: impact-driver rates seeded (midpoints of stated ranges), baselines as explicit PENDING inputs (currently 0). Benefits read $0 until NSR/seller baselines are entered.</t>
  </si>
  <si>
    <t xml:space="preserve">• Revenue-quality (TM%) differentiation by BU/region — per CEO feedback — is wired in as the margin base (NSR x TM%); populate TM% from the dataset received 8/20.</t>
  </si>
  <si>
    <t xml:space="preserve">• Incrementality/cannibalization (SALES-2) and incremental-vs-pull-forward (SALES-1) treatments are explicit input factors set to 0 until Finance agrees them — deliberately conservative.</t>
  </si>
  <si>
    <t xml:space="preserve">• Seller-time-saved line on SALES-2 is an ENABLER per source materials — confirm bankability.</t>
  </si>
  <si>
    <t xml:space="preserve">• Investment: standard milestone people-cost table with the Servicing S2 uplift standard (PM 8%, contingency 10%, milestone contingency 10%); vendor build costs are separate non-labor lines (pending RFPs).</t>
  </si>
  <si>
    <t xml:space="preserve">• Rate Card role rates are placeholders; capitalization defaults need Finance sign-off.</t>
  </si>
  <si>
    <t xml:space="preserve">INPUTS &amp; ASSUMPTIONS</t>
  </si>
  <si>
    <t xml:space="preserve">Initiative #</t>
  </si>
  <si>
    <t xml:space="preserve">Initiative Owner</t>
  </si>
  <si>
    <t xml:space="preserve">John Smith</t>
  </si>
  <si>
    <t xml:space="preserve">Initiative Name</t>
  </si>
  <si>
    <t xml:space="preserve">Leverage agentic AI for customer service and care centers, reducing number of calls handled by live customer care agents and increasing productivity</t>
  </si>
  <si>
    <t xml:space="preserve">Names - 5-7 words</t>
  </si>
  <si>
    <t xml:space="preserve">Descriptions - 10-20 words</t>
  </si>
  <si>
    <t xml:space="preserve">Estimated L4 date</t>
  </si>
  <si>
    <t xml:space="preserve">Net Recurring Benefit ($M)</t>
  </si>
  <si>
    <t xml:space="preserve">SECTION I - PRIMARY VALUE DRIVER (ILLUSTRATIVE)</t>
  </si>
  <si>
    <t xml:space="preserve">CHECKS</t>
  </si>
  <si>
    <t xml:space="preserve">Illustrative example of value driver explanation - please edit fields to reflect value drivers for your Initiative</t>
  </si>
  <si>
    <t xml:space="preserve">Criteria (Column Reference)</t>
  </si>
  <si>
    <t xml:space="preserve">Check</t>
  </si>
  <si>
    <t xml:space="preserve">Troubleshoot:</t>
  </si>
  <si>
    <t xml:space="preserve">Baseline</t>
  </si>
  <si>
    <t xml:space="preserve">Period</t>
  </si>
  <si>
    <t xml:space="preserve">KPI</t>
  </si>
  <si>
    <t xml:space="preserve">Inputs</t>
  </si>
  <si>
    <t xml:space="preserve">(A) Annualized Run Rate (K) = 2030 Value (P)</t>
  </si>
  <si>
    <t xml:space="preserve"># of calls handled by live agents</t>
  </si>
  <si>
    <t xml:space="preserve">[A]</t>
  </si>
  <si>
    <t xml:space="preserve">FY2025</t>
  </si>
  <si>
    <t xml:space="preserve"># of calls</t>
  </si>
  <si>
    <t xml:space="preserve">(B) 2026 Value (L) = Sum of Monthly 2026 Values (CC)</t>
  </si>
  <si>
    <t xml:space="preserve">AHT</t>
  </si>
  <si>
    <t xml:space="preserve">[B]</t>
  </si>
  <si>
    <t xml:space="preserve">FY 2026</t>
  </si>
  <si>
    <t xml:space="preserve">Seconds</t>
  </si>
  <si>
    <t xml:space="preserve">(C) 2027 Value (M) = Sum of Monthly 2027 Values (CD)</t>
  </si>
  <si>
    <t xml:space="preserve"># of live agents handling calls</t>
  </si>
  <si>
    <t xml:space="preserve">[C]</t>
  </si>
  <si>
    <t xml:space="preserve">FY 2025</t>
  </si>
  <si>
    <t xml:space="preserve"># of live agents</t>
  </si>
  <si>
    <t xml:space="preserve">(D) 2028 Value (N) = Sum of Monthly 2028 Values (CE)</t>
  </si>
  <si>
    <t xml:space="preserve">Average cost per agent</t>
  </si>
  <si>
    <t xml:space="preserve">$ / agent</t>
  </si>
  <si>
    <t xml:space="preserve">(E) 2029 Value (O) = Sum of Monthly 2029 Values (CF)</t>
  </si>
  <si>
    <t xml:space="preserve">Total spend on contact center for queue X</t>
  </si>
  <si>
    <t xml:space="preserve">[D]</t>
  </si>
  <si>
    <t xml:space="preserve">$USD M</t>
  </si>
  <si>
    <t xml:space="preserve">(F) 2030 Value (P) = Sum of Monthly 2030 Values (CG)</t>
  </si>
  <si>
    <t xml:space="preserve">Goal</t>
  </si>
  <si>
    <t xml:space="preserve">D</t>
  </si>
  <si>
    <t xml:space="preserve">[E]</t>
  </si>
  <si>
    <t xml:space="preserve">[F]</t>
  </si>
  <si>
    <t xml:space="preserve">[G]</t>
  </si>
  <si>
    <t xml:space="preserve">[H]</t>
  </si>
  <si>
    <t xml:space="preserve">FY2026</t>
  </si>
  <si>
    <t xml:space="preserve">Incremental Improvement</t>
  </si>
  <si>
    <t xml:space="preserve">[A]-[E]</t>
  </si>
  <si>
    <t xml:space="preserve">[B]-[F]</t>
  </si>
  <si>
    <t xml:space="preserve">[C]-[G]</t>
  </si>
  <si>
    <t xml:space="preserve">Total spend on contact center queue X</t>
  </si>
  <si>
    <t xml:space="preserve">[D]-[H]</t>
  </si>
  <si>
    <t xml:space="preserve">USD M</t>
  </si>
  <si>
    <t xml:space="preserve"># xxxx</t>
  </si>
  <si>
    <t xml:space="preserve">xxxx unit cost</t>
  </si>
  <si>
    <t xml:space="preserve">$ xxxx</t>
  </si>
  <si>
    <t xml:space="preserve">xxxx total spend</t>
  </si>
  <si>
    <t xml:space="preserve">$USD K</t>
  </si>
  <si>
    <t xml:space="preserve">[A]-[C]</t>
  </si>
  <si>
    <t xml:space="preserve">$ / xxxx</t>
  </si>
  <si>
    <t xml:space="preserve">[B]-[D]</t>
  </si>
  <si>
    <t xml:space="preserve">SECTION II - NET RECURRING BENEFITS</t>
  </si>
  <si>
    <t xml:space="preserve">ANNUAL SUMMARY</t>
  </si>
  <si>
    <t xml:space="preserve">CHECK CELLS</t>
  </si>
  <si>
    <t xml:space="preserve">RECURRING BENEFITS</t>
  </si>
  <si>
    <t xml:space="preserve">Comment</t>
  </si>
  <si>
    <t xml:space="preserve">Ann. Run Rate</t>
  </si>
  <si>
    <t xml:space="preserve">Impacted BU</t>
  </si>
  <si>
    <t xml:space="preserve">FY25 Hist.</t>
  </si>
  <si>
    <t xml:space="preserve">Future State</t>
  </si>
  <si>
    <t xml:space="preserve">Increment</t>
  </si>
  <si>
    <t xml:space="preserve">Revenue</t>
  </si>
  <si>
    <t xml:space="preserve">Revenue Subtotal</t>
  </si>
  <si>
    <t xml:space="preserve">Cost of Sales</t>
  </si>
  <si>
    <t xml:space="preserve">Cost of Sales Subtotal</t>
  </si>
  <si>
    <t xml:space="preserve">OPEX</t>
  </si>
  <si>
    <t xml:space="preserve">OPEX - Temporary Workers</t>
  </si>
  <si>
    <t xml:space="preserve">Global Risk</t>
  </si>
  <si>
    <t xml:space="preserve">OpEx subtotal</t>
  </si>
  <si>
    <t xml:space="preserve">Recurring Benefits Total</t>
  </si>
  <si>
    <t xml:space="preserve">RECURRING COSTS TO ACHIEVE IMPACT</t>
  </si>
  <si>
    <t xml:space="preserve">OPEX - SaaS SW</t>
  </si>
  <si>
    <t xml:space="preserve">Platform licencing &amp; LLM inference</t>
  </si>
  <si>
    <t xml:space="preserve">OPEX - Cloud Services</t>
  </si>
  <si>
    <t xml:space="preserve">Cloud infra</t>
  </si>
  <si>
    <t xml:space="preserve">Recurring Costs Total</t>
  </si>
  <si>
    <t xml:space="preserve">Net Recurring Benefit</t>
  </si>
  <si>
    <t xml:space="preserve">SECTION III - ONE-TIME IMPLEMENTATION</t>
  </si>
  <si>
    <t xml:space="preserve">ONE-TIME BENEFITS</t>
  </si>
  <si>
    <t xml:space="preserve">Working Capital</t>
  </si>
  <si>
    <t xml:space="preserve">Working Capital Subtotal</t>
  </si>
  <si>
    <t xml:space="preserve">One-Time Benefits Total</t>
  </si>
  <si>
    <t xml:space="preserve">CAPEX AND ONE-TIME COSTS</t>
  </si>
  <si>
    <t xml:space="preserve">Capital Expenditures</t>
  </si>
  <si>
    <t xml:space="preserve">CAPEX - AI</t>
  </si>
  <si>
    <t xml:space="preserve">Capital Expenditures Subtotal</t>
  </si>
  <si>
    <t xml:space="preserve">OTC</t>
  </si>
  <si>
    <t xml:space="preserve">OTC Subtotal</t>
  </si>
  <si>
    <t xml:space="preserve">One-Time Costs Total</t>
  </si>
  <si>
    <t xml:space="preserve">Total One-Time Benefit</t>
  </si>
  <si>
    <t xml:space="preserve">SECTION IV - FINANCIAL METRICS</t>
  </si>
  <si>
    <t xml:space="preserve">Cash Flow</t>
  </si>
  <si>
    <t xml:space="preserve">Total</t>
  </si>
  <si>
    <t xml:space="preserve">Operating Income</t>
  </si>
  <si>
    <t xml:space="preserve">(+) One-Time Benefits</t>
  </si>
  <si>
    <t xml:space="preserve">(-) One-Time Cash Costs</t>
  </si>
  <si>
    <t xml:space="preserve">Cumulative Cash Flow</t>
  </si>
  <si>
    <t xml:space="preserve">Payback timeline</t>
  </si>
  <si>
    <t xml:space="preserve">WACC</t>
  </si>
  <si>
    <t xml:space="preserve">NPV</t>
  </si>
  <si>
    <t xml:space="preserve">$</t>
  </si>
  <si>
    <t xml:space="preserve"># yrs</t>
  </si>
  <si>
    <t xml:space="preserve">DO NOT DELETE - INPUT FOR DROP-DOWN MENU in COLUMN O ROWS 37-51</t>
  </si>
  <si>
    <t xml:space="preserve">END</t>
  </si>
  <si>
    <t xml:space="preserve">RATE CARD — people-cost engine (shared by all initiative models)</t>
  </si>
  <si>
    <t xml:space="preserve">Blue cells with yellow fill = inputs you can change. Black = formulas. All initiative models pull the blended rate and policy tables from this sheet.</t>
  </si>
  <si>
    <t xml:space="preserve">1. RATE BASIS</t>
  </si>
  <si>
    <t xml:space="preserve">Rate basis for people costs</t>
  </si>
  <si>
    <t xml:space="preserve">Yearly</t>
  </si>
  <si>
    <t xml:space="preserve">Choose how role rates are quoted, then TYPE YOUR RATES in the matching column of the role table below (Yearly-&gt;col D, Monthly-&gt;col E, Hourly-&gt;col F). The other columns show derived equivalents until you overwrite them. Hourly =&gt; monthly = $/hr x hours/day x days/month.</t>
  </si>
  <si>
    <t xml:space="preserve">Working hours per day</t>
  </si>
  <si>
    <t xml:space="preserve">Used only when rate basis = Hourly.</t>
  </si>
  <si>
    <t xml:space="preserve">Billable days per month</t>
  </si>
  <si>
    <t xml:space="preserve">Months per year (for yearly basis)</t>
  </si>
  <si>
    <t xml:space="preserve">2. STANDARD TEAM COMPOSITION &amp; BLENDED RATE</t>
  </si>
  <si>
    <t xml:space="preserve">Role</t>
  </si>
  <si>
    <t xml:space="preserve"># in std team</t>
  </si>
  <si>
    <t xml:space="preserve">Yearly rate ($/yr)</t>
  </si>
  <si>
    <t xml:space="preserve">Monthly rate ($/mo)</t>
  </si>
  <si>
    <t xml:space="preserve">Hourly rate ($/hr)</t>
  </si>
  <si>
    <t xml:space="preserve">Monthly used ($/mo)</t>
  </si>
  <si>
    <t xml:space="preserve">Team cost ($/mo)</t>
  </si>
  <si>
    <t xml:space="preserve">Source / notes</t>
  </si>
  <si>
    <t xml:space="preserve">Engineer</t>
  </si>
  <si>
    <t xml:space="preserve">QA Engineer</t>
  </si>
  <si>
    <t xml:space="preserve">Solution Architect</t>
  </si>
  <si>
    <t xml:space="preserve">Product Manager</t>
  </si>
  <si>
    <t xml:space="preserve">Data Engineer</t>
  </si>
  <si>
    <t xml:space="preserve">ML Engineer</t>
  </si>
  <si>
    <t xml:space="preserve">Program Manager</t>
  </si>
  <si>
    <t xml:space="preserve">spare row — add roles as team shape is refined</t>
  </si>
  <si>
    <t xml:space="preserve">Total standard team</t>
  </si>
  <si>
    <t xml:space="preserve">BLENDED RATE — per team member</t>
  </si>
  <si>
    <t xml:space="preserve">$/person/month</t>
  </si>
  <si>
    <t xml:space="preserve">Weighted average monthly cost of one member of the standard team. Initiative milestone tables use this unless a rate override is entered.</t>
  </si>
  <si>
    <t xml:space="preserve">$/person/year</t>
  </si>
  <si>
    <t xml:space="preserve">$/person/hour</t>
  </si>
  <si>
    <t xml:space="preserve">3. CONTINGENCY FACTOR REFERENCE</t>
  </si>
  <si>
    <t xml:space="preserve">Complexity / risk level</t>
  </si>
  <si>
    <t xml:space="preserve">Factor</t>
  </si>
  <si>
    <t xml:space="preserve">Based on the complexity and risks to deliver the milestone.</t>
  </si>
  <si>
    <t xml:space="preserve">Low</t>
  </si>
  <si>
    <t xml:space="preserve">Medium</t>
  </si>
  <si>
    <t xml:space="preserve">High</t>
  </si>
  <si>
    <t xml:space="preserve">Very high</t>
  </si>
  <si>
    <t xml:space="preserve">4. CAPITALIZATION POLICY (labor) — default % of milestone labor capitalizable</t>
  </si>
  <si>
    <t xml:space="preserve">Milestone</t>
  </si>
  <si>
    <t xml:space="preserve">Cap %</t>
  </si>
  <si>
    <t xml:space="preserve">Share of labor cost treated as CapEx (feeds WAVE 'Capital Expenditures'); remainder is expensed one-time cost (WAVE 'OTC'). Defaults follow a typical internal-use software policy (ASC 350-40): application development/build stage capitalizable, planning and post-launch expensed. CONFIRM WITH FINANCE — initiative models reference these cells, override there if needed.</t>
  </si>
  <si>
    <t xml:space="preserve">Plan / Design</t>
  </si>
  <si>
    <t xml:space="preserve">Build / Test</t>
  </si>
  <si>
    <t xml:space="preserve">Pilot / Change Mgmt.</t>
  </si>
  <si>
    <t xml:space="preserve">Scale / Run</t>
  </si>
  <si>
    <t xml:space="preserve">Non-labor one-time (default)</t>
  </si>
  <si>
    <t xml:space="preserve">5. NOTES</t>
  </si>
  <si>
    <t xml:space="preserve">• Role rates are PLACEHOLDERS — replace with the PayPal/FP&amp;A rate card. Servicing S2 reference: $200,000/yr blended loaded delivery FTE (+10% delivery risk), $180,000/yr run-team FTE.</t>
  </si>
  <si>
    <t xml:space="preserve">• Team composition mirrors the standard AAO delivery-pod thinking; adjust for vendor-heavy builds (PRM/orchestration) where internal pod may be smaller.</t>
  </si>
  <si>
    <t xml:space="preserve">• Build/Test capitalization default of 80% follows a typical internal-use software policy — CONFIRM WITH FINANCE, especially for vendor/SaaS-heavy builds where treatment differs.</t>
  </si>
  <si>
    <t xml:space="preserve">SALES WORKSTREAM — PORTFOLIO SUMMARY ($M)</t>
  </si>
  <si>
    <t xml:space="preserve">All figures link to the initiative WAVE sheets. Payback/NPV per WAVE Section IV.</t>
  </si>
  <si>
    <t xml:space="preserve">Initiative</t>
  </si>
  <si>
    <t xml:space="preserve">NRB run rate</t>
  </si>
  <si>
    <t xml:space="preserve">NRB 2026</t>
  </si>
  <si>
    <t xml:space="preserve">NRB 2027</t>
  </si>
  <si>
    <t xml:space="preserve">NRB 2028</t>
  </si>
  <si>
    <t xml:space="preserve">NRB 2029</t>
  </si>
  <si>
    <t xml:space="preserve">NRB 2030</t>
  </si>
  <si>
    <t xml:space="preserve">One-time cost (5yr)</t>
  </si>
  <si>
    <t xml:space="preserve">Run cost 2030</t>
  </si>
  <si>
    <t xml:space="preserve">NPV (5yr)</t>
  </si>
  <si>
    <t xml:space="preserve">Payback (yrs)</t>
  </si>
  <si>
    <t xml:space="preserve">SALES-1 — Underwriting &amp; Pricing — Front Book</t>
  </si>
  <si>
    <t xml:space="preserve">SALES-2 — SMB Long Tail — Partner</t>
  </si>
  <si>
    <t xml:space="preserve">TOTAL — SALES WORKSTREAM</t>
  </si>
  <si>
    <t xml:space="preserve">Note: NPV and payback are not additive across initiatives; totals shown for benefit/cost columns only.</t>
  </si>
  <si>
    <t xml:space="preserve">Capitalization policy note: this file defaults Build/Test labor to 80% capitalizable (Rate Card) pending Finance sign-off; the Servicing file defaults to 0% to mirror the S2 model's all-cash treatment. Align the policy across workstreams with Finance before the S2 gate.</t>
  </si>
  <si>
    <t xml:space="preserve">SALES-1 — Underwriting &amp; Pricing — Front Book  |  INITIATIVE MODEL</t>
  </si>
  <si>
    <t xml:space="preserve">Workstream: Sales (ELT sponsor: Susan | WSL: Selwyn)   •   Model status: Structure ready; NSR/seller baselines to populate from received datasets — see open items</t>
  </si>
  <si>
    <t xml:space="preserve">Monthly grid (Jan-26 → Dec-30) →</t>
  </si>
  <si>
    <t xml:space="preserve">Run rate</t>
  </si>
  <si>
    <t xml:space="preserve">0. INITIATIVE &amp; STATUS</t>
  </si>
  <si>
    <t xml:space="preserve">Initiative name</t>
  </si>
  <si>
    <t xml:space="preserve">Agentic underwriting and pricing for the front book — faster cycle times, freed seller capacity, RoS uplift</t>
  </si>
  <si>
    <t xml:space="preserve">Initiative owner</t>
  </si>
  <si>
    <t xml:space="preserve">Sales initiative owner — TBC</t>
  </si>
  <si>
    <t xml:space="preserve">confirm with workstream lead</t>
  </si>
  <si>
    <t xml:space="preserve">Global Sales</t>
  </si>
  <si>
    <t xml:space="preserve">Go-live / Estimated L4 date</t>
  </si>
  <si>
    <t xml:space="preserve">Benefit ramp is gated on this date.</t>
  </si>
  <si>
    <t xml:space="preserve">Source: Workplan: 'Project Zenith Automation workplan and data requests vS_1.xlsx', Sales tab + Sales Data Requests tab</t>
  </si>
  <si>
    <t xml:space="preserve">Source: Impact ranges: Aug 13 deck pp. 6, 14–15; Board deck pp. 9, 20, 52 (preliminary — Finance to validate)</t>
  </si>
  <si>
    <t xml:space="preserve">Open items to refine with initiative owner:</t>
  </si>
  <si>
    <t xml:space="preserve">  – Baselines to populate: front-book NSR by segment (pending), TM% by BU/region (received 8/20 — reflects CEO ask on revenue-quality differences), FLC by region (received 8/21), seller counts &amp; time-on-UW split (pending).</t>
  </si>
  <si>
    <t xml:space="preserve">  – Revenue-acceleration conversion factor (cycle time -&gt; incremental NSR) must be defined with Finance — incremental vs pull-forward treatment per the Finance approval package requirements.</t>
  </si>
  <si>
    <t xml:space="preserve">  – Sales/Risk attribution and Risk &amp; Compliance dependency (underwriting, credit decisioning, risk-based pricing) to be resolved.</t>
  </si>
  <si>
    <t xml:space="preserve">  – Interviews in flight (Pricing 8/27, Underwriting 8/27, Tech 8/26); build shape below is the standard AAO pod PLACEHOLDER — refine after tech workshop (W6).</t>
  </si>
  <si>
    <t xml:space="preserve">1. SIZING ASSUMPTIONS  (blue = inputs — refine with initiative owner)</t>
  </si>
  <si>
    <t xml:space="preserve">Baseline / denominator  (populate from received datasets + pending requests)</t>
  </si>
  <si>
    <t xml:space="preserve">Front-book NSR in scope (annual)</t>
  </si>
  <si>
    <t xml:space="preserve">$/yr</t>
  </si>
  <si>
    <t xml:space="preserve">PENDING — placeholder, not data. NSR by segment — pending</t>
  </si>
  <si>
    <t xml:space="preserve">Transaction margin (TM % of NSR) — blended in scope</t>
  </si>
  <si>
    <t xml:space="preserve">%</t>
  </si>
  <si>
    <t xml:space="preserve">Received 8/20 by BU/region — populate blended in-scope value</t>
  </si>
  <si>
    <t xml:space="preserve"># sellers in scope (UW/pricing-involved)</t>
  </si>
  <si>
    <t xml:space="preserve"># FTE</t>
  </si>
  <si>
    <t xml:space="preserve">PENDING — placeholder, not data. Seller counts by segment — pending</t>
  </si>
  <si>
    <t xml:space="preserve">Avg fully loaded cost per seller</t>
  </si>
  <si>
    <t xml:space="preserve">FLC by region received 8/21 — populate blended value</t>
  </si>
  <si>
    <t xml:space="preserve">% of seller time on UW, pricing &amp; related activities</t>
  </si>
  <si>
    <t xml:space="preserve">PENDING — placeholder, not data. Seller time-allocation — pending</t>
  </si>
  <si>
    <t xml:space="preserve">Impact drivers  (Aug 13 deck pp. 6, 14 — preliminary ranges, midpoints seeded)</t>
  </si>
  <si>
    <t xml:space="preserve">UW cycle-time reduction</t>
  </si>
  <si>
    <t xml:space="preserve">Source: 70%</t>
  </si>
  <si>
    <t xml:space="preserve">Pricing cycle-time reduction</t>
  </si>
  <si>
    <t xml:space="preserve">Source: 20–30% — midpoint</t>
  </si>
  <si>
    <t xml:space="preserve">Revenue-acceleration conversion (% incremental NSR from faster cycles)</t>
  </si>
  <si>
    <t xml:space="preserve">PENDING — placeholder, not data. Define with Finance: converts cycle-time reduction into incremental NSR; keep incremental vs pull-forward split explicit</t>
  </si>
  <si>
    <t xml:space="preserve">Capture rate — revenue acceleration</t>
  </si>
  <si>
    <t xml:space="preserve">Source: 75%</t>
  </si>
  <si>
    <t xml:space="preserve">RoS / margin uplift</t>
  </si>
  <si>
    <t xml:space="preserve">Source: 2–3% — midpoint</t>
  </si>
  <si>
    <t xml:space="preserve">Capture rate — RoS uplift</t>
  </si>
  <si>
    <t xml:space="preserve">Assumed same as pricing capture — confirm</t>
  </si>
  <si>
    <t xml:space="preserve">Seller capacity freed — UW</t>
  </si>
  <si>
    <t xml:space="preserve">Source: 30–40% — midpoint</t>
  </si>
  <si>
    <t xml:space="preserve">Seller capacity freed — pricing</t>
  </si>
  <si>
    <t xml:space="preserve">Source: 25–35% — midpoint</t>
  </si>
  <si>
    <t xml:space="preserve">Capture rate — seller capacity to cost</t>
  </si>
  <si>
    <t xml:space="preserve">Source: 65%</t>
  </si>
  <si>
    <t xml:space="preserve">Investment uplifts (consistent with Servicing S2 standard)</t>
  </si>
  <si>
    <t xml:space="preserve">Programme management, % of build</t>
  </si>
  <si>
    <t xml:space="preserve">Contingency, % of build incl. PM</t>
  </si>
  <si>
    <t xml:space="preserve">(spare assumption row)</t>
  </si>
  <si>
    <t xml:space="preserve">2. BENEFIT CALCULATION  (steady-state annual run-rate)</t>
  </si>
  <si>
    <t xml:space="preserve">In-scope margin base (NSR x TM%)</t>
  </si>
  <si>
    <t xml:space="preserve">Revenue acceleration — UW + pricing cycle time</t>
  </si>
  <si>
    <t xml:space="preserve">Margin base x acceleration conversion x capture. Cycle-time reductions (70% UW / 25% pricing) inform the conversion factor — keep the factor honest about incremental vs pull-forward</t>
  </si>
  <si>
    <t xml:space="preserve">RoS / pricing uplift benefit</t>
  </si>
  <si>
    <t xml:space="preserve">Margin base x RoS uplift x capture — confirm whether uplift applies to NSR or TM base</t>
  </si>
  <si>
    <t xml:space="preserve">Seller capacity freed (bankable)</t>
  </si>
  <si>
    <t xml:space="preserve">Sellers x FLC x % time on UW/pricing x avg capacity freed x capture</t>
  </si>
  <si>
    <t xml:space="preserve">3. RAMP &amp; PHASING</t>
  </si>
  <si>
    <t xml:space="preserve">Months to full run rate after go-live (linear ramp)</t>
  </si>
  <si>
    <t xml:space="preserve">Benefit starts at go-live and ramps linearly to steady state over this many months.</t>
  </si>
  <si>
    <t xml:space="preserve">Monthly ramp % (run-rate captured in month)</t>
  </si>
  <si>
    <t xml:space="preserve">Resulting average ramp % by year (info)</t>
  </si>
  <si>
    <t xml:space="preserve">4. RECURRING BENEFIT LINES  ($M — these rows feed the WAVE sheet)</t>
  </si>
  <si>
    <t xml:space="preserve">Line (WAVE category)</t>
  </si>
  <si>
    <t xml:space="preserve">Baseline $M</t>
  </si>
  <si>
    <t xml:space="preserve">Revenue - Acceleration from UW &amp; pricing cycle time   [REV]</t>
  </si>
  <si>
    <t xml:space="preserve">Revenue - RoS / pricing uplift   [REV]</t>
  </si>
  <si>
    <t xml:space="preserve">OPEX - Seller capacity freed (UW &amp; pricing)   [OPEX]</t>
  </si>
  <si>
    <t xml:space="preserve">Total recurring benefit ($M)</t>
  </si>
  <si>
    <t xml:space="preserve">5. ONE-TIME INVESTMENT — people cost by milestone (standard approach)</t>
  </si>
  <si>
    <t xml:space="preserve">Assumptions</t>
  </si>
  <si>
    <t xml:space="preserve">Team size</t>
  </si>
  <si>
    <t xml:space="preserve">Billing months</t>
  </si>
  <si>
    <t xml:space="preserve">Contingency Factor</t>
  </si>
  <si>
    <t xml:space="preserve">Labor Costs</t>
  </si>
  <si>
    <t xml:space="preserve">Start month</t>
  </si>
  <si>
    <t xml:space="preserve">Cap % (labor)</t>
  </si>
  <si>
    <t xml:space="preserve">Rate override ($/mo)</t>
  </si>
  <si>
    <t xml:space="preserve">Capture any assumptions on cost drivers, timelines, contingency factor etc.</t>
  </si>
  <si>
    <t xml:space="preserve">Months the team works at full utilization</t>
  </si>
  <si>
    <t xml:space="preserve">Low=10% Medium=15% High=20% Very high=50%</t>
  </si>
  <si>
    <t xml:space="preserve">Total labor costs for milestone</t>
  </si>
  <si>
    <t xml:space="preserve">Default links to Rate Card policy — type a % to override</t>
  </si>
  <si>
    <t xml:space="preserve">PLACEHOLDER — standard AAO pod shape; refine after W6 tech workshop and vendor RFP decisions.</t>
  </si>
  <si>
    <t xml:space="preserve">PLACEHOLDER — one 8-FTE pod; vendor build (incl. integrations/data, API) carried in non-labor lines below.</t>
  </si>
  <si>
    <t xml:space="preserve">PLACEHOLDER — scale-up team of 5 through segment rollout; change management cost in non-labor below.</t>
  </si>
  <si>
    <t xml:space="preserve">Run-phase support carried as recurring run cost (Section 6).</t>
  </si>
  <si>
    <t xml:space="preserve">Milestone labor phasing ($/month, spread evenly over billing months)</t>
  </si>
  <si>
    <t xml:space="preserve">   Plan / Design</t>
  </si>
  <si>
    <t xml:space="preserve">   Build / Test</t>
  </si>
  <si>
    <t xml:space="preserve">   Pilot / Change Mgmt.</t>
  </si>
  <si>
    <t xml:space="preserve">   Scale / Run</t>
  </si>
  <si>
    <t xml:space="preserve">Total milestone labor (all blocks)</t>
  </si>
  <si>
    <t xml:space="preserve">One-time non-labor costs (vendor, integration, licences, change mgmt., etc.)</t>
  </si>
  <si>
    <t xml:space="preserve">Item</t>
  </si>
  <si>
    <t xml:space="preserve">Assumptions / notes</t>
  </si>
  <si>
    <t xml:space="preserve">Total $</t>
  </si>
  <si>
    <t xml:space="preserve">Spread months</t>
  </si>
  <si>
    <t xml:space="preserve">Vendor build (incl. integrations / data / API)</t>
  </si>
  <si>
    <t xml:space="preserve">PENDING — placeholder, not data. Build cost incl. vendor — RFP W8</t>
  </si>
  <si>
    <t xml:space="preserve">Change management</t>
  </si>
  <si>
    <t xml:space="preserve">PENDING — placeholder, not data. Change management cost</t>
  </si>
  <si>
    <t xml:space="preserve">Programme management (8% of build)</t>
  </si>
  <si>
    <t xml:space="preserve">8% x (milestone labor + vendor + change mgmt) — Servicing S2 standard</t>
  </si>
  <si>
    <t xml:space="preserve">Contingency (10% of build incl. PM)</t>
  </si>
  <si>
    <t xml:space="preserve">10% x (build subtotal incl. PM) — Servicing S2 standard</t>
  </si>
  <si>
    <t xml:space="preserve">(spare)</t>
  </si>
  <si>
    <t xml:space="preserve">Non-labor phasing ($/month)</t>
  </si>
  <si>
    <t xml:space="preserve">   phasing — item 1</t>
  </si>
  <si>
    <t xml:space="preserve">   phasing — item 2</t>
  </si>
  <si>
    <t xml:space="preserve">   phasing — item 3</t>
  </si>
  <si>
    <t xml:space="preserve">   phasing — item 4</t>
  </si>
  <si>
    <t xml:space="preserve">   phasing — item 5</t>
  </si>
  <si>
    <t xml:space="preserve">One-time investment feed rows ($M — these feed the WAVE sheet)</t>
  </si>
  <si>
    <t xml:space="preserve">CAPEX — capitalized build labor</t>
  </si>
  <si>
    <t xml:space="preserve">CAPEX — capitalized non-labor</t>
  </si>
  <si>
    <t xml:space="preserve">OTC — build labor (expensed)</t>
  </si>
  <si>
    <t xml:space="preserve">OTC — non-labor (expensed)</t>
  </si>
  <si>
    <t xml:space="preserve">Total one-time investment ($M)</t>
  </si>
  <si>
    <t xml:space="preserve">6. RECURRING RUN COSTS to achieve impact</t>
  </si>
  <si>
    <t xml:space="preserve">Line</t>
  </si>
  <si>
    <t xml:space="preserve">Annual $ (steady state)</t>
  </si>
  <si>
    <t xml:space="preserve">Scales with ramp? (Y/N)</t>
  </si>
  <si>
    <t xml:space="preserve">OPEX - Token cost for agents</t>
  </si>
  <si>
    <t xml:space="preserve">PENDING — placeholder, not data. Agent token consumption — scales with adoption/ramp</t>
  </si>
  <si>
    <t xml:space="preserve">Y</t>
  </si>
  <si>
    <t xml:space="preserve">OPEX - Vendor / SaaS recurring</t>
  </si>
  <si>
    <t xml:space="preserve">PENDING — placeholder, not data. Recurring vendor/licence opex</t>
  </si>
  <si>
    <t xml:space="preserve">N</t>
  </si>
  <si>
    <t xml:space="preserve">OPEX - Support &amp; maintenance</t>
  </si>
  <si>
    <t xml:space="preserve">PENDING — placeholder, not data. Ongoing support/maintenance</t>
  </si>
  <si>
    <t xml:space="preserve">Run-cost feed rows ($M)</t>
  </si>
  <si>
    <t xml:space="preserve">OPEX - Token cost for agents   [RUN]</t>
  </si>
  <si>
    <t xml:space="preserve">OPEX - Vendor / SaaS recurring   [RUN]</t>
  </si>
  <si>
    <t xml:space="preserve">OPEX - Support &amp; maintenance   [RUN]</t>
  </si>
  <si>
    <t xml:space="preserve">Total run cost ($M)</t>
  </si>
  <si>
    <t xml:space="preserve">7. WAVE MAPPING (reference)</t>
  </si>
  <si>
    <t xml:space="preserve">Model row 63 — Revenue - Acceleration from UW &amp; pricing cycle time</t>
  </si>
  <si>
    <t xml:space="preserve">→  WAVE row 66 (Section II — Recurring Benefits)</t>
  </si>
  <si>
    <t xml:space="preserve">Model row 64 — Revenue - RoS / pricing uplift</t>
  </si>
  <si>
    <t xml:space="preserve">→  WAVE row 67 (Section II — Recurring Benefits)</t>
  </si>
  <si>
    <t xml:space="preserve">Model row 65 — OPEX - Seller capacity freed (UW &amp; pricing)</t>
  </si>
  <si>
    <t xml:space="preserve">→  WAVE row 79 (Section II — Recurring Benefits)</t>
  </si>
  <si>
    <t xml:space="preserve">Model row 114 — OPEX - Token cost for agents</t>
  </si>
  <si>
    <t xml:space="preserve">→  WAVE row 107 (Section II — Recurring Costs)</t>
  </si>
  <si>
    <t xml:space="preserve">Model row 115 — OPEX - Vendor / SaaS recurring</t>
  </si>
  <si>
    <t xml:space="preserve">→  WAVE row 108 (Section II — Recurring Costs)</t>
  </si>
  <si>
    <t xml:space="preserve">Model row 116 — OPEX - Support &amp; maintenance</t>
  </si>
  <si>
    <t xml:space="preserve">→  WAVE row 109 (Section II — Recurring Costs)</t>
  </si>
  <si>
    <t xml:space="preserve">Model row 100 — CAPEX — capitalized build labor</t>
  </si>
  <si>
    <t xml:space="preserve">→  WAVE row 136 (Section III — CapEx)</t>
  </si>
  <si>
    <t xml:space="preserve">Model row 101 — CAPEX — capitalized non-labor</t>
  </si>
  <si>
    <t xml:space="preserve">→  WAVE row 137 (Section III — CapEx)</t>
  </si>
  <si>
    <t xml:space="preserve">Model row 102 — OTC — build labor (expensed)</t>
  </si>
  <si>
    <t xml:space="preserve">→  WAVE row 141 (Section III — OTC)</t>
  </si>
  <si>
    <t xml:space="preserve">Model row 103 — OTC — non-labor (expensed)</t>
  </si>
  <si>
    <t xml:space="preserve">→  WAVE row 142 (Section III — OTC)</t>
  </si>
  <si>
    <t xml:space="preserve">8. FLEX / SCRATCH AREA — free space for refinements with the initiative owner</t>
  </si>
  <si>
    <t xml:space="preserve">TBD</t>
  </si>
  <si>
    <t xml:space="preserve">Primary value driver — linked to the Model sheet; refine with the initiative owner</t>
  </si>
  <si>
    <t xml:space="preserve">Front-book NSR in scope</t>
  </si>
  <si>
    <t xml:space="preserve">TTM 6/1/26</t>
  </si>
  <si>
    <t xml:space="preserve">Transaction margin (TM % of NSR)</t>
  </si>
  <si>
    <t xml:space="preserve">In-scope margin base</t>
  </si>
  <si>
    <t xml:space="preserve">Sellers in scope x FLC</t>
  </si>
  <si>
    <t xml:space="preserve">UW / pricing cycle-time reduction</t>
  </si>
  <si>
    <t xml:space="preserve">Steady state</t>
  </si>
  <si>
    <t xml:space="preserve">% (UW)</t>
  </si>
  <si>
    <t xml:space="preserve">Seller capacity freed x capture</t>
  </si>
  <si>
    <t xml:space="preserve">Total annual benefit (run rate)</t>
  </si>
  <si>
    <t xml:space="preserve">CHECK</t>
  </si>
  <si>
    <t xml:space="preserve">Revenue - Acceleration from UW &amp; pricing cycle time</t>
  </si>
  <si>
    <t xml:space="preserve">Margin base uplift from faster cycle times (incremental share only)</t>
  </si>
  <si>
    <t xml:space="preserve">Revenue - RoS / pricing uplift</t>
  </si>
  <si>
    <t xml:space="preserve">2–3% RoS uplift at 75% capture (midpoint seeded)</t>
  </si>
  <si>
    <t xml:space="preserve">OPEX - Seller capacity freed (UW &amp; pricing)</t>
  </si>
  <si>
    <t xml:space="preserve">30–40% (UW) / 25–35% (pricing) seller capacity freed at 65% capture</t>
  </si>
  <si>
    <t xml:space="preserve">Total One-Time Implementation Cost</t>
  </si>
  <si>
    <t xml:space="preserve">Return on Investment</t>
  </si>
  <si>
    <t xml:space="preserve">NRB/OTC</t>
  </si>
  <si>
    <t xml:space="preserve">Internal Rate of Return</t>
  </si>
  <si>
    <t xml:space="preserve">5-yr IRR</t>
  </si>
  <si>
    <t xml:space="preserve">Breakeven timeline</t>
  </si>
  <si>
    <t xml:space="preserve">SALES-2 — SMB Long Tail — Partner  |  INITIATIVE MODEL</t>
  </si>
  <si>
    <t xml:space="preserve">Workstream: Sales (ELT sponsor: Susan | WSL: Selwyn)   •   Model status: Structure ready; partner/SDR baselines to populate — see open items</t>
  </si>
  <si>
    <t xml:space="preserve">SMB long-tail growth through partner-channel scaling and autonomous SDR outreach</t>
  </si>
  <si>
    <t xml:space="preserve">  – Partner-channel revenue % received 8/24 — populate the $ base. Attach-rate quartile distribution and partner SME interview still pending (requests #5–#6).</t>
  </si>
  <si>
    <t xml:space="preserve">  – Incrementality / cannibalization logic must be defined with Finance before S2 sign-off.</t>
  </si>
  <si>
    <t xml:space="preserve">  – SDR conversion &amp; cycle-time baselines pending; seller time on lead mgmt pending.</t>
  </si>
  <si>
    <t xml:space="preserve">  – Cross-functional dependency: partner/channel org + PRM platform; watch overlap with broader SMB front-book growth (workplan flag).</t>
  </si>
  <si>
    <t xml:space="preserve">  – Seller time saved on lead mgmt is flagged as an ENABLER in source materials — confirm bankability before counting it in the S2 number.</t>
  </si>
  <si>
    <t xml:space="preserve">Partner/referral-channel revenue (annual NSR)</t>
  </si>
  <si>
    <t xml:space="preserve">% revenue via partner received 8/24 — populate $ base</t>
  </si>
  <si>
    <t xml:space="preserve">Transaction margin (TM % of NSR) — SMB blended</t>
  </si>
  <si>
    <t xml:space="preserve">From TM% dataset received 8/20</t>
  </si>
  <si>
    <t xml:space="preserve">SDR-influenced revenue base (annual NSR)</t>
  </si>
  <si>
    <t xml:space="preserve">PENDING — placeholder, not data. SDR conversion &amp; funnel data — pending</t>
  </si>
  <si>
    <t xml:space="preserve"># SMB sellers on lead management</t>
  </si>
  <si>
    <t xml:space="preserve">PENDING — placeholder, not data. </t>
  </si>
  <si>
    <t xml:space="preserve">Avg fully loaded cost per SMB seller</t>
  </si>
  <si>
    <t xml:space="preserve">From FLC by region (received 8/21)</t>
  </si>
  <si>
    <t xml:space="preserve">% of seller time on lead mgmt &amp; related</t>
  </si>
  <si>
    <t xml:space="preserve">Impact drivers  (Aug 13 deck pp. 6, 14–15 — preliminary ranges, midpoints seeded)</t>
  </si>
  <si>
    <t xml:space="preserve">Partner-channel share uplift</t>
  </si>
  <si>
    <t xml:space="preserve">Source: ~100% partner-channel share uplift</t>
  </si>
  <si>
    <t xml:space="preserve">Incrementality factor (net of cannibalization)</t>
  </si>
  <si>
    <t xml:space="preserve">PENDING — placeholder, not data. Define with Finance — cannibalization treatment required for approval package</t>
  </si>
  <si>
    <t xml:space="preserve">SDR autonomous-outreach conversion uplift</t>
  </si>
  <si>
    <t xml:space="preserve">Source: ~15%</t>
  </si>
  <si>
    <t xml:space="preserve">Capture rate — SDR uplift</t>
  </si>
  <si>
    <t xml:space="preserve">Source: 72%</t>
  </si>
  <si>
    <t xml:space="preserve">Cycle-time pull-forward</t>
  </si>
  <si>
    <t xml:space="preserve">days</t>
  </si>
  <si>
    <t xml:space="preserve">Source: ~12 days revenue acceleration — treat as timing unless Finance agrees incremental; fold agreed value into the SDR line</t>
  </si>
  <si>
    <t xml:space="preserve">Seller time saved on lead management</t>
  </si>
  <si>
    <t xml:space="preserve">Source: 35–40% — midpoint. ENABLER — confirm bankability</t>
  </si>
  <si>
    <t xml:space="preserve">Capture rate — seller time saved</t>
  </si>
  <si>
    <t xml:space="preserve">Assumed consistent with U&amp;P seller capture — confirm</t>
  </si>
  <si>
    <t xml:space="preserve">Partner-channel share uplift benefit (margin)</t>
  </si>
  <si>
    <t xml:space="preserve">Partner margin base x share uplift x incrementality (net of cannibalization)</t>
  </si>
  <si>
    <t xml:space="preserve">SDR agent uplift benefit (margin)</t>
  </si>
  <si>
    <t xml:space="preserve">SDR-influenced margin base x conversion uplift x capture; add agreed pull-forward value here</t>
  </si>
  <si>
    <t xml:space="preserve">Seller time saved — lead management (enabler)</t>
  </si>
  <si>
    <t xml:space="preserve">Sellers x FLC x % time on leads x time saved x capture — ENABLER, confirm bankability</t>
  </si>
  <si>
    <t xml:space="preserve">Revenue - Partner-channel share uplift   [REV]</t>
  </si>
  <si>
    <t xml:space="preserve">Revenue - SDR agent uplift (conversion + acceleration)   [REV]</t>
  </si>
  <si>
    <t xml:space="preserve">OPEX - Seller time saved on lead management (enabler)   [OPEX]</t>
  </si>
  <si>
    <t xml:space="preserve">PLACEHOLDER — standard AAO pod shape; refine after tech workshop and PRM build/buy decision.</t>
  </si>
  <si>
    <t xml:space="preserve">PLACEHOLDER — one 8-FTE pod; PRM/orchestration vendor build in non-labor lines.</t>
  </si>
  <si>
    <t xml:space="preserve">PLACEHOLDER — scale-up team of 5 through partner rollout; partner enablement in non-labor below.</t>
  </si>
  <si>
    <t xml:space="preserve">PRM / orchestration build (vendor)</t>
  </si>
  <si>
    <t xml:space="preserve">PENDING — placeholder, not data. Vendor RFP W8</t>
  </si>
  <si>
    <t xml:space="preserve">Partner enablement &amp; change management</t>
  </si>
  <si>
    <t xml:space="preserve">8% x (milestone labor + vendor + enablement) — Servicing S2 standard</t>
  </si>
  <si>
    <t xml:space="preserve">OPEX - Token cost for SDR agents</t>
  </si>
  <si>
    <t xml:space="preserve">PENDING — placeholder, not data. SDR agent token consumption — scales with ramp</t>
  </si>
  <si>
    <t xml:space="preserve">OPEX - PRM / orchestration platform run</t>
  </si>
  <si>
    <t xml:space="preserve">PENDING — placeholder, not data. Recurring platform opex</t>
  </si>
  <si>
    <t xml:space="preserve">OPEX - Token cost for SDR agents   [RUN]</t>
  </si>
  <si>
    <t xml:space="preserve">OPEX - PRM / orchestration platform run   [RUN]</t>
  </si>
  <si>
    <t xml:space="preserve">Model row 62 — Revenue - Partner-channel share uplift</t>
  </si>
  <si>
    <t xml:space="preserve">Model row 63 — Revenue - SDR agent uplift (conversion + acceleration)</t>
  </si>
  <si>
    <t xml:space="preserve">Model row 64 — OPEX - Seller time saved on lead management (enabler)</t>
  </si>
  <si>
    <t xml:space="preserve">Model row 113 — OPEX - Token cost for SDR agents</t>
  </si>
  <si>
    <t xml:space="preserve">Model row 114 — OPEX - PRM / orchestration platform run</t>
  </si>
  <si>
    <t xml:space="preserve">Model row 115 — OPEX - Support &amp; maintenance</t>
  </si>
  <si>
    <t xml:space="preserve">Model row 99 — CAPEX — capitalized build labor</t>
  </si>
  <si>
    <t xml:space="preserve">Model row 100 — CAPEX — capitalized non-labor</t>
  </si>
  <si>
    <t xml:space="preserve">Model row 101 — OTC — build labor (expensed)</t>
  </si>
  <si>
    <t xml:space="preserve">Model row 102 — OTC — non-labor (expensed)</t>
  </si>
  <si>
    <t xml:space="preserve">Partner/referral-channel NSR</t>
  </si>
  <si>
    <t xml:space="preserve">SDR-influenced NSR base</t>
  </si>
  <si>
    <t xml:space="preserve">TM % of NSR (SMB blended)</t>
  </si>
  <si>
    <t xml:space="preserve">Partner share uplift x incrementality</t>
  </si>
  <si>
    <t xml:space="preserve">SDR conversion uplift x capture</t>
  </si>
  <si>
    <t xml:space="preserve">Revenue - Partner-channel share uplift</t>
  </si>
  <si>
    <t xml:space="preserve">~100% share uplift x incrementality (net of cannibalization — Finance to agree)</t>
  </si>
  <si>
    <t xml:space="preserve">Revenue - SDR agent uplift (conversion + acceleration)</t>
  </si>
  <si>
    <t xml:space="preserve">~15% conversion uplift at 72% capture; ~12-day pull-forward folded in once agreed</t>
  </si>
  <si>
    <t xml:space="preserve">OPEX - Seller time saved on lead management (enabler)</t>
  </si>
  <si>
    <t xml:space="preserve">35–40% time saved at 65% capture — enabler; confirm bankability</t>
  </si>
  <si>
    <t xml:space="preserve"># CW headcount</t>
  </si>
  <si>
    <t xml:space="preserve"># CW</t>
  </si>
  <si>
    <t xml:space="preserve">Average hourly cost for CW</t>
  </si>
  <si>
    <t xml:space="preserve">$USD / # hr</t>
  </si>
  <si>
    <t xml:space="preserve">Average utliization hours for CW - annual</t>
  </si>
  <si>
    <t xml:space="preserve"># hr</t>
  </si>
  <si>
    <t xml:space="preserve">Total CW spend</t>
  </si>
  <si>
    <t xml:space="preserve"># FTE headcount - lower cost location</t>
  </si>
  <si>
    <t xml:space="preserve"># FTE's</t>
  </si>
  <si>
    <t xml:space="preserve">Average fully loaded annual cost per FTE - lower cost location</t>
  </si>
  <si>
    <t xml:space="preserve">$ / FTE</t>
  </si>
  <si>
    <t xml:space="preserve">Total personnel spend for BU</t>
  </si>
  <si>
    <t xml:space="preserve">$USD</t>
  </si>
  <si>
    <t xml:space="preserve">Total personnel spend for X business unit</t>
  </si>
</sst>
</file>

<file path=xl/styles.xml><?xml version="1.0" encoding="utf-8"?>
<styleSheet xmlns="http://schemas.openxmlformats.org/spreadsheetml/2006/main">
  <numFmts count="33">
    <numFmt numFmtId="164" formatCode="General"/>
    <numFmt numFmtId="165" formatCode="_(* #,##0.00_);_(* \(#,##0.00\);_(* \-??_);_(@_)"/>
    <numFmt numFmtId="166" formatCode="0%"/>
    <numFmt numFmtId="167" formatCode="General"/>
    <numFmt numFmtId="168" formatCode="0"/>
    <numFmt numFmtId="169" formatCode="#,##0.0;\-#,##0.0;\-;@"/>
    <numFmt numFmtId="170" formatCode="m/d/yyyy"/>
    <numFmt numFmtId="171" formatCode="#,##0.000;\-#,##0.000;\-;@"/>
    <numFmt numFmtId="172" formatCode="#,##0;\-#,##0;\-;@"/>
    <numFmt numFmtId="173" formatCode="#,##0.00;\-#,##0.00;\-;@"/>
    <numFmt numFmtId="174" formatCode="_(* #,##0.000_);_(* \(#,##0.000\);_(* \-??_);_(@_)"/>
    <numFmt numFmtId="175" formatCode="_(* #,##0.000_);_(* \(#,##0.000\);_(* \-???_);_(@_)"/>
    <numFmt numFmtId="176" formatCode="_(* #,##0_);_(* \(#,##0\);_(* \-??_);_(@_)"/>
    <numFmt numFmtId="177" formatCode="0.000"/>
    <numFmt numFmtId="178" formatCode="mmm\-yy"/>
    <numFmt numFmtId="179" formatCode="#,##0.000;\(#,##0.000\);\-;@"/>
    <numFmt numFmtId="180" formatCode="_(\$* #,##0.0_);_(\$* \(#,##0.0\);_(\$* \-??_);_(@_)"/>
    <numFmt numFmtId="181" formatCode="#,##0;\(#,##0\);\-;@"/>
    <numFmt numFmtId="182" formatCode="#,##0_);\(#,##0\)"/>
    <numFmt numFmtId="183" formatCode="_(\$* #,##0.00_);_(\$* \(#,##0.00\);_(\$* \-??_);_(@_)"/>
    <numFmt numFmtId="184" formatCode="0.0"/>
    <numFmt numFmtId="185" formatCode="_(\$* #,##0_);_(\$* \(#,##0\);_(\$* \-??_);_(@_)"/>
    <numFmt numFmtId="186" formatCode="#,##0.0;\(#,##0.0\);\-;@"/>
    <numFmt numFmtId="187" formatCode="0.0%"/>
    <numFmt numFmtId="188" formatCode="#,##0;\(#,##0\);\-"/>
    <numFmt numFmtId="189" formatCode="\$#,##0;&quot;($&quot;#,##0\);\-"/>
    <numFmt numFmtId="190" formatCode="\$#,##0.00;&quot;($&quot;#,##0.00\);\-"/>
    <numFmt numFmtId="191" formatCode="0%;\(0%\);\-"/>
    <numFmt numFmtId="192" formatCode="#,##0.000;\(#,##0.000\);\-;@"/>
    <numFmt numFmtId="193" formatCode="#,##0.0;\(#,##0.0\);\-"/>
    <numFmt numFmtId="194" formatCode="0.0%;\(0.0%\);\-"/>
    <numFmt numFmtId="195" formatCode="#,##0.0_);\(#,##0.0\);\-"/>
    <numFmt numFmtId="196" formatCode="#,##0_);\(#,##0\);\-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3"/>
      <color theme="1"/>
      <name val="Calibri"/>
      <family val="2"/>
      <charset val="1"/>
    </font>
    <font>
      <sz val="13"/>
      <color theme="0"/>
      <name val="Calibri"/>
      <family val="2"/>
      <charset val="1"/>
    </font>
    <font>
      <i val="true"/>
      <sz val="13"/>
      <color theme="0" tint="-0.05"/>
      <name val="Calibri"/>
      <family val="2"/>
      <charset val="1"/>
    </font>
    <font>
      <b val="true"/>
      <u val="single"/>
      <sz val="24"/>
      <color theme="3"/>
      <name val="Calibri"/>
      <family val="2"/>
      <charset val="1"/>
    </font>
    <font>
      <b val="true"/>
      <sz val="13"/>
      <color theme="0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3"/>
      <color rgb="FF0000FF"/>
      <name val="Calibri"/>
      <family val="2"/>
      <charset val="1"/>
    </font>
    <font>
      <sz val="13"/>
      <color theme="2" tint="-0.9"/>
      <name val="Calibri"/>
      <family val="2"/>
      <charset val="1"/>
    </font>
    <font>
      <i val="true"/>
      <sz val="13"/>
      <color theme="1"/>
      <name val="Calibri"/>
      <family val="2"/>
      <charset val="1"/>
    </font>
    <font>
      <b val="true"/>
      <sz val="13"/>
      <color theme="3"/>
      <name val="Calibri"/>
      <family val="2"/>
      <charset val="1"/>
    </font>
    <font>
      <b val="true"/>
      <u val="single"/>
      <sz val="13"/>
      <color theme="1"/>
      <name val="Calibri"/>
      <family val="2"/>
      <charset val="1"/>
    </font>
    <font>
      <b val="true"/>
      <sz val="13"/>
      <color rgb="FF0000FF"/>
      <name val="Calibri"/>
      <family val="2"/>
      <charset val="1"/>
    </font>
    <font>
      <sz val="13"/>
      <name val="Calibri"/>
      <family val="2"/>
      <charset val="1"/>
    </font>
    <font>
      <b val="true"/>
      <sz val="13"/>
      <name val="Calibri"/>
      <family val="2"/>
      <charset val="1"/>
    </font>
    <font>
      <b val="true"/>
      <i val="true"/>
      <sz val="13"/>
      <color theme="0" tint="-0.35"/>
      <name val="Calibri"/>
      <family val="2"/>
      <charset val="1"/>
    </font>
    <font>
      <i val="true"/>
      <sz val="13"/>
      <color theme="0" tint="-0.5"/>
      <name val="Calibri"/>
      <family val="2"/>
      <charset val="1"/>
    </font>
    <font>
      <b val="true"/>
      <sz val="13"/>
      <color theme="0" tint="-0.25"/>
      <name val="Calibri"/>
      <family val="2"/>
      <charset val="1"/>
    </font>
    <font>
      <sz val="13"/>
      <color theme="0" tint="-0.25"/>
      <name val="Calibri"/>
      <family val="2"/>
      <charset val="1"/>
    </font>
    <font>
      <sz val="13"/>
      <color theme="0" tint="-0.5"/>
      <name val="Calibri"/>
      <family val="2"/>
      <charset val="1"/>
    </font>
    <font>
      <b val="true"/>
      <i val="true"/>
      <sz val="13"/>
      <color theme="1"/>
      <name val="Calibri"/>
      <family val="2"/>
      <charset val="1"/>
    </font>
    <font>
      <sz val="13"/>
      <color theme="3"/>
      <name val="Calibri"/>
      <family val="2"/>
      <charset val="1"/>
    </font>
    <font>
      <b val="true"/>
      <sz val="13"/>
      <color theme="2" tint="-0.9"/>
      <name val="Calibri"/>
      <family val="2"/>
      <charset val="1"/>
    </font>
    <font>
      <i val="true"/>
      <sz val="13"/>
      <color theme="0" tint="-0.35"/>
      <name val="Calibri"/>
      <family val="2"/>
      <charset val="1"/>
    </font>
    <font>
      <sz val="13"/>
      <color rgb="FFFF0000"/>
      <name val="Calibri"/>
      <family val="2"/>
      <charset val="1"/>
    </font>
    <font>
      <sz val="10"/>
      <name val="Arial"/>
      <family val="2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i val="true"/>
      <sz val="10"/>
      <color rgb="FF1F3864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1F3864"/>
      <name val="Calibri"/>
      <family val="0"/>
      <charset val="1"/>
    </font>
    <font>
      <sz val="13"/>
      <color rgb="FF008000"/>
      <name val="Calibri"/>
      <family val="2"/>
      <charset val="1"/>
    </font>
    <font>
      <b val="true"/>
      <sz val="13"/>
      <color rgb="FF008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FFCC"/>
        <bgColor rgb="FFFFFFFF"/>
      </patternFill>
    </fill>
    <fill>
      <patternFill patternType="solid">
        <fgColor theme="3"/>
        <bgColor rgb="FF595959"/>
      </patternFill>
    </fill>
    <fill>
      <patternFill patternType="solid">
        <fgColor theme="0" tint="-0.05"/>
        <bgColor rgb="FFE7E6E6"/>
      </patternFill>
    </fill>
    <fill>
      <patternFill patternType="solid">
        <fgColor theme="0" tint="-0.15"/>
        <bgColor rgb="FFE7E6E6"/>
      </patternFill>
    </fill>
    <fill>
      <patternFill patternType="solid">
        <fgColor theme="2"/>
        <bgColor rgb="FFE2EFDA"/>
      </patternFill>
    </fill>
    <fill>
      <patternFill patternType="solid">
        <fgColor rgb="FFE2EFDA"/>
        <bgColor rgb="FFE7E6E6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dotted">
        <color theme="0" tint="-0.5"/>
      </left>
      <right/>
      <top style="dotted">
        <color theme="0" tint="-0.5"/>
      </top>
      <bottom style="dotted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theme="0" tint="-0.5"/>
      </left>
      <right style="dotted">
        <color theme="0" tint="-0.5"/>
      </right>
      <top style="dotted">
        <color theme="0" tint="-0.5"/>
      </top>
      <bottom/>
      <diagonal/>
    </border>
    <border diagonalUp="false" diagonalDown="false">
      <left style="thick">
        <color theme="0"/>
      </left>
      <right style="thin">
        <color theme="0"/>
      </right>
      <top/>
      <bottom style="thin"/>
      <diagonal/>
    </border>
    <border diagonalUp="false" diagonalDown="false">
      <left style="thin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 style="thin"/>
      <diagonal/>
    </border>
    <border diagonalUp="false" diagonalDown="false">
      <left style="thick">
        <color theme="0"/>
      </left>
      <right/>
      <top/>
      <bottom/>
      <diagonal/>
    </border>
    <border diagonalUp="false" diagonalDown="false">
      <left style="thick">
        <color theme="0"/>
      </left>
      <right style="dotted">
        <color theme="0" tint="-0.5"/>
      </right>
      <top style="dotted">
        <color theme="0" tint="-0.5"/>
      </top>
      <bottom style="dotted">
        <color theme="0" tint="-0.5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0" tint="-0.5"/>
      </left>
      <right/>
      <top style="thin">
        <color theme="0" tint="-0.5"/>
      </top>
      <bottom/>
      <diagonal/>
    </border>
    <border diagonalUp="false" diagonalDown="false">
      <left/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dotted">
        <color theme="0" tint="-0.5"/>
      </left>
      <right style="dotted">
        <color theme="0" tint="-0.5"/>
      </right>
      <top style="thin"/>
      <bottom style="dotted">
        <color theme="0" tint="-0.5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0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9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4" fontId="19" fillId="4" borderId="8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9" fillId="4" borderId="15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8" fillId="0" borderId="14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9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4" fillId="8" borderId="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8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9" fillId="4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9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1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2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2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9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3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7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8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7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8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57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7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7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18" fillId="6" borderId="9" xfId="1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2" fillId="8" borderId="9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22" fillId="8" borderId="2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5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</cellStyles>
  <dxfs count="6">
    <dxf>
      <font>
        <color rgb="FF0000FF"/>
      </font>
      <fill>
        <patternFill>
          <bgColor rgb="FFFFFFCC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</dxf>
    <dxf>
      <font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2F2F2"/>
      <rgbColor rgb="FFE7E6E6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595959"/>
      <rgbColor rgb="FFA6A6A6"/>
      <rgbColor rgb="FF1F3864"/>
      <rgbColor rgb="FF70AD47"/>
      <rgbColor rgb="FF181717"/>
      <rgbColor rgb="FF0061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N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00"/>
    <col collapsed="false" customWidth="true" hidden="false" outlineLevel="0" max="4" min="4" style="0" width="30"/>
  </cols>
  <sheetData>
    <row r="2" customFormat="false" ht="30" hidden="false" customHeight="true" outlineLevel="0" collapsed="false">
      <c r="B2" s="1" t="s">
        <v>0</v>
      </c>
      <c r="C2" s="2"/>
      <c r="D2" s="2"/>
    </row>
    <row r="4" customFormat="false" ht="28.35" hidden="false" customHeight="false" outlineLevel="0" collapsed="false">
      <c r="B4" s="3" t="s">
        <v>1</v>
      </c>
      <c r="C4" s="4" t="s">
        <v>2</v>
      </c>
    </row>
    <row r="5" customFormat="false" ht="28.35" hidden="false" customHeight="false" outlineLevel="0" collapsed="false">
      <c r="B5" s="3" t="s">
        <v>3</v>
      </c>
      <c r="C5" s="4" t="s">
        <v>4</v>
      </c>
    </row>
    <row r="6" customFormat="false" ht="28.35" hidden="false" customHeight="false" outlineLevel="0" collapsed="false">
      <c r="B6" s="3" t="s">
        <v>5</v>
      </c>
      <c r="C6" s="4" t="s">
        <v>6</v>
      </c>
    </row>
    <row r="7" customFormat="false" ht="28.35" hidden="false" customHeight="false" outlineLevel="0" collapsed="false">
      <c r="B7" s="3" t="s">
        <v>7</v>
      </c>
      <c r="C7" s="4" t="s">
        <v>8</v>
      </c>
    </row>
    <row r="8" customFormat="false" ht="28.35" hidden="false" customHeight="false" outlineLevel="0" collapsed="false">
      <c r="B8" s="3" t="s">
        <v>9</v>
      </c>
      <c r="C8" s="4" t="s">
        <v>10</v>
      </c>
    </row>
    <row r="10" customFormat="false" ht="18" hidden="false" customHeight="true" outlineLevel="0" collapsed="false">
      <c r="B10" s="5" t="s">
        <v>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2" customFormat="false" ht="15" hidden="false" customHeight="false" outlineLevel="0" collapsed="false">
      <c r="B12" s="7" t="s">
        <v>12</v>
      </c>
      <c r="C12" s="8" t="s">
        <v>13</v>
      </c>
    </row>
    <row r="13" customFormat="false" ht="15" hidden="false" customHeight="false" outlineLevel="0" collapsed="false">
      <c r="B13" s="7" t="s">
        <v>14</v>
      </c>
      <c r="C13" s="8" t="s">
        <v>15</v>
      </c>
    </row>
    <row r="14" customFormat="false" ht="15" hidden="false" customHeight="false" outlineLevel="0" collapsed="false">
      <c r="B14" s="7" t="s">
        <v>16</v>
      </c>
      <c r="C14" s="8" t="s">
        <v>17</v>
      </c>
    </row>
    <row r="15" customFormat="false" ht="15" hidden="false" customHeight="false" outlineLevel="0" collapsed="false">
      <c r="B15" s="7" t="s">
        <v>18</v>
      </c>
      <c r="C15" s="8" t="s">
        <v>19</v>
      </c>
    </row>
    <row r="16" customFormat="false" ht="15" hidden="false" customHeight="false" outlineLevel="0" collapsed="false">
      <c r="B16" s="7" t="s">
        <v>20</v>
      </c>
      <c r="C16" s="8" t="s">
        <v>21</v>
      </c>
    </row>
    <row r="17" customFormat="false" ht="15" hidden="false" customHeight="false" outlineLevel="0" collapsed="false">
      <c r="B17" s="7" t="s">
        <v>22</v>
      </c>
      <c r="C17" s="8" t="s">
        <v>23</v>
      </c>
    </row>
    <row r="18" customFormat="false" ht="15" hidden="false" customHeight="false" outlineLevel="0" collapsed="false">
      <c r="B18" s="7" t="s">
        <v>24</v>
      </c>
      <c r="C18" s="8" t="s">
        <v>25</v>
      </c>
    </row>
    <row r="20" customFormat="false" ht="18" hidden="false" customHeight="true" outlineLevel="0" collapsed="false">
      <c r="B20" s="5" t="s">
        <v>26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2" customFormat="false" ht="15" hidden="false" customHeight="false" outlineLevel="0" collapsed="false">
      <c r="B22" s="9" t="s">
        <v>27</v>
      </c>
    </row>
    <row r="23" customFormat="false" ht="15" hidden="false" customHeight="false" outlineLevel="0" collapsed="false">
      <c r="B23" s="10" t="s">
        <v>28</v>
      </c>
    </row>
    <row r="24" customFormat="false" ht="15" hidden="false" customHeight="false" outlineLevel="0" collapsed="false">
      <c r="B24" s="11" t="s">
        <v>29</v>
      </c>
    </row>
    <row r="25" customFormat="false" ht="15" hidden="false" customHeight="false" outlineLevel="0" collapsed="false">
      <c r="B25" s="12" t="s">
        <v>30</v>
      </c>
    </row>
    <row r="27" customFormat="false" ht="18" hidden="false" customHeight="true" outlineLevel="0" collapsed="false">
      <c r="B27" s="5" t="s">
        <v>31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9" customFormat="false" ht="25.5" hidden="false" customHeight="true" outlineLevel="0" collapsed="false">
      <c r="B29" s="8" t="s">
        <v>32</v>
      </c>
    </row>
    <row r="30" customFormat="false" ht="25.5" hidden="false" customHeight="true" outlineLevel="0" collapsed="false">
      <c r="B30" s="8" t="s">
        <v>33</v>
      </c>
    </row>
    <row r="31" customFormat="false" ht="25.5" hidden="false" customHeight="true" outlineLevel="0" collapsed="false">
      <c r="B31" s="8" t="s">
        <v>34</v>
      </c>
    </row>
    <row r="32" customFormat="false" ht="25.5" hidden="false" customHeight="true" outlineLevel="0" collapsed="false">
      <c r="B32" s="8" t="s">
        <v>35</v>
      </c>
    </row>
    <row r="33" customFormat="false" ht="25.5" hidden="false" customHeight="true" outlineLevel="0" collapsed="false">
      <c r="B33" s="8" t="s">
        <v>36</v>
      </c>
    </row>
    <row r="35" customFormat="false" ht="18" hidden="false" customHeight="true" outlineLevel="0" collapsed="false">
      <c r="B35" s="5" t="s">
        <v>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7" customFormat="false" ht="25.5" hidden="false" customHeight="true" outlineLevel="0" collapsed="false">
      <c r="B37" s="8" t="s">
        <v>38</v>
      </c>
    </row>
    <row r="38" customFormat="false" ht="25.5" hidden="false" customHeight="true" outlineLevel="0" collapsed="false">
      <c r="B38" s="8" t="s">
        <v>39</v>
      </c>
    </row>
    <row r="39" customFormat="false" ht="25.5" hidden="false" customHeight="true" outlineLevel="0" collapsed="false">
      <c r="B39" s="8" t="s">
        <v>40</v>
      </c>
    </row>
    <row r="40" customFormat="false" ht="25.5" hidden="false" customHeight="true" outlineLevel="0" collapsed="false">
      <c r="B40" s="8" t="s">
        <v>41</v>
      </c>
    </row>
    <row r="41" customFormat="false" ht="25.5" hidden="false" customHeight="true" outlineLevel="0" collapsed="false">
      <c r="B41" s="8" t="s">
        <v>42</v>
      </c>
    </row>
    <row r="42" customFormat="false" ht="25.5" hidden="false" customHeight="true" outlineLevel="0" collapsed="false">
      <c r="B42" s="8" t="s">
        <v>43</v>
      </c>
    </row>
    <row r="43" customFormat="false" ht="25.5" hidden="false" customHeight="true" outlineLevel="0" collapsed="false">
      <c r="B43" s="8" t="s">
        <v>44</v>
      </c>
    </row>
    <row r="45" customFormat="false" ht="18" hidden="false" customHeight="true" outlineLevel="0" collapsed="false">
      <c r="B45" s="5" t="s">
        <v>45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7" customFormat="false" ht="25.5" hidden="false" customHeight="true" outlineLevel="0" collapsed="false">
      <c r="B47" s="8" t="s">
        <v>46</v>
      </c>
    </row>
    <row r="48" customFormat="false" ht="25.5" hidden="false" customHeight="true" outlineLevel="0" collapsed="false">
      <c r="B48" s="8" t="s">
        <v>47</v>
      </c>
    </row>
    <row r="49" customFormat="false" ht="25.5" hidden="false" customHeight="true" outlineLevel="0" collapsed="false">
      <c r="B49" s="8" t="s">
        <v>48</v>
      </c>
    </row>
    <row r="50" customFormat="false" ht="25.5" hidden="false" customHeight="true" outlineLevel="0" collapsed="false">
      <c r="B50" s="8" t="s">
        <v>49</v>
      </c>
    </row>
    <row r="51" customFormat="false" ht="25.5" hidden="false" customHeight="true" outlineLevel="0" collapsed="false">
      <c r="B51" s="8" t="s">
        <v>50</v>
      </c>
    </row>
    <row r="52" customFormat="false" ht="25.5" hidden="false" customHeight="true" outlineLevel="0" collapsed="false">
      <c r="B52" s="8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211"/>
  <sheetViews>
    <sheetView showFormulas="false" showGridLines="fals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B2" activeCellId="0" sqref="B2"/>
    </sheetView>
  </sheetViews>
  <sheetFormatPr defaultColWidth="8.5390625" defaultRowHeight="14.25" zeroHeight="false" outlineLevelRow="2" outlineLevelCol="1"/>
  <cols>
    <col collapsed="false" customWidth="true" hidden="false" outlineLevel="0" max="4" min="1" style="0" width="2.81"/>
    <col collapsed="false" customWidth="true" hidden="false" outlineLevel="0" max="5" min="5" style="0" width="39.54"/>
    <col collapsed="false" customWidth="true" hidden="false" outlineLevel="0" max="6" min="6" style="0" width="16.54"/>
    <col collapsed="false" customWidth="true" hidden="false" outlineLevel="1" max="7" min="7" style="0" width="12.45"/>
    <col collapsed="false" customWidth="true" hidden="false" outlineLevel="1" max="8" min="8" style="0" width="18"/>
    <col collapsed="false" customWidth="true" hidden="false" outlineLevel="0" max="9" min="9" style="0" width="18.54"/>
    <col collapsed="false" customWidth="true" hidden="false" outlineLevel="0" max="16" min="10" style="0" width="16.54"/>
    <col collapsed="false" customWidth="true" hidden="false" outlineLevel="0" max="18" min="17" style="13" width="16.45"/>
    <col collapsed="false" customWidth="true" hidden="false" outlineLevel="0" max="19" min="19" style="0" width="2.81"/>
    <col collapsed="false" customWidth="true" hidden="false" outlineLevel="0" max="79" min="20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fals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COUNTIFS($R$78:$R$128,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COUNTIFS(CI$78:CI$159, "FALSE")</f>
        <v>0</v>
      </c>
      <c r="CJ1" s="17" t="n">
        <f aca="false">COUNTIFS(CJ$78:CJ$159, "FALSE")</f>
        <v>4</v>
      </c>
      <c r="CK1" s="17" t="n">
        <f aca="false">COUNTIFS(CK$78:CK$159, "FALSE")</f>
        <v>4</v>
      </c>
      <c r="CL1" s="17" t="n">
        <f aca="false">COUNTIFS(CL$78:CL$159, "FALSE")</f>
        <v>0</v>
      </c>
      <c r="CM1" s="17" t="n">
        <f aca="false">COUNTIFS(CM$78:CM$159, "FALSE")</f>
        <v>0</v>
      </c>
    </row>
    <row r="2" s="14" customFormat="true" ht="16.5" hidden="false" customHeight="true" outlineLevel="1" collapsed="false">
      <c r="L2" s="15"/>
      <c r="M2" s="15"/>
      <c r="N2" s="15"/>
      <c r="O2" s="15"/>
      <c r="P2" s="15"/>
      <c r="Q2" s="16"/>
      <c r="R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I2" s="17"/>
      <c r="CJ2" s="17"/>
      <c r="CK2" s="17"/>
      <c r="CL2" s="17"/>
      <c r="CM2" s="17"/>
    </row>
    <row r="3" s="14" customFormat="true" ht="16.5" hidden="false" customHeight="true" outlineLevel="1" collapsed="false">
      <c r="L3" s="15"/>
      <c r="M3" s="15"/>
      <c r="N3" s="15"/>
      <c r="O3" s="15"/>
      <c r="P3" s="15"/>
      <c r="Q3" s="16"/>
      <c r="R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I3" s="17"/>
      <c r="CJ3" s="17"/>
      <c r="CK3" s="17"/>
      <c r="CL3" s="17"/>
      <c r="CM3" s="17"/>
    </row>
    <row r="4" s="14" customFormat="true" ht="16.5" hidden="false" customHeight="true" outlineLevel="1" collapsed="false">
      <c r="L4" s="15"/>
      <c r="M4" s="15"/>
      <c r="N4" s="15"/>
      <c r="O4" s="15"/>
      <c r="P4" s="15"/>
      <c r="Q4" s="16"/>
      <c r="R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I4" s="17"/>
      <c r="CJ4" s="17"/>
      <c r="CK4" s="17"/>
      <c r="CL4" s="17"/>
      <c r="CM4" s="17"/>
    </row>
    <row r="5" s="14" customFormat="true" ht="16.5" hidden="false" customHeight="true" outlineLevel="1" collapsed="false">
      <c r="L5" s="15"/>
      <c r="M5" s="15"/>
      <c r="N5" s="15"/>
      <c r="O5" s="15"/>
      <c r="P5" s="15"/>
      <c r="Q5" s="16"/>
      <c r="R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I5" s="17"/>
      <c r="CJ5" s="17"/>
      <c r="CK5" s="17"/>
      <c r="CL5" s="17"/>
      <c r="CM5" s="17"/>
    </row>
    <row r="6" s="14" customFormat="true" ht="16.5" hidden="false" customHeight="true" outlineLevel="1" collapsed="false">
      <c r="L6" s="15"/>
      <c r="M6" s="15"/>
      <c r="N6" s="15"/>
      <c r="O6" s="15"/>
      <c r="P6" s="15"/>
      <c r="Q6" s="16"/>
      <c r="R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I6" s="17"/>
      <c r="CJ6" s="17"/>
      <c r="CK6" s="17"/>
      <c r="CL6" s="17"/>
      <c r="CM6" s="17"/>
    </row>
    <row r="7" s="14" customFormat="true" ht="16.5" hidden="false" customHeight="true" outlineLevel="0" collapsed="false">
      <c r="Q7" s="16"/>
      <c r="R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 s="14" customFormat="true" ht="16.5" hidden="false" customHeight="true" outlineLevel="0" collapsed="false">
      <c r="Q8" s="16"/>
      <c r="R8" s="16"/>
    </row>
    <row r="9" s="14" customFormat="true" ht="30.75" hidden="false" customHeight="true" outlineLevel="0" collapsed="false">
      <c r="C9" s="18" t="str">
        <f aca="false">"#"&amp;$F$13&amp;" Initiative Business Case"</f>
        <v>#123456 Initiative Business Case</v>
      </c>
      <c r="Q9" s="16"/>
      <c r="R9" s="16"/>
    </row>
    <row r="10" s="14" customFormat="true" ht="16.5" hidden="false" customHeight="true" outlineLevel="0" collapsed="false">
      <c r="Q10" s="16"/>
      <c r="R10" s="16"/>
    </row>
    <row r="11" s="14" customFormat="true" ht="16.5" hidden="false" customHeight="true" outlineLevel="0" collapsed="false">
      <c r="C11" s="19" t="s">
        <v>52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</row>
    <row r="12" s="14" customFormat="true" ht="16.5" hidden="false" customHeight="true" outlineLevel="0" collapsed="false">
      <c r="Q12" s="16"/>
      <c r="R12" s="16"/>
    </row>
    <row r="13" s="14" customFormat="true" ht="16.5" hidden="false" customHeight="true" outlineLevel="0" collapsed="false">
      <c r="D13" s="21" t="s">
        <v>53</v>
      </c>
      <c r="F13" s="22" t="n">
        <v>123456</v>
      </c>
      <c r="G13" s="23"/>
      <c r="Q13" s="16"/>
      <c r="R13" s="16"/>
    </row>
    <row r="14" customFormat="false" ht="16.5" hidden="false" customHeight="true" outlineLevel="0" collapsed="false">
      <c r="D14" s="21" t="s">
        <v>54</v>
      </c>
      <c r="F14" s="24" t="s">
        <v>55</v>
      </c>
      <c r="G14" s="25"/>
      <c r="I14" s="14"/>
      <c r="J14" s="14"/>
      <c r="K14" s="14"/>
    </row>
    <row r="15" s="14" customFormat="true" ht="16.5" hidden="false" customHeight="true" outlineLevel="0" collapsed="false">
      <c r="D15" s="21" t="s">
        <v>56</v>
      </c>
      <c r="F15" s="26" t="s">
        <v>57</v>
      </c>
      <c r="G15" s="26"/>
      <c r="I15" s="14" t="s">
        <v>58</v>
      </c>
      <c r="Q15" s="16"/>
      <c r="R15" s="16"/>
    </row>
    <row r="16" s="14" customFormat="true" ht="16.5" hidden="false" customHeight="true" outlineLevel="0" collapsed="false">
      <c r="D16" s="21"/>
      <c r="F16" s="26"/>
      <c r="G16" s="26"/>
      <c r="I16" s="14" t="s">
        <v>59</v>
      </c>
      <c r="N16" s="21"/>
      <c r="Q16" s="16"/>
      <c r="R16" s="16"/>
    </row>
    <row r="17" s="14" customFormat="true" ht="16.5" hidden="false" customHeight="true" outlineLevel="0" collapsed="false">
      <c r="F17" s="26"/>
      <c r="G17" s="26"/>
      <c r="Q17" s="16"/>
      <c r="R17" s="16"/>
    </row>
    <row r="18" s="14" customFormat="true" ht="16.5" hidden="false" customHeight="true" outlineLevel="0" collapsed="false">
      <c r="D18" s="21" t="s">
        <v>60</v>
      </c>
      <c r="F18" s="27" t="n">
        <v>46736</v>
      </c>
      <c r="M18" s="21"/>
      <c r="Q18" s="16"/>
      <c r="R18" s="16"/>
    </row>
    <row r="19" s="14" customFormat="true" ht="16.5" hidden="false" customHeight="true" outlineLevel="0" collapsed="false">
      <c r="D19" s="21" t="s">
        <v>61</v>
      </c>
      <c r="F19" s="28" t="n">
        <f aca="false">$K$128</f>
        <v>7.2</v>
      </c>
      <c r="M19" s="21"/>
      <c r="Q19" s="16"/>
      <c r="R19" s="16"/>
    </row>
    <row r="20" s="14" customFormat="true" ht="17.25" hidden="false" customHeight="true" outlineLevel="0" collapsed="false">
      <c r="Q20" s="16"/>
      <c r="R20" s="16"/>
    </row>
    <row r="21" s="14" customFormat="true" ht="16.5" hidden="false" customHeight="true" outlineLevel="0" collapsed="false">
      <c r="C21" s="19" t="s">
        <v>62</v>
      </c>
      <c r="D21" s="19"/>
      <c r="E21" s="19"/>
      <c r="F21" s="19"/>
      <c r="G21" s="19"/>
      <c r="H21" s="19"/>
      <c r="I21" s="19"/>
      <c r="J21" s="19"/>
      <c r="L21" s="19" t="s">
        <v>63</v>
      </c>
      <c r="M21" s="19"/>
      <c r="N21" s="19"/>
      <c r="O21" s="19"/>
      <c r="P21" s="19"/>
      <c r="Q21" s="20"/>
      <c r="R21" s="20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</row>
    <row r="22" s="14" customFormat="true" ht="17.25" hidden="false" customHeight="true" outlineLevel="0" collapsed="false">
      <c r="Q22" s="16"/>
      <c r="R22" s="16"/>
    </row>
    <row r="23" s="14" customFormat="true" ht="17.25" hidden="false" customHeight="true" outlineLevel="0" collapsed="false">
      <c r="D23" s="29" t="s">
        <v>64</v>
      </c>
      <c r="L23" s="30" t="s">
        <v>65</v>
      </c>
      <c r="M23" s="30"/>
      <c r="N23" s="30"/>
      <c r="O23" s="30"/>
      <c r="P23" s="31" t="s">
        <v>66</v>
      </c>
      <c r="Q23" s="30" t="s">
        <v>67</v>
      </c>
      <c r="R23" s="30"/>
    </row>
    <row r="24" s="14" customFormat="true" ht="17.25" hidden="false" customHeight="true" outlineLevel="0" collapsed="false">
      <c r="D24" s="32" t="s">
        <v>68</v>
      </c>
      <c r="E24" s="33"/>
      <c r="F24" s="33"/>
      <c r="G24" s="33"/>
      <c r="H24" s="32" t="s">
        <v>69</v>
      </c>
      <c r="I24" s="32" t="s">
        <v>70</v>
      </c>
      <c r="J24" s="34" t="s">
        <v>71</v>
      </c>
      <c r="L24" s="14" t="s">
        <v>72</v>
      </c>
      <c r="P24" s="16" t="str">
        <f aca="false">IF($R$1=0, "PASS", "ERROR")</f>
        <v>PASS</v>
      </c>
      <c r="Q24" s="35" t="str">
        <f aca="false">IF(P24="Error", "Check column R for errors", "")</f>
        <v/>
      </c>
      <c r="R24" s="16"/>
    </row>
    <row r="25" s="14" customFormat="true" ht="17.25" hidden="false" customHeight="true" outlineLevel="0" collapsed="false">
      <c r="D25" s="33"/>
      <c r="E25" s="33" t="s">
        <v>73</v>
      </c>
      <c r="F25" s="33"/>
      <c r="G25" s="36" t="s">
        <v>74</v>
      </c>
      <c r="H25" s="33" t="s">
        <v>75</v>
      </c>
      <c r="I25" s="37" t="s">
        <v>76</v>
      </c>
      <c r="J25" s="38" t="n">
        <v>6000</v>
      </c>
      <c r="L25" s="14" t="s">
        <v>77</v>
      </c>
      <c r="P25" s="16" t="str">
        <f aca="false">IF($CI$1=0, "PASS", "ERROR")</f>
        <v>PASS</v>
      </c>
      <c r="Q25" s="35" t="str">
        <f aca="false">IF(P25="Error", "Check column CI for errors", "")</f>
        <v/>
      </c>
      <c r="R25" s="16"/>
    </row>
    <row r="26" s="14" customFormat="true" ht="17.25" hidden="false" customHeight="true" outlineLevel="0" collapsed="false">
      <c r="D26" s="33"/>
      <c r="E26" s="33" t="s">
        <v>78</v>
      </c>
      <c r="F26" s="33"/>
      <c r="G26" s="36" t="s">
        <v>79</v>
      </c>
      <c r="H26" s="33" t="s">
        <v>80</v>
      </c>
      <c r="I26" s="37" t="s">
        <v>81</v>
      </c>
      <c r="J26" s="39" t="n">
        <v>150</v>
      </c>
      <c r="L26" s="14" t="s">
        <v>82</v>
      </c>
      <c r="P26" s="16" t="str">
        <f aca="false">IF($CJ$1=0, "PASS", "ERROR")</f>
        <v>ERROR</v>
      </c>
      <c r="Q26" s="35" t="str">
        <f aca="false">IF(P26="Error", "Check column CJ for errors", "")</f>
        <v>Check column CJ for errors</v>
      </c>
      <c r="R26" s="16"/>
    </row>
    <row r="27" s="14" customFormat="true" ht="17.25" hidden="false" customHeight="true" outlineLevel="0" collapsed="false">
      <c r="D27" s="33"/>
      <c r="E27" s="33" t="s">
        <v>83</v>
      </c>
      <c r="F27" s="33"/>
      <c r="G27" s="36" t="s">
        <v>84</v>
      </c>
      <c r="H27" s="33" t="s">
        <v>85</v>
      </c>
      <c r="I27" s="37" t="s">
        <v>86</v>
      </c>
      <c r="J27" s="39" t="n">
        <v>500</v>
      </c>
      <c r="L27" s="14" t="s">
        <v>87</v>
      </c>
      <c r="P27" s="16" t="str">
        <f aca="false">IF($CK$1=0, "PASS", "ERROR")</f>
        <v>ERROR</v>
      </c>
      <c r="Q27" s="35" t="str">
        <f aca="false">IF(P27="Error", "Check column CK for errors", "")</f>
        <v>Check column CK for errors</v>
      </c>
      <c r="R27" s="16"/>
    </row>
    <row r="28" s="14" customFormat="true" ht="17.25" hidden="false" customHeight="true" outlineLevel="0" collapsed="false">
      <c r="D28" s="33"/>
      <c r="E28" s="33" t="s">
        <v>88</v>
      </c>
      <c r="F28" s="33"/>
      <c r="G28" s="36"/>
      <c r="H28" s="33" t="s">
        <v>80</v>
      </c>
      <c r="I28" s="37" t="s">
        <v>89</v>
      </c>
      <c r="J28" s="39" t="n">
        <v>50000</v>
      </c>
      <c r="L28" s="14" t="s">
        <v>90</v>
      </c>
      <c r="P28" s="16" t="str">
        <f aca="false">IF($CL$1=0, "PASS", "ERROR")</f>
        <v>PASS</v>
      </c>
      <c r="Q28" s="35" t="str">
        <f aca="false">IF(P28="Error", "Check column CL for errors", "")</f>
        <v/>
      </c>
      <c r="R28" s="16"/>
    </row>
    <row r="29" s="14" customFormat="true" ht="17.25" hidden="false" customHeight="true" outlineLevel="0" collapsed="false">
      <c r="D29" s="33"/>
      <c r="E29" s="40" t="s">
        <v>91</v>
      </c>
      <c r="F29" s="40"/>
      <c r="G29" s="41" t="s">
        <v>92</v>
      </c>
      <c r="H29" s="40" t="s">
        <v>75</v>
      </c>
      <c r="I29" s="42" t="s">
        <v>93</v>
      </c>
      <c r="J29" s="43" t="n">
        <f aca="false">(J27*J28)/1000000</f>
        <v>25</v>
      </c>
      <c r="L29" s="14" t="s">
        <v>94</v>
      </c>
      <c r="P29" s="16" t="str">
        <f aca="false">IF($CM$1=0, "PASS", "ERROR")</f>
        <v>PASS</v>
      </c>
      <c r="Q29" s="35" t="str">
        <f aca="false">IF(P29="Error", "Check column CM for errors", "")</f>
        <v/>
      </c>
      <c r="R29" s="16"/>
    </row>
    <row r="30" s="14" customFormat="true" ht="17.25" hidden="false" customHeight="true" outlineLevel="0" collapsed="false">
      <c r="D30" s="33"/>
      <c r="E30" s="33"/>
      <c r="F30" s="33"/>
      <c r="G30" s="36"/>
      <c r="H30" s="33"/>
      <c r="I30" s="37"/>
      <c r="J30" s="33"/>
      <c r="Q30" s="16"/>
      <c r="R30" s="16"/>
    </row>
    <row r="31" s="14" customFormat="true" ht="17.25" hidden="false" customHeight="true" outlineLevel="0" collapsed="false">
      <c r="D31" s="32" t="s">
        <v>95</v>
      </c>
      <c r="E31" s="33"/>
      <c r="F31" s="33"/>
      <c r="G31" s="36"/>
      <c r="H31" s="32"/>
      <c r="I31" s="32"/>
      <c r="J31" s="34"/>
      <c r="Q31" s="16"/>
      <c r="R31" s="16"/>
      <c r="Y31" s="14" t="s">
        <v>96</v>
      </c>
    </row>
    <row r="32" s="14" customFormat="true" ht="17.25" hidden="false" customHeight="true" outlineLevel="0" collapsed="false">
      <c r="D32" s="33"/>
      <c r="E32" s="33" t="s">
        <v>73</v>
      </c>
      <c r="F32" s="33"/>
      <c r="G32" s="36" t="s">
        <v>97</v>
      </c>
      <c r="H32" s="33"/>
      <c r="I32" s="37" t="s">
        <v>76</v>
      </c>
      <c r="J32" s="44" t="n">
        <v>4000</v>
      </c>
      <c r="Q32" s="16"/>
      <c r="R32" s="16"/>
    </row>
    <row r="33" s="14" customFormat="true" ht="17.25" hidden="false" customHeight="true" outlineLevel="0" collapsed="false">
      <c r="D33" s="33"/>
      <c r="E33" s="33" t="s">
        <v>78</v>
      </c>
      <c r="F33" s="33"/>
      <c r="G33" s="36" t="s">
        <v>98</v>
      </c>
      <c r="H33" s="33"/>
      <c r="I33" s="37" t="s">
        <v>81</v>
      </c>
      <c r="J33" s="44" t="n">
        <v>120</v>
      </c>
      <c r="Q33" s="16"/>
      <c r="R33" s="16"/>
    </row>
    <row r="34" s="14" customFormat="true" ht="17.25" hidden="false" customHeight="true" outlineLevel="0" collapsed="false">
      <c r="D34" s="33"/>
      <c r="E34" s="33" t="s">
        <v>83</v>
      </c>
      <c r="F34" s="33"/>
      <c r="G34" s="36" t="s">
        <v>99</v>
      </c>
      <c r="H34" s="33"/>
      <c r="I34" s="37" t="s">
        <v>86</v>
      </c>
      <c r="J34" s="39" t="n">
        <v>260</v>
      </c>
      <c r="Q34" s="16"/>
      <c r="R34" s="16"/>
    </row>
    <row r="35" s="14" customFormat="true" ht="17.25" hidden="false" customHeight="true" outlineLevel="0" collapsed="false">
      <c r="D35" s="33"/>
      <c r="E35" s="33" t="s">
        <v>88</v>
      </c>
      <c r="F35" s="33"/>
      <c r="G35" s="36"/>
      <c r="H35" s="33"/>
      <c r="I35" s="37" t="s">
        <v>89</v>
      </c>
      <c r="J35" s="44" t="n">
        <f aca="false">J28</f>
        <v>50000</v>
      </c>
      <c r="Q35" s="16"/>
      <c r="R35" s="16"/>
    </row>
    <row r="36" s="14" customFormat="true" ht="17.25" hidden="false" customHeight="true" outlineLevel="0" collapsed="false">
      <c r="D36" s="33"/>
      <c r="E36" s="40" t="s">
        <v>91</v>
      </c>
      <c r="F36" s="40"/>
      <c r="G36" s="41" t="s">
        <v>100</v>
      </c>
      <c r="H36" s="40" t="s">
        <v>101</v>
      </c>
      <c r="I36" s="42" t="s">
        <v>93</v>
      </c>
      <c r="J36" s="43" t="n">
        <f aca="false">(J34*J35)/1000000</f>
        <v>13</v>
      </c>
      <c r="K36" s="45"/>
      <c r="Q36" s="16"/>
      <c r="R36" s="16"/>
    </row>
    <row r="37" s="14" customFormat="true" ht="17.25" hidden="false" customHeight="true" outlineLevel="0" collapsed="false">
      <c r="D37" s="33"/>
      <c r="E37" s="46"/>
      <c r="F37" s="46"/>
      <c r="G37" s="47"/>
      <c r="H37" s="46"/>
      <c r="I37" s="48"/>
      <c r="J37" s="49"/>
      <c r="K37" s="50"/>
      <c r="Q37" s="16"/>
      <c r="R37" s="16"/>
    </row>
    <row r="38" s="14" customFormat="true" ht="17.25" hidden="false" customHeight="true" outlineLevel="0" collapsed="false">
      <c r="D38" s="32" t="s">
        <v>102</v>
      </c>
      <c r="E38" s="46"/>
      <c r="F38" s="46"/>
      <c r="G38" s="47"/>
      <c r="H38" s="46"/>
      <c r="I38" s="48"/>
      <c r="J38" s="49"/>
      <c r="K38" s="50"/>
      <c r="L38" s="51"/>
      <c r="Q38" s="16"/>
      <c r="R38" s="16"/>
    </row>
    <row r="39" s="14" customFormat="true" ht="17.25" hidden="false" customHeight="true" outlineLevel="0" collapsed="false">
      <c r="D39" s="32"/>
      <c r="E39" s="33" t="s">
        <v>73</v>
      </c>
      <c r="F39" s="46"/>
      <c r="G39" s="36" t="s">
        <v>103</v>
      </c>
      <c r="H39" s="46"/>
      <c r="I39" s="37" t="s">
        <v>76</v>
      </c>
      <c r="J39" s="52" t="n">
        <f aca="false">J25-J32</f>
        <v>2000</v>
      </c>
      <c r="Q39" s="16"/>
      <c r="R39" s="16"/>
    </row>
    <row r="40" s="14" customFormat="true" ht="17.25" hidden="false" customHeight="true" outlineLevel="0" collapsed="false">
      <c r="D40" s="32"/>
      <c r="E40" s="33" t="s">
        <v>78</v>
      </c>
      <c r="F40" s="46"/>
      <c r="G40" s="36" t="s">
        <v>104</v>
      </c>
      <c r="H40" s="46"/>
      <c r="I40" s="37" t="s">
        <v>81</v>
      </c>
      <c r="J40" s="52" t="n">
        <f aca="false">J26-J33</f>
        <v>30</v>
      </c>
      <c r="Q40" s="16"/>
      <c r="R40" s="16"/>
    </row>
    <row r="41" s="14" customFormat="true" ht="17.25" hidden="false" customHeight="true" outlineLevel="0" collapsed="false">
      <c r="D41" s="32"/>
      <c r="E41" s="33" t="s">
        <v>83</v>
      </c>
      <c r="F41" s="46"/>
      <c r="G41" s="36" t="s">
        <v>105</v>
      </c>
      <c r="H41" s="46"/>
      <c r="I41" s="37" t="s">
        <v>86</v>
      </c>
      <c r="J41" s="52" t="n">
        <f aca="false">J27-J34</f>
        <v>240</v>
      </c>
      <c r="Q41" s="16"/>
      <c r="R41" s="16"/>
    </row>
    <row r="42" s="14" customFormat="true" ht="17.25" hidden="false" customHeight="true" outlineLevel="0" collapsed="false">
      <c r="D42" s="32"/>
      <c r="E42" s="33" t="s">
        <v>106</v>
      </c>
      <c r="F42" s="46"/>
      <c r="G42" s="36" t="s">
        <v>107</v>
      </c>
      <c r="H42" s="46"/>
      <c r="I42" s="48" t="s">
        <v>108</v>
      </c>
      <c r="J42" s="52" t="n">
        <f aca="false">J29-J36</f>
        <v>12</v>
      </c>
      <c r="Q42" s="16"/>
      <c r="R42" s="16"/>
    </row>
    <row r="43" s="14" customFormat="true" ht="17.25" hidden="true" customHeight="true" outlineLevel="1" collapsed="false">
      <c r="D43" s="32" t="s">
        <v>68</v>
      </c>
      <c r="E43" s="33"/>
      <c r="F43" s="33"/>
      <c r="G43" s="33"/>
      <c r="H43" s="32" t="s">
        <v>69</v>
      </c>
      <c r="I43" s="42" t="s">
        <v>93</v>
      </c>
      <c r="J43" s="34" t="s">
        <v>71</v>
      </c>
      <c r="Q43" s="16"/>
      <c r="R43" s="16"/>
    </row>
    <row r="44" s="14" customFormat="true" ht="17.25" hidden="true" customHeight="true" outlineLevel="1" collapsed="false">
      <c r="D44" s="33"/>
      <c r="E44" s="33" t="s">
        <v>109</v>
      </c>
      <c r="F44" s="33"/>
      <c r="G44" s="36"/>
      <c r="H44" s="33" t="s">
        <v>75</v>
      </c>
      <c r="I44" s="37" t="s">
        <v>109</v>
      </c>
      <c r="J44" s="38" t="n">
        <v>12000000</v>
      </c>
      <c r="Q44" s="16"/>
      <c r="R44" s="16"/>
    </row>
    <row r="45" s="14" customFormat="true" ht="17.25" hidden="true" customHeight="true" outlineLevel="1" collapsed="false">
      <c r="D45" s="33"/>
      <c r="E45" s="33" t="s">
        <v>110</v>
      </c>
      <c r="F45" s="33"/>
      <c r="G45" s="36" t="s">
        <v>74</v>
      </c>
      <c r="H45" s="33" t="s">
        <v>75</v>
      </c>
      <c r="I45" s="37" t="s">
        <v>111</v>
      </c>
      <c r="J45" s="39" t="n">
        <v>0.14</v>
      </c>
      <c r="Q45" s="16"/>
      <c r="R45" s="16"/>
    </row>
    <row r="46" s="14" customFormat="true" ht="17.25" hidden="true" customHeight="true" outlineLevel="1" collapsed="false">
      <c r="D46" s="33"/>
      <c r="E46" s="40" t="s">
        <v>112</v>
      </c>
      <c r="F46" s="40"/>
      <c r="G46" s="41" t="s">
        <v>79</v>
      </c>
      <c r="H46" s="40" t="s">
        <v>75</v>
      </c>
      <c r="I46" s="42" t="s">
        <v>113</v>
      </c>
      <c r="J46" s="53" t="n">
        <f aca="false">(J44*J45)/1000</f>
        <v>1680</v>
      </c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3"/>
      <c r="Q47" s="16"/>
      <c r="R47" s="16"/>
    </row>
    <row r="48" s="14" customFormat="true" ht="17.25" hidden="true" customHeight="true" outlineLevel="1" collapsed="false">
      <c r="D48" s="32" t="s">
        <v>95</v>
      </c>
      <c r="E48" s="33"/>
      <c r="F48" s="33"/>
      <c r="G48" s="36"/>
      <c r="H48" s="32"/>
      <c r="I48" s="32"/>
      <c r="J48" s="34"/>
      <c r="Q48" s="16"/>
      <c r="R48" s="16"/>
    </row>
    <row r="49" s="14" customFormat="true" ht="17.25" hidden="true" customHeight="true" outlineLevel="1" collapsed="false">
      <c r="D49" s="33"/>
      <c r="E49" s="33" t="s">
        <v>109</v>
      </c>
      <c r="F49" s="33"/>
      <c r="G49" s="36"/>
      <c r="H49" s="33" t="s">
        <v>75</v>
      </c>
      <c r="I49" s="37" t="s">
        <v>109</v>
      </c>
      <c r="J49" s="54" t="n">
        <f aca="false">$J$25</f>
        <v>6000</v>
      </c>
      <c r="Q49" s="16"/>
      <c r="R49" s="16"/>
    </row>
    <row r="50" s="14" customFormat="true" ht="17.25" hidden="true" customHeight="true" outlineLevel="1" collapsed="false">
      <c r="D50" s="33"/>
      <c r="E50" s="33" t="s">
        <v>110</v>
      </c>
      <c r="F50" s="33"/>
      <c r="G50" s="36" t="s">
        <v>84</v>
      </c>
      <c r="H50" s="33" t="s">
        <v>101</v>
      </c>
      <c r="I50" s="37" t="s">
        <v>111</v>
      </c>
      <c r="J50" s="44" t="n">
        <v>0.1</v>
      </c>
      <c r="Q50" s="16"/>
      <c r="R50" s="16"/>
    </row>
    <row r="51" s="14" customFormat="true" ht="17.25" hidden="true" customHeight="true" outlineLevel="1" collapsed="false">
      <c r="D51" s="33"/>
      <c r="E51" s="40" t="s">
        <v>112</v>
      </c>
      <c r="F51" s="40"/>
      <c r="G51" s="41" t="s">
        <v>92</v>
      </c>
      <c r="H51" s="40" t="s">
        <v>101</v>
      </c>
      <c r="I51" s="42" t="s">
        <v>113</v>
      </c>
      <c r="J51" s="53" t="n">
        <f aca="false">(J49*J50)/1000</f>
        <v>0.6</v>
      </c>
      <c r="Q51" s="16"/>
      <c r="R51" s="16"/>
    </row>
    <row r="52" s="14" customFormat="true" ht="17.25" hidden="true" customHeight="true" outlineLevel="1" collapsed="false">
      <c r="D52" s="33"/>
      <c r="E52" s="46"/>
      <c r="F52" s="46"/>
      <c r="G52" s="47"/>
      <c r="H52" s="46"/>
      <c r="I52" s="48"/>
      <c r="J52" s="49"/>
      <c r="Q52" s="16"/>
      <c r="R52" s="16"/>
    </row>
    <row r="53" s="14" customFormat="true" ht="17.25" hidden="true" customHeight="true" outlineLevel="1" collapsed="false">
      <c r="D53" s="32" t="s">
        <v>102</v>
      </c>
      <c r="E53" s="46"/>
      <c r="F53" s="46"/>
      <c r="G53" s="47"/>
      <c r="H53" s="46"/>
      <c r="I53" s="48"/>
      <c r="J53" s="49"/>
      <c r="Q53" s="16"/>
      <c r="R53" s="16"/>
    </row>
    <row r="54" s="14" customFormat="true" ht="17.25" hidden="true" customHeight="true" outlineLevel="1" collapsed="false">
      <c r="D54" s="32"/>
      <c r="E54" s="33" t="str">
        <f aca="false">E50</f>
        <v>xxxx unit cost</v>
      </c>
      <c r="F54" s="46"/>
      <c r="G54" s="36" t="s">
        <v>114</v>
      </c>
      <c r="H54" s="46"/>
      <c r="I54" s="37" t="s">
        <v>115</v>
      </c>
      <c r="J54" s="52" t="n">
        <f aca="false">J45-J50</f>
        <v>0.04</v>
      </c>
      <c r="Q54" s="16"/>
      <c r="R54" s="16"/>
    </row>
    <row r="55" s="14" customFormat="true" ht="17.25" hidden="true" customHeight="true" outlineLevel="1" collapsed="false">
      <c r="D55" s="32"/>
      <c r="E55" s="33" t="str">
        <f aca="false">E51</f>
        <v>xxxx total spend</v>
      </c>
      <c r="F55" s="46"/>
      <c r="G55" s="36" t="s">
        <v>116</v>
      </c>
      <c r="H55" s="46"/>
      <c r="I55" s="37" t="s">
        <v>113</v>
      </c>
      <c r="J55" s="55" t="n">
        <f aca="false">J46-J51</f>
        <v>1679.4</v>
      </c>
      <c r="Q55" s="16"/>
      <c r="R55" s="16"/>
    </row>
    <row r="56" s="14" customFormat="true" ht="17.25" hidden="true" customHeight="true" outlineLevel="1" collapsed="false">
      <c r="E56" s="21"/>
      <c r="F56" s="21"/>
      <c r="G56" s="21"/>
      <c r="H56" s="21"/>
      <c r="I56" s="56"/>
      <c r="J56" s="57"/>
      <c r="Q56" s="16"/>
      <c r="R56" s="16"/>
    </row>
    <row r="57" s="14" customFormat="true" ht="17.25" hidden="false" customHeight="true" outlineLevel="0" collapsed="false">
      <c r="E57" s="21"/>
      <c r="F57" s="21"/>
      <c r="G57" s="21"/>
      <c r="H57" s="21"/>
      <c r="I57" s="56"/>
      <c r="J57" s="57"/>
      <c r="Q57" s="16"/>
      <c r="R57" s="16"/>
    </row>
    <row r="58" s="14" customFormat="true" ht="17.25" hidden="true" customHeight="true" outlineLevel="1" collapsed="false">
      <c r="D58" s="32" t="s">
        <v>68</v>
      </c>
      <c r="E58" s="33"/>
      <c r="F58" s="33"/>
      <c r="G58" s="33"/>
      <c r="H58" s="32" t="s">
        <v>69</v>
      </c>
      <c r="I58" s="32" t="s">
        <v>70</v>
      </c>
      <c r="J58" s="34" t="s">
        <v>71</v>
      </c>
      <c r="Q58" s="16"/>
      <c r="R58" s="16"/>
    </row>
    <row r="59" s="14" customFormat="true" ht="17.25" hidden="true" customHeight="true" outlineLevel="1" collapsed="false">
      <c r="D59" s="33"/>
      <c r="E59" s="33" t="s">
        <v>109</v>
      </c>
      <c r="F59" s="33"/>
      <c r="G59" s="36"/>
      <c r="H59" s="33" t="s">
        <v>75</v>
      </c>
      <c r="I59" s="37" t="s">
        <v>109</v>
      </c>
      <c r="J59" s="38" t="n">
        <v>12000000</v>
      </c>
      <c r="Q59" s="16"/>
      <c r="R59" s="16"/>
    </row>
    <row r="60" s="14" customFormat="true" ht="17.25" hidden="true" customHeight="true" outlineLevel="1" collapsed="false">
      <c r="D60" s="33"/>
      <c r="E60" s="33" t="s">
        <v>110</v>
      </c>
      <c r="F60" s="33"/>
      <c r="G60" s="36" t="s">
        <v>74</v>
      </c>
      <c r="H60" s="33" t="s">
        <v>75</v>
      </c>
      <c r="I60" s="37" t="s">
        <v>111</v>
      </c>
      <c r="J60" s="39" t="n">
        <v>0.14</v>
      </c>
      <c r="Q60" s="16"/>
      <c r="R60" s="16"/>
    </row>
    <row r="61" s="14" customFormat="true" ht="17.25" hidden="true" customHeight="true" outlineLevel="1" collapsed="false">
      <c r="D61" s="33"/>
      <c r="E61" s="40" t="s">
        <v>112</v>
      </c>
      <c r="F61" s="40"/>
      <c r="G61" s="41" t="s">
        <v>79</v>
      </c>
      <c r="H61" s="40" t="s">
        <v>75</v>
      </c>
      <c r="I61" s="42" t="s">
        <v>113</v>
      </c>
      <c r="J61" s="53" t="n">
        <f aca="false">(J59*J60)/1000</f>
        <v>1680</v>
      </c>
      <c r="Q61" s="16"/>
      <c r="R61" s="16"/>
    </row>
    <row r="62" s="14" customFormat="true" ht="17.25" hidden="true" customHeight="true" outlineLevel="1" collapsed="false">
      <c r="D62" s="33"/>
      <c r="E62" s="33"/>
      <c r="F62" s="33"/>
      <c r="G62" s="36"/>
      <c r="H62" s="33"/>
      <c r="I62" s="37"/>
      <c r="J62" s="33"/>
      <c r="Q62" s="16"/>
      <c r="R62" s="16"/>
    </row>
    <row r="63" s="14" customFormat="true" ht="17.25" hidden="true" customHeight="true" outlineLevel="1" collapsed="false">
      <c r="D63" s="32" t="s">
        <v>95</v>
      </c>
      <c r="E63" s="33"/>
      <c r="F63" s="33"/>
      <c r="G63" s="36"/>
      <c r="H63" s="32"/>
      <c r="I63" s="32"/>
      <c r="J63" s="34"/>
      <c r="Q63" s="16"/>
      <c r="R63" s="16"/>
    </row>
    <row r="64" s="14" customFormat="true" ht="17.25" hidden="true" customHeight="true" outlineLevel="1" collapsed="false">
      <c r="D64" s="33"/>
      <c r="E64" s="33" t="s">
        <v>109</v>
      </c>
      <c r="F64" s="33"/>
      <c r="G64" s="36"/>
      <c r="H64" s="33" t="s">
        <v>75</v>
      </c>
      <c r="I64" s="37" t="s">
        <v>109</v>
      </c>
      <c r="J64" s="54" t="n">
        <f aca="false">$J$25</f>
        <v>6000</v>
      </c>
      <c r="Q64" s="16"/>
      <c r="R64" s="16"/>
    </row>
    <row r="65" s="14" customFormat="true" ht="17.25" hidden="true" customHeight="true" outlineLevel="1" collapsed="false">
      <c r="D65" s="33"/>
      <c r="E65" s="33" t="s">
        <v>110</v>
      </c>
      <c r="F65" s="33"/>
      <c r="G65" s="36" t="s">
        <v>84</v>
      </c>
      <c r="H65" s="33" t="s">
        <v>101</v>
      </c>
      <c r="I65" s="37" t="s">
        <v>111</v>
      </c>
      <c r="J65" s="44" t="n">
        <v>0.1</v>
      </c>
      <c r="Q65" s="16"/>
      <c r="R65" s="16"/>
    </row>
    <row r="66" s="14" customFormat="true" ht="17.25" hidden="true" customHeight="true" outlineLevel="1" collapsed="false">
      <c r="D66" s="33"/>
      <c r="E66" s="40" t="s">
        <v>112</v>
      </c>
      <c r="F66" s="40"/>
      <c r="G66" s="41" t="s">
        <v>92</v>
      </c>
      <c r="H66" s="40" t="s">
        <v>101</v>
      </c>
      <c r="I66" s="42" t="s">
        <v>113</v>
      </c>
      <c r="J66" s="53" t="n">
        <f aca="false">(J64*J65)/1000</f>
        <v>0.6</v>
      </c>
      <c r="Q66" s="16"/>
      <c r="R66" s="16"/>
    </row>
    <row r="67" s="14" customFormat="true" ht="17.25" hidden="true" customHeight="true" outlineLevel="1" collapsed="false">
      <c r="D67" s="33"/>
      <c r="E67" s="46"/>
      <c r="F67" s="46"/>
      <c r="G67" s="47"/>
      <c r="H67" s="46"/>
      <c r="I67" s="48"/>
      <c r="J67" s="49"/>
      <c r="Q67" s="16"/>
      <c r="R67" s="16"/>
    </row>
    <row r="68" s="14" customFormat="true" ht="17.25" hidden="true" customHeight="true" outlineLevel="1" collapsed="false">
      <c r="D68" s="32" t="s">
        <v>102</v>
      </c>
      <c r="E68" s="46"/>
      <c r="F68" s="46"/>
      <c r="G68" s="47"/>
      <c r="H68" s="46"/>
      <c r="I68" s="48"/>
      <c r="J68" s="49"/>
      <c r="Q68" s="16"/>
      <c r="R68" s="16"/>
    </row>
    <row r="69" s="14" customFormat="true" ht="17.25" hidden="true" customHeight="true" outlineLevel="1" collapsed="false">
      <c r="D69" s="32"/>
      <c r="E69" s="33" t="str">
        <f aca="false">E65</f>
        <v>xxxx unit cost</v>
      </c>
      <c r="F69" s="46"/>
      <c r="G69" s="36" t="s">
        <v>114</v>
      </c>
      <c r="H69" s="46"/>
      <c r="I69" s="37" t="s">
        <v>115</v>
      </c>
      <c r="J69" s="52" t="n">
        <f aca="false">J60-J65</f>
        <v>0.04</v>
      </c>
      <c r="Q69" s="16"/>
      <c r="R69" s="16"/>
    </row>
    <row r="70" s="14" customFormat="true" ht="17.25" hidden="true" customHeight="true" outlineLevel="1" collapsed="false">
      <c r="D70" s="32"/>
      <c r="E70" s="33" t="str">
        <f aca="false">E66</f>
        <v>xxxx total spend</v>
      </c>
      <c r="F70" s="46"/>
      <c r="G70" s="36" t="s">
        <v>116</v>
      </c>
      <c r="H70" s="46"/>
      <c r="I70" s="37" t="s">
        <v>113</v>
      </c>
      <c r="J70" s="55" t="n">
        <f aca="false">J61-J66</f>
        <v>1679.4</v>
      </c>
      <c r="Q70" s="16"/>
      <c r="R70" s="16"/>
    </row>
    <row r="71" s="14" customFormat="true" ht="17.25" hidden="true" customHeight="true" outlineLevel="1" collapsed="false">
      <c r="E71" s="21"/>
      <c r="F71" s="21"/>
      <c r="G71" s="21"/>
      <c r="H71" s="21"/>
      <c r="I71" s="56"/>
      <c r="J71" s="57"/>
      <c r="Q71" s="16"/>
      <c r="R71" s="16"/>
    </row>
    <row r="72" s="14" customFormat="true" ht="16.5" hidden="true" customHeight="true" outlineLevel="1" collapsed="false">
      <c r="H72" s="58"/>
      <c r="Q72" s="16"/>
      <c r="R72" s="16"/>
    </row>
    <row r="73" s="14" customFormat="true" ht="16.5" hidden="false" customHeight="true" outlineLevel="0" collapsed="false">
      <c r="C73" s="19" t="s">
        <v>117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C73" s="19" t="s">
        <v>118</v>
      </c>
      <c r="CD73" s="19"/>
      <c r="CE73" s="19"/>
      <c r="CF73" s="19"/>
      <c r="CG73" s="19"/>
      <c r="CI73" s="19" t="s">
        <v>119</v>
      </c>
      <c r="CJ73" s="19"/>
      <c r="CK73" s="19"/>
      <c r="CL73" s="19"/>
      <c r="CM73" s="19"/>
    </row>
    <row r="74" s="14" customFormat="true" ht="16.5" hidden="false" customHeight="true" outlineLevel="0" collapsed="false">
      <c r="Q74" s="16"/>
    </row>
    <row r="75" s="14" customFormat="true" ht="16.5" hidden="false" customHeight="true" outlineLevel="0" collapsed="false">
      <c r="D75" s="30" t="s">
        <v>120</v>
      </c>
      <c r="E75" s="31"/>
      <c r="F75" s="31"/>
      <c r="G75" s="31"/>
      <c r="H75" s="30" t="s">
        <v>121</v>
      </c>
      <c r="I75" s="31" t="s">
        <v>68</v>
      </c>
      <c r="J75" s="31" t="s">
        <v>95</v>
      </c>
      <c r="K75" s="31" t="s">
        <v>122</v>
      </c>
      <c r="L75" s="31" t="n">
        <v>2026</v>
      </c>
      <c r="M75" s="31" t="n">
        <f aca="false">L75+1</f>
        <v>2027</v>
      </c>
      <c r="N75" s="31" t="n">
        <f aca="false">M75+1</f>
        <v>2028</v>
      </c>
      <c r="O75" s="31" t="n">
        <f aca="false">N75+1</f>
        <v>2029</v>
      </c>
      <c r="P75" s="31" t="n">
        <f aca="false">O75+1</f>
        <v>2030</v>
      </c>
      <c r="Q75" s="31" t="s">
        <v>123</v>
      </c>
      <c r="R75" s="31" t="s">
        <v>66</v>
      </c>
      <c r="T75" s="59" t="n">
        <v>46023</v>
      </c>
      <c r="U75" s="60" t="n">
        <f aca="false">EOMONTH(T75, 1)</f>
        <v>46081</v>
      </c>
      <c r="V75" s="60" t="n">
        <f aca="false">EOMONTH(U75, 1)</f>
        <v>46112</v>
      </c>
      <c r="W75" s="60" t="n">
        <f aca="false">EOMONTH(V75, 1)</f>
        <v>46142</v>
      </c>
      <c r="X75" s="60" t="n">
        <f aca="false">EOMONTH(W75, 1)</f>
        <v>46173</v>
      </c>
      <c r="Y75" s="60" t="n">
        <f aca="false">EOMONTH(X75, 1)</f>
        <v>46203</v>
      </c>
      <c r="Z75" s="60" t="n">
        <f aca="false">EOMONTH(Y75, 1)</f>
        <v>46234</v>
      </c>
      <c r="AA75" s="60" t="n">
        <f aca="false">EOMONTH(Z75, 1)</f>
        <v>46265</v>
      </c>
      <c r="AB75" s="60" t="n">
        <f aca="false">EOMONTH(AA75, 1)</f>
        <v>46295</v>
      </c>
      <c r="AC75" s="60" t="n">
        <f aca="false">EOMONTH(AB75, 1)</f>
        <v>46326</v>
      </c>
      <c r="AD75" s="60" t="n">
        <f aca="false">EOMONTH(AC75, 1)</f>
        <v>46356</v>
      </c>
      <c r="AE75" s="61" t="n">
        <f aca="false">EOMONTH(AD75, 1)</f>
        <v>46387</v>
      </c>
      <c r="AF75" s="59" t="n">
        <f aca="false">EOMONTH(AE75, 1)</f>
        <v>46418</v>
      </c>
      <c r="AG75" s="60" t="n">
        <f aca="false">EOMONTH(AF75, 1)</f>
        <v>46446</v>
      </c>
      <c r="AH75" s="60" t="n">
        <f aca="false">EOMONTH(AG75, 1)</f>
        <v>46477</v>
      </c>
      <c r="AI75" s="60" t="n">
        <f aca="false">EOMONTH(AH75, 1)</f>
        <v>46507</v>
      </c>
      <c r="AJ75" s="60" t="n">
        <f aca="false">EOMONTH(AI75, 1)</f>
        <v>46538</v>
      </c>
      <c r="AK75" s="60" t="n">
        <f aca="false">EOMONTH(AJ75, 1)</f>
        <v>46568</v>
      </c>
      <c r="AL75" s="60" t="n">
        <f aca="false">EOMONTH(AK75, 1)</f>
        <v>46599</v>
      </c>
      <c r="AM75" s="60" t="n">
        <f aca="false">EOMONTH(AL75, 1)</f>
        <v>46630</v>
      </c>
      <c r="AN75" s="60" t="n">
        <f aca="false">EOMONTH(AM75, 1)</f>
        <v>46660</v>
      </c>
      <c r="AO75" s="60" t="n">
        <f aca="false">EOMONTH(AN75, 1)</f>
        <v>46691</v>
      </c>
      <c r="AP75" s="60" t="n">
        <f aca="false">EOMONTH(AO75, 1)</f>
        <v>46721</v>
      </c>
      <c r="AQ75" s="61" t="n">
        <f aca="false">EOMONTH(AP75, 1)</f>
        <v>46752</v>
      </c>
      <c r="AR75" s="59" t="n">
        <f aca="false">EOMONTH(AQ75, 1)</f>
        <v>46783</v>
      </c>
      <c r="AS75" s="60" t="n">
        <f aca="false">EOMONTH(AR75, 1)</f>
        <v>46812</v>
      </c>
      <c r="AT75" s="60" t="n">
        <f aca="false">EOMONTH(AS75, 1)</f>
        <v>46843</v>
      </c>
      <c r="AU75" s="60" t="n">
        <f aca="false">EOMONTH(AT75, 1)</f>
        <v>46873</v>
      </c>
      <c r="AV75" s="60" t="n">
        <f aca="false">EOMONTH(AU75, 1)</f>
        <v>46904</v>
      </c>
      <c r="AW75" s="60" t="n">
        <f aca="false">EOMONTH(AV75, 1)</f>
        <v>46934</v>
      </c>
      <c r="AX75" s="60" t="n">
        <f aca="false">EOMONTH(AW75, 1)</f>
        <v>46965</v>
      </c>
      <c r="AY75" s="60" t="n">
        <f aca="false">EOMONTH(AX75, 1)</f>
        <v>46996</v>
      </c>
      <c r="AZ75" s="60" t="n">
        <f aca="false">EOMONTH(AY75, 1)</f>
        <v>47026</v>
      </c>
      <c r="BA75" s="60" t="n">
        <f aca="false">EOMONTH(AZ75, 1)</f>
        <v>47057</v>
      </c>
      <c r="BB75" s="60" t="n">
        <f aca="false">EOMONTH(BA75, 1)</f>
        <v>47087</v>
      </c>
      <c r="BC75" s="61" t="n">
        <f aca="false">EOMONTH(BB75, 1)</f>
        <v>47118</v>
      </c>
      <c r="BD75" s="59" t="n">
        <f aca="false">EOMONTH(BC75, 1)</f>
        <v>47149</v>
      </c>
      <c r="BE75" s="60" t="n">
        <f aca="false">EOMONTH(BD75, 1)</f>
        <v>47177</v>
      </c>
      <c r="BF75" s="60" t="n">
        <f aca="false">EOMONTH(BE75, 1)</f>
        <v>47208</v>
      </c>
      <c r="BG75" s="60" t="n">
        <f aca="false">EOMONTH(BF75, 1)</f>
        <v>47238</v>
      </c>
      <c r="BH75" s="60" t="n">
        <f aca="false">EOMONTH(BG75, 1)</f>
        <v>47269</v>
      </c>
      <c r="BI75" s="60" t="n">
        <f aca="false">EOMONTH(BH75, 1)</f>
        <v>47299</v>
      </c>
      <c r="BJ75" s="60" t="n">
        <f aca="false">EOMONTH(BI75, 1)</f>
        <v>47330</v>
      </c>
      <c r="BK75" s="60" t="n">
        <f aca="false">EOMONTH(BJ75, 1)</f>
        <v>47361</v>
      </c>
      <c r="BL75" s="60" t="n">
        <f aca="false">EOMONTH(BK75, 1)</f>
        <v>47391</v>
      </c>
      <c r="BM75" s="60" t="n">
        <f aca="false">EOMONTH(BL75, 1)</f>
        <v>47422</v>
      </c>
      <c r="BN75" s="60" t="n">
        <f aca="false">EOMONTH(BM75, 1)</f>
        <v>47452</v>
      </c>
      <c r="BO75" s="61" t="n">
        <f aca="false">EOMONTH(BN75, 1)</f>
        <v>47483</v>
      </c>
      <c r="BP75" s="59" t="n">
        <f aca="false">EOMONTH(BO75, 1)</f>
        <v>47514</v>
      </c>
      <c r="BQ75" s="60" t="n">
        <f aca="false">EOMONTH(BP75, 1)</f>
        <v>47542</v>
      </c>
      <c r="BR75" s="60" t="n">
        <f aca="false">EOMONTH(BQ75, 1)</f>
        <v>47573</v>
      </c>
      <c r="BS75" s="60" t="n">
        <f aca="false">EOMONTH(BR75, 1)</f>
        <v>47603</v>
      </c>
      <c r="BT75" s="60" t="n">
        <f aca="false">EOMONTH(BS75, 1)</f>
        <v>47634</v>
      </c>
      <c r="BU75" s="60" t="n">
        <f aca="false">EOMONTH(BT75, 1)</f>
        <v>47664</v>
      </c>
      <c r="BV75" s="60" t="n">
        <f aca="false">EOMONTH(BU75, 1)</f>
        <v>47695</v>
      </c>
      <c r="BW75" s="60" t="n">
        <f aca="false">EOMONTH(BV75, 1)</f>
        <v>47726</v>
      </c>
      <c r="BX75" s="60" t="n">
        <f aca="false">EOMONTH(BW75, 1)</f>
        <v>47756</v>
      </c>
      <c r="BY75" s="60" t="n">
        <f aca="false">EOMONTH(BX75, 1)</f>
        <v>47787</v>
      </c>
      <c r="BZ75" s="60" t="n">
        <f aca="false">EOMONTH(BY75, 1)</f>
        <v>47817</v>
      </c>
      <c r="CA75" s="60" t="n">
        <f aca="false">EOMONTH(BZ75, 1)</f>
        <v>47848</v>
      </c>
      <c r="CC75" s="62" t="n">
        <v>2026</v>
      </c>
      <c r="CD75" s="62" t="n">
        <f aca="false">CC75+1</f>
        <v>2027</v>
      </c>
      <c r="CE75" s="62" t="n">
        <f aca="false">CD75+1</f>
        <v>2028</v>
      </c>
      <c r="CF75" s="62" t="n">
        <f aca="false">CE75+1</f>
        <v>2029</v>
      </c>
      <c r="CG75" s="62" t="n">
        <f aca="false">CF75+1</f>
        <v>2030</v>
      </c>
      <c r="CI75" s="62" t="n">
        <v>2026</v>
      </c>
      <c r="CJ75" s="62" t="n">
        <f aca="false">CI75+1</f>
        <v>2027</v>
      </c>
      <c r="CK75" s="62" t="n">
        <f aca="false">CJ75+1</f>
        <v>2028</v>
      </c>
      <c r="CL75" s="62" t="n">
        <f aca="false">CK75+1</f>
        <v>2029</v>
      </c>
      <c r="CM75" s="62" t="n">
        <f aca="false">CL75+1</f>
        <v>2030</v>
      </c>
    </row>
    <row r="76" s="14" customFormat="true" ht="16.5" hidden="true" customHeight="true" outlineLevel="1" collapsed="false">
      <c r="D76" s="63"/>
      <c r="E76" s="64" t="s">
        <v>93</v>
      </c>
      <c r="H76" s="16"/>
      <c r="I76" s="65" t="s">
        <v>124</v>
      </c>
      <c r="J76" s="65" t="s">
        <v>125</v>
      </c>
      <c r="K76" s="65" t="s">
        <v>126</v>
      </c>
      <c r="L76" s="66"/>
      <c r="M76" s="66"/>
      <c r="N76" s="66"/>
      <c r="O76" s="66"/>
      <c r="P76" s="66"/>
      <c r="Q76" s="16"/>
      <c r="R76" s="1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7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7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7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7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</row>
    <row r="77" s="14" customFormat="true" ht="16.5" hidden="true" customHeight="true" outlineLevel="1" collapsed="false">
      <c r="E77" s="68" t="s">
        <v>127</v>
      </c>
      <c r="F77" s="21"/>
      <c r="G77" s="21"/>
      <c r="H77" s="16"/>
      <c r="I77" s="65"/>
      <c r="J77" s="65"/>
      <c r="K77" s="65"/>
      <c r="Q77" s="16"/>
      <c r="R77" s="16"/>
      <c r="AF77" s="69"/>
      <c r="AR77" s="69"/>
      <c r="BD77" s="69"/>
      <c r="BP77" s="69"/>
    </row>
    <row r="78" s="14" customFormat="true" ht="16.5" hidden="true" customHeight="true" outlineLevel="2" collapsed="false">
      <c r="E78" s="70"/>
      <c r="H78" s="71"/>
      <c r="I78" s="72" t="n">
        <v>0</v>
      </c>
      <c r="J78" s="72" t="n">
        <v>0</v>
      </c>
      <c r="K78" s="73" t="n">
        <f aca="false">J78-I78</f>
        <v>0</v>
      </c>
      <c r="L78" s="72"/>
      <c r="M78" s="72"/>
      <c r="N78" s="72"/>
      <c r="O78" s="72"/>
      <c r="P78" s="74"/>
      <c r="Q78" s="75"/>
      <c r="R78" s="16" t="str">
        <f aca="false">IF(K78=P78, "", "Error")</f>
        <v/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7"/>
      <c r="AF78" s="78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7"/>
      <c r="AR78" s="78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7"/>
      <c r="BD78" s="78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7"/>
      <c r="BP78" s="78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C78" s="79" t="n">
        <f aca="false">SUMIFS($T78:$CA78, $T$1:$CA$1, CC$75)</f>
        <v>0</v>
      </c>
      <c r="CD78" s="79" t="n">
        <f aca="false">SUMIFS($T78:$CA78, $T$1:$CA$1, CD$75)</f>
        <v>0</v>
      </c>
      <c r="CE78" s="79" t="n">
        <f aca="false">SUMIFS($T78:$CA78, $T$1:$CA$1, CE$75)</f>
        <v>0</v>
      </c>
      <c r="CF78" s="79" t="n">
        <f aca="false">SUMIFS($T78:$CA78, $T$1:$CA$1, CF$75)</f>
        <v>0</v>
      </c>
      <c r="CG78" s="79" t="n">
        <f aca="false">SUMIFS($T78:$CA78, $T$1:$CA$1, CG$75)</f>
        <v>0</v>
      </c>
      <c r="CI78" s="79" t="n">
        <f aca="false">CC78=L78</f>
        <v>1</v>
      </c>
      <c r="CJ78" s="79" t="n">
        <f aca="false">CD78=M78</f>
        <v>1</v>
      </c>
      <c r="CK78" s="79" t="n">
        <f aca="false">CE78=N78</f>
        <v>1</v>
      </c>
      <c r="CL78" s="79" t="n">
        <f aca="false">CF78=O78</f>
        <v>1</v>
      </c>
      <c r="CM78" s="79" t="n">
        <f aca="false">CG78=P78</f>
        <v>1</v>
      </c>
    </row>
    <row r="79" s="14" customFormat="true" ht="16.5" hidden="true" customHeight="true" outlineLevel="2" collapsed="false">
      <c r="E79" s="70"/>
      <c r="H79" s="71"/>
      <c r="I79" s="72" t="n">
        <v>0</v>
      </c>
      <c r="J79" s="72" t="n">
        <v>0</v>
      </c>
      <c r="K79" s="73" t="n">
        <f aca="false">J79-I79</f>
        <v>0</v>
      </c>
      <c r="L79" s="72"/>
      <c r="M79" s="72"/>
      <c r="N79" s="72"/>
      <c r="O79" s="72"/>
      <c r="P79" s="74"/>
      <c r="Q79" s="75"/>
      <c r="R79" s="16" t="str">
        <f aca="false">IF(K79=P79, "", "Error")</f>
        <v/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7"/>
      <c r="AF79" s="78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7"/>
      <c r="AR79" s="78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7"/>
      <c r="BD79" s="78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7"/>
      <c r="BP79" s="78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C79" s="79" t="n">
        <f aca="false">SUMIFS($T79:$CA79, $T$1:$CA$1, CC$75)</f>
        <v>0</v>
      </c>
      <c r="CD79" s="79" t="n">
        <f aca="false">SUMIFS($T79:$CA79, $T$1:$CA$1, CD$75)</f>
        <v>0</v>
      </c>
      <c r="CE79" s="79" t="n">
        <f aca="false">SUMIFS($T79:$CA79, $T$1:$CA$1, CE$75)</f>
        <v>0</v>
      </c>
      <c r="CF79" s="79" t="n">
        <f aca="false">SUMIFS($T79:$CA79, $T$1:$CA$1, CF$75)</f>
        <v>0</v>
      </c>
      <c r="CG79" s="79" t="n">
        <f aca="false">SUMIFS($T79:$CA79, $T$1:$CA$1, CG$75)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true" customHeight="true" outlineLevel="1" collapsed="true">
      <c r="E80" s="80" t="s">
        <v>128</v>
      </c>
      <c r="H80" s="71"/>
      <c r="I80" s="81" t="n">
        <f aca="false">SUM(I78:I79)</f>
        <v>0</v>
      </c>
      <c r="J80" s="81" t="n">
        <f aca="false">SUM(J78:J79)</f>
        <v>0</v>
      </c>
      <c r="K80" s="81" t="n">
        <f aca="false">SUM(K78:K79)</f>
        <v>0</v>
      </c>
      <c r="L80" s="81" t="n">
        <f aca="false">SUM(L78:L79)</f>
        <v>0</v>
      </c>
      <c r="M80" s="81" t="n">
        <f aca="false">SUM(M78:M79)</f>
        <v>0</v>
      </c>
      <c r="N80" s="81" t="n">
        <f aca="false">SUM(N78:N79)</f>
        <v>0</v>
      </c>
      <c r="O80" s="81" t="n">
        <f aca="false">SUM(O78:O79)</f>
        <v>0</v>
      </c>
      <c r="P80" s="81" t="n">
        <f aca="false">SUM(P78:P79)</f>
        <v>0</v>
      </c>
      <c r="Q80" s="16"/>
      <c r="R80" s="16"/>
      <c r="T80" s="82" t="n">
        <f aca="false">SUM(T78:T79)</f>
        <v>0</v>
      </c>
      <c r="U80" s="82" t="n">
        <f aca="false">SUM(U78:U79)</f>
        <v>0</v>
      </c>
      <c r="V80" s="82" t="n">
        <f aca="false">SUM(V78:V79)</f>
        <v>0</v>
      </c>
      <c r="W80" s="82" t="n">
        <f aca="false">SUM(W78:W79)</f>
        <v>0</v>
      </c>
      <c r="X80" s="82" t="n">
        <f aca="false">SUM(X78:X79)</f>
        <v>0</v>
      </c>
      <c r="Y80" s="82" t="n">
        <f aca="false">SUM(Y78:Y79)</f>
        <v>0</v>
      </c>
      <c r="Z80" s="82" t="n">
        <f aca="false">SUM(Z78:Z79)</f>
        <v>0</v>
      </c>
      <c r="AA80" s="82" t="n">
        <f aca="false">SUM(AA78:AA79)</f>
        <v>0</v>
      </c>
      <c r="AB80" s="82" t="n">
        <f aca="false">SUM(AB78:AB79)</f>
        <v>0</v>
      </c>
      <c r="AC80" s="82" t="n">
        <f aca="false">SUM(AC78:AC79)</f>
        <v>0</v>
      </c>
      <c r="AD80" s="82" t="n">
        <f aca="false">SUM(AD78:AD79)</f>
        <v>0</v>
      </c>
      <c r="AE80" s="82" t="n">
        <f aca="false">SUM(AE78:AE79)</f>
        <v>0</v>
      </c>
      <c r="AF80" s="83" t="n">
        <f aca="false">SUM(AF78:AF79)</f>
        <v>0</v>
      </c>
      <c r="AG80" s="82" t="n">
        <f aca="false">SUM(AG78:AG79)</f>
        <v>0</v>
      </c>
      <c r="AH80" s="82" t="n">
        <f aca="false">SUM(AH78:AH79)</f>
        <v>0</v>
      </c>
      <c r="AI80" s="82" t="n">
        <f aca="false">SUM(AI78:AI79)</f>
        <v>0</v>
      </c>
      <c r="AJ80" s="82" t="n">
        <f aca="false">SUM(AJ78:AJ79)</f>
        <v>0</v>
      </c>
      <c r="AK80" s="82" t="n">
        <f aca="false">SUM(AK78:AK79)</f>
        <v>0</v>
      </c>
      <c r="AL80" s="82" t="n">
        <f aca="false">SUM(AL78:AL79)</f>
        <v>0</v>
      </c>
      <c r="AM80" s="82" t="n">
        <f aca="false">SUM(AM78:AM79)</f>
        <v>0</v>
      </c>
      <c r="AN80" s="82" t="n">
        <f aca="false">SUM(AN78:AN79)</f>
        <v>0</v>
      </c>
      <c r="AO80" s="82" t="n">
        <f aca="false">SUM(AO78:AO79)</f>
        <v>0</v>
      </c>
      <c r="AP80" s="82" t="n">
        <f aca="false">SUM(AP78:AP79)</f>
        <v>0</v>
      </c>
      <c r="AQ80" s="82" t="n">
        <f aca="false">SUM(AQ78:AQ79)</f>
        <v>0</v>
      </c>
      <c r="AR80" s="83" t="n">
        <f aca="false">SUM(AR78:AR79)</f>
        <v>0</v>
      </c>
      <c r="AS80" s="82" t="n">
        <f aca="false">SUM(AS78:AS79)</f>
        <v>0</v>
      </c>
      <c r="AT80" s="82" t="n">
        <f aca="false">SUM(AT78:AT79)</f>
        <v>0</v>
      </c>
      <c r="AU80" s="82" t="n">
        <f aca="false">SUM(AU78:AU79)</f>
        <v>0</v>
      </c>
      <c r="AV80" s="82" t="n">
        <f aca="false">SUM(AV78:AV79)</f>
        <v>0</v>
      </c>
      <c r="AW80" s="82" t="n">
        <f aca="false">SUM(AW78:AW79)</f>
        <v>0</v>
      </c>
      <c r="AX80" s="82" t="n">
        <f aca="false">SUM(AX78:AX79)</f>
        <v>0</v>
      </c>
      <c r="AY80" s="82" t="n">
        <f aca="false">SUM(AY78:AY79)</f>
        <v>0</v>
      </c>
      <c r="AZ80" s="82" t="n">
        <f aca="false">SUM(AZ78:AZ79)</f>
        <v>0</v>
      </c>
      <c r="BA80" s="82" t="n">
        <f aca="false">SUM(BA78:BA79)</f>
        <v>0</v>
      </c>
      <c r="BB80" s="82" t="n">
        <f aca="false">SUM(BB78:BB79)</f>
        <v>0</v>
      </c>
      <c r="BC80" s="82" t="n">
        <f aca="false">SUM(BC78:BC79)</f>
        <v>0</v>
      </c>
      <c r="BD80" s="83" t="n">
        <f aca="false">SUM(BD78:BD79)</f>
        <v>0</v>
      </c>
      <c r="BE80" s="82" t="n">
        <f aca="false">SUM(BE78:BE79)</f>
        <v>0</v>
      </c>
      <c r="BF80" s="82" t="n">
        <f aca="false">SUM(BF78:BF79)</f>
        <v>0</v>
      </c>
      <c r="BG80" s="82" t="n">
        <f aca="false">SUM(BG78:BG79)</f>
        <v>0</v>
      </c>
      <c r="BH80" s="82" t="n">
        <f aca="false">SUM(BH78:BH79)</f>
        <v>0</v>
      </c>
      <c r="BI80" s="82" t="n">
        <f aca="false">SUM(BI78:BI79)</f>
        <v>0</v>
      </c>
      <c r="BJ80" s="82" t="n">
        <f aca="false">SUM(BJ78:BJ79)</f>
        <v>0</v>
      </c>
      <c r="BK80" s="82" t="n">
        <f aca="false">SUM(BK78:BK79)</f>
        <v>0</v>
      </c>
      <c r="BL80" s="82" t="n">
        <f aca="false">SUM(BL78:BL79)</f>
        <v>0</v>
      </c>
      <c r="BM80" s="82" t="n">
        <f aca="false">SUM(BM78:BM79)</f>
        <v>0</v>
      </c>
      <c r="BN80" s="82" t="n">
        <f aca="false">SUM(BN78:BN79)</f>
        <v>0</v>
      </c>
      <c r="BO80" s="82" t="n">
        <f aca="false">SUM(BO78:BO79)</f>
        <v>0</v>
      </c>
      <c r="BP80" s="83" t="n">
        <f aca="false">SUM(BP78:BP79)</f>
        <v>0</v>
      </c>
      <c r="BQ80" s="82" t="n">
        <f aca="false">SUM(BQ78:BQ79)</f>
        <v>0</v>
      </c>
      <c r="BR80" s="82" t="n">
        <f aca="false">SUM(BR78:BR79)</f>
        <v>0</v>
      </c>
      <c r="BS80" s="82" t="n">
        <f aca="false">SUM(BS78:BS79)</f>
        <v>0</v>
      </c>
      <c r="BT80" s="82" t="n">
        <f aca="false">SUM(BT78:BT79)</f>
        <v>0</v>
      </c>
      <c r="BU80" s="82" t="n">
        <f aca="false">SUM(BU78:BU79)</f>
        <v>0</v>
      </c>
      <c r="BV80" s="82" t="n">
        <f aca="false">SUM(BV78:BV79)</f>
        <v>0</v>
      </c>
      <c r="BW80" s="82" t="n">
        <f aca="false">SUM(BW78:BW79)</f>
        <v>0</v>
      </c>
      <c r="BX80" s="82" t="n">
        <f aca="false">SUM(BX78:BX79)</f>
        <v>0</v>
      </c>
      <c r="BY80" s="82" t="n">
        <f aca="false">SUM(BY78:BY79)</f>
        <v>0</v>
      </c>
      <c r="BZ80" s="82" t="n">
        <f aca="false">SUM(BZ78:BZ79)</f>
        <v>0</v>
      </c>
      <c r="CA80" s="82" t="n">
        <f aca="false">SUM(CA78:CA79)</f>
        <v>0</v>
      </c>
      <c r="CC80" s="84" t="n">
        <f aca="false">SUM(CC78:CC79)</f>
        <v>0</v>
      </c>
      <c r="CD80" s="84" t="n">
        <f aca="false">SUM(CD78:CD79)</f>
        <v>0</v>
      </c>
      <c r="CE80" s="84" t="n">
        <f aca="false">SUM(CE78:CE79)</f>
        <v>0</v>
      </c>
      <c r="CF80" s="84" t="n">
        <f aca="false">SUM(CF78:CF79)</f>
        <v>0</v>
      </c>
      <c r="CG80" s="84" t="n">
        <f aca="false">SUM(CG78:CG79)</f>
        <v>0</v>
      </c>
      <c r="CI80" s="84" t="n">
        <f aca="false">CC80=L80</f>
        <v>1</v>
      </c>
      <c r="CJ80" s="84" t="n">
        <f aca="false">CD80=M80</f>
        <v>1</v>
      </c>
      <c r="CK80" s="84" t="n">
        <f aca="false">CE80=N80</f>
        <v>1</v>
      </c>
      <c r="CL80" s="84" t="n">
        <f aca="false">CF80=O80</f>
        <v>1</v>
      </c>
      <c r="CM80" s="84" t="n">
        <f aca="false">CG80=P80</f>
        <v>1</v>
      </c>
    </row>
    <row r="81" s="14" customFormat="true" ht="16.5" hidden="true" customHeight="true" outlineLevel="1" collapsed="false">
      <c r="E81" s="85"/>
      <c r="H81" s="86"/>
      <c r="I81" s="87"/>
      <c r="J81" s="87"/>
      <c r="K81" s="87"/>
      <c r="L81" s="87"/>
      <c r="M81" s="87"/>
      <c r="N81" s="87"/>
      <c r="O81" s="87"/>
      <c r="P81" s="87"/>
      <c r="Q81" s="16"/>
      <c r="R81" s="16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9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9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9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9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C81" s="90"/>
      <c r="CD81" s="90"/>
      <c r="CE81" s="90"/>
      <c r="CF81" s="90"/>
      <c r="CG81" s="90"/>
      <c r="CI81" s="90"/>
      <c r="CJ81" s="90"/>
      <c r="CK81" s="90"/>
      <c r="CL81" s="90"/>
      <c r="CM81" s="90"/>
    </row>
    <row r="82" s="14" customFormat="true" ht="16.5" hidden="true" customHeight="true" outlineLevel="1" collapsed="false">
      <c r="E82" s="21" t="s">
        <v>129</v>
      </c>
      <c r="H82" s="71"/>
      <c r="I82" s="87"/>
      <c r="J82" s="87"/>
      <c r="K82" s="87"/>
      <c r="L82" s="87"/>
      <c r="M82" s="87"/>
      <c r="N82" s="87"/>
      <c r="O82" s="87"/>
      <c r="P82" s="87"/>
      <c r="Q82" s="16"/>
      <c r="R82" s="16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9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9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9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9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C82" s="90"/>
      <c r="CD82" s="90"/>
      <c r="CE82" s="90"/>
      <c r="CF82" s="90"/>
      <c r="CG82" s="90"/>
      <c r="CI82" s="90"/>
      <c r="CJ82" s="90"/>
      <c r="CK82" s="90"/>
      <c r="CL82" s="90"/>
      <c r="CM82" s="90"/>
    </row>
    <row r="83" s="14" customFormat="true" ht="16.5" hidden="true" customHeight="true" outlineLevel="2" collapsed="false">
      <c r="E83" s="91"/>
      <c r="H83" s="71"/>
      <c r="I83" s="92"/>
      <c r="J83" s="92"/>
      <c r="K83" s="73" t="n">
        <f aca="false">I83-J83</f>
        <v>0</v>
      </c>
      <c r="L83" s="92"/>
      <c r="M83" s="92"/>
      <c r="N83" s="92"/>
      <c r="O83" s="92"/>
      <c r="P83" s="92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CC$75)</f>
        <v>0</v>
      </c>
      <c r="CD83" s="79" t="n">
        <f aca="false">SUMIFS($T83:$CA83, $T$1:$CA$1, CD$75)</f>
        <v>0</v>
      </c>
      <c r="CE83" s="79" t="n">
        <f aca="false">SUMIFS($T83:$CA83, $T$1:$CA$1, CE$75)</f>
        <v>0</v>
      </c>
      <c r="CF83" s="79" t="n">
        <f aca="false">SUMIFS($T83:$CA83, $T$1:$CA$1, CF$75)</f>
        <v>0</v>
      </c>
      <c r="CG83" s="79" t="n">
        <f aca="false">SUMIFS($T83:$CA83, $T$1:$CA$1, CG$75)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true" customHeight="true" outlineLevel="2" collapsed="false">
      <c r="E84" s="91"/>
      <c r="H84" s="71"/>
      <c r="I84" s="92" t="n">
        <v>0</v>
      </c>
      <c r="J84" s="92" t="n">
        <v>0</v>
      </c>
      <c r="K84" s="73" t="n">
        <f aca="false">I84-J84</f>
        <v>0</v>
      </c>
      <c r="L84" s="92"/>
      <c r="M84" s="92"/>
      <c r="N84" s="92"/>
      <c r="O84" s="92"/>
      <c r="P84" s="92"/>
      <c r="Q84" s="93"/>
      <c r="R84" s="16" t="str">
        <f aca="false">IF(K84=P84, "", "Error")</f>
        <v/>
      </c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4"/>
      <c r="AF84" s="95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4"/>
      <c r="AR84" s="95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4"/>
      <c r="BD84" s="95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4"/>
      <c r="BP84" s="95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C84" s="79" t="n">
        <f aca="false">SUMIFS($T84:$CA84, $T$1:$CA$1, CC$75)</f>
        <v>0</v>
      </c>
      <c r="CD84" s="79" t="n">
        <f aca="false">SUMIFS($T84:$CA84, $T$1:$CA$1, CD$75)</f>
        <v>0</v>
      </c>
      <c r="CE84" s="79" t="n">
        <f aca="false">SUMIFS($T84:$CA84, $T$1:$CA$1, CE$75)</f>
        <v>0</v>
      </c>
      <c r="CF84" s="79" t="n">
        <f aca="false">SUMIFS($T84:$CA84, $T$1:$CA$1, CF$75)</f>
        <v>0</v>
      </c>
      <c r="CG84" s="79" t="n">
        <f aca="false">SUMIFS($T84:$CA84, $T$1:$CA$1, CG$75)</f>
        <v>0</v>
      </c>
      <c r="CI84" s="79" t="n">
        <f aca="false">CC84=L84</f>
        <v>1</v>
      </c>
      <c r="CJ84" s="79" t="n">
        <f aca="false">CD84=M84</f>
        <v>1</v>
      </c>
      <c r="CK84" s="79" t="n">
        <f aca="false">CE84=N84</f>
        <v>1</v>
      </c>
      <c r="CL84" s="79" t="n">
        <f aca="false">CF84=O84</f>
        <v>1</v>
      </c>
      <c r="CM84" s="79" t="n">
        <f aca="false">CG84=P84</f>
        <v>1</v>
      </c>
    </row>
    <row r="85" s="14" customFormat="true" ht="16.5" hidden="true" customHeight="true" outlineLevel="2" collapsed="false">
      <c r="E85" s="91"/>
      <c r="H85" s="71"/>
      <c r="I85" s="92" t="n">
        <v>0</v>
      </c>
      <c r="J85" s="92" t="n">
        <v>0</v>
      </c>
      <c r="K85" s="73" t="n">
        <f aca="false">I85-J85</f>
        <v>0</v>
      </c>
      <c r="L85" s="92"/>
      <c r="M85" s="92"/>
      <c r="N85" s="92"/>
      <c r="O85" s="92"/>
      <c r="P85" s="92"/>
      <c r="Q85" s="93"/>
      <c r="R85" s="16" t="str">
        <f aca="false">IF(K85=P85, "", "Error")</f>
        <v/>
      </c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4"/>
      <c r="AF85" s="95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4"/>
      <c r="AR85" s="95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4"/>
      <c r="BD85" s="95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4"/>
      <c r="BP85" s="95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C85" s="79" t="n">
        <f aca="false">SUMIFS($T85:$CA85, $T$1:$CA$1, CC$75)</f>
        <v>0</v>
      </c>
      <c r="CD85" s="79" t="n">
        <f aca="false">SUMIFS($T85:$CA85, $T$1:$CA$1, CD$75)</f>
        <v>0</v>
      </c>
      <c r="CE85" s="79" t="n">
        <f aca="false">SUMIFS($T85:$CA85, $T$1:$CA$1, CE$75)</f>
        <v>0</v>
      </c>
      <c r="CF85" s="79" t="n">
        <f aca="false">SUMIFS($T85:$CA85, $T$1:$CA$1, CF$75)</f>
        <v>0</v>
      </c>
      <c r="CG85" s="79" t="n">
        <f aca="false">SUMIFS($T85:$CA85, $T$1:$CA$1, CG$75)</f>
        <v>0</v>
      </c>
      <c r="CI85" s="79" t="n">
        <f aca="false">CC85=L85</f>
        <v>1</v>
      </c>
      <c r="CJ85" s="79" t="n">
        <f aca="false">CD85=M85</f>
        <v>1</v>
      </c>
      <c r="CK85" s="79" t="n">
        <f aca="false">CE85=N85</f>
        <v>1</v>
      </c>
      <c r="CL85" s="79" t="n">
        <f aca="false">CF85=O85</f>
        <v>1</v>
      </c>
      <c r="CM85" s="79" t="n">
        <f aca="false">CG85=P85</f>
        <v>1</v>
      </c>
    </row>
    <row r="86" s="14" customFormat="true" ht="16.5" hidden="true" customHeight="true" outlineLevel="2" collapsed="false">
      <c r="E86" s="91"/>
      <c r="H86" s="71"/>
      <c r="I86" s="92" t="n">
        <v>0</v>
      </c>
      <c r="J86" s="92" t="n">
        <v>0</v>
      </c>
      <c r="K86" s="73" t="n">
        <f aca="false">I86-J86</f>
        <v>0</v>
      </c>
      <c r="L86" s="92"/>
      <c r="M86" s="92"/>
      <c r="N86" s="92"/>
      <c r="O86" s="92"/>
      <c r="P86" s="92"/>
      <c r="Q86" s="93"/>
      <c r="R86" s="16" t="str">
        <f aca="false">IF(K86=P86, "", "Error")</f>
        <v/>
      </c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4"/>
      <c r="AF86" s="95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4"/>
      <c r="AR86" s="95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4"/>
      <c r="BD86" s="95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4"/>
      <c r="BP86" s="95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C86" s="79" t="n">
        <f aca="false">SUMIFS($T86:$CA86, $T$1:$CA$1, CC$75)</f>
        <v>0</v>
      </c>
      <c r="CD86" s="79" t="n">
        <f aca="false">SUMIFS($T86:$CA86, $T$1:$CA$1, CD$75)</f>
        <v>0</v>
      </c>
      <c r="CE86" s="79" t="n">
        <f aca="false">SUMIFS($T86:$CA86, $T$1:$CA$1, CE$75)</f>
        <v>0</v>
      </c>
      <c r="CF86" s="79" t="n">
        <f aca="false">SUMIFS($T86:$CA86, $T$1:$CA$1, CF$75)</f>
        <v>0</v>
      </c>
      <c r="CG86" s="79" t="n">
        <f aca="false">SUMIFS($T86:$CA86, $T$1:$CA$1, CG$75)</f>
        <v>0</v>
      </c>
      <c r="CI86" s="79" t="n">
        <f aca="false">CC86=L86</f>
        <v>1</v>
      </c>
      <c r="CJ86" s="79" t="n">
        <f aca="false">CD86=M86</f>
        <v>1</v>
      </c>
      <c r="CK86" s="79" t="n">
        <f aca="false">CE86=N86</f>
        <v>1</v>
      </c>
      <c r="CL86" s="79" t="n">
        <f aca="false">CF86=O86</f>
        <v>1</v>
      </c>
      <c r="CM86" s="79" t="n">
        <f aca="false">CG86=P86</f>
        <v>1</v>
      </c>
    </row>
    <row r="87" s="14" customFormat="true" ht="16.5" hidden="true" customHeight="true" outlineLevel="2" collapsed="false">
      <c r="E87" s="91"/>
      <c r="H87" s="71"/>
      <c r="I87" s="92"/>
      <c r="J87" s="92"/>
      <c r="K87" s="73" t="n">
        <f aca="false">I87-J87</f>
        <v>0</v>
      </c>
      <c r="L87" s="92"/>
      <c r="M87" s="92"/>
      <c r="N87" s="92"/>
      <c r="O87" s="92"/>
      <c r="P87" s="92"/>
      <c r="Q87" s="93"/>
      <c r="R87" s="16" t="str">
        <f aca="false">IF(K87=P87, "", "Error")</f>
        <v/>
      </c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4"/>
      <c r="AF87" s="95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4"/>
      <c r="AR87" s="95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4"/>
      <c r="BD87" s="95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4"/>
      <c r="BP87" s="95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C87" s="79" t="n">
        <f aca="false">SUMIFS($T87:$CA87, $T$1:$CA$1, CC$75)</f>
        <v>0</v>
      </c>
      <c r="CD87" s="79" t="n">
        <f aca="false">SUMIFS($T87:$CA87, $T$1:$CA$1, CD$75)</f>
        <v>0</v>
      </c>
      <c r="CE87" s="79" t="n">
        <f aca="false">SUMIFS($T87:$CA87, $T$1:$CA$1, CE$75)</f>
        <v>0</v>
      </c>
      <c r="CF87" s="79" t="n">
        <f aca="false">SUMIFS($T87:$CA87, $T$1:$CA$1, CF$75)</f>
        <v>0</v>
      </c>
      <c r="CG87" s="79" t="n">
        <f aca="false">SUMIFS($T87:$CA87, $T$1:$CA$1, CG$75)</f>
        <v>0</v>
      </c>
      <c r="CI87" s="79" t="n">
        <f aca="false">CC87=L87</f>
        <v>1</v>
      </c>
      <c r="CJ87" s="79" t="n">
        <f aca="false">CD87=M87</f>
        <v>1</v>
      </c>
      <c r="CK87" s="79" t="n">
        <f aca="false">CE87=N87</f>
        <v>1</v>
      </c>
      <c r="CL87" s="79" t="n">
        <f aca="false">CF87=O87</f>
        <v>1</v>
      </c>
      <c r="CM87" s="79" t="n">
        <f aca="false">CG87=P87</f>
        <v>1</v>
      </c>
    </row>
    <row r="88" s="14" customFormat="true" ht="16.5" hidden="true" customHeight="true" outlineLevel="1" collapsed="true">
      <c r="E88" s="96" t="s">
        <v>130</v>
      </c>
      <c r="H88" s="71"/>
      <c r="I88" s="81" t="n">
        <f aca="false">SUM(I83:I87)</f>
        <v>0</v>
      </c>
      <c r="J88" s="81" t="n">
        <f aca="false">SUM(J83:J87)</f>
        <v>0</v>
      </c>
      <c r="K88" s="81" t="n">
        <f aca="false">SUM(K83:K87)</f>
        <v>0</v>
      </c>
      <c r="L88" s="81" t="n">
        <f aca="false">SUM(L83:L87)</f>
        <v>0</v>
      </c>
      <c r="M88" s="81" t="n">
        <f aca="false">SUM(M83:M87)</f>
        <v>0</v>
      </c>
      <c r="N88" s="81" t="n">
        <f aca="false">SUM(N83:N87)</f>
        <v>0</v>
      </c>
      <c r="O88" s="81" t="n">
        <f aca="false">SUM(O83:O87)</f>
        <v>0</v>
      </c>
      <c r="P88" s="81" t="n">
        <f aca="false">SUM(P83:P87)</f>
        <v>0</v>
      </c>
      <c r="Q88" s="16"/>
      <c r="R88" s="16"/>
      <c r="T88" s="82" t="n">
        <f aca="false">SUM(T83:T87)</f>
        <v>0</v>
      </c>
      <c r="U88" s="82" t="n">
        <f aca="false">SUM(U83:U87)</f>
        <v>0</v>
      </c>
      <c r="V88" s="82" t="n">
        <f aca="false">SUM(V83:V87)</f>
        <v>0</v>
      </c>
      <c r="W88" s="82" t="n">
        <f aca="false">SUM(W83:W87)</f>
        <v>0</v>
      </c>
      <c r="X88" s="82" t="n">
        <f aca="false">SUM(X83:X87)</f>
        <v>0</v>
      </c>
      <c r="Y88" s="82" t="n">
        <f aca="false">SUM(Y83:Y87)</f>
        <v>0</v>
      </c>
      <c r="Z88" s="82" t="n">
        <f aca="false">SUM(Z83:Z87)</f>
        <v>0</v>
      </c>
      <c r="AA88" s="82" t="n">
        <f aca="false">SUM(AA83:AA87)</f>
        <v>0</v>
      </c>
      <c r="AB88" s="82" t="n">
        <f aca="false">SUM(AB83:AB87)</f>
        <v>0</v>
      </c>
      <c r="AC88" s="82" t="n">
        <f aca="false">SUM(AC83:AC87)</f>
        <v>0</v>
      </c>
      <c r="AD88" s="82" t="n">
        <f aca="false">SUM(AD83:AD87)</f>
        <v>0</v>
      </c>
      <c r="AE88" s="82" t="n">
        <f aca="false">SUM(AE83:AE87)</f>
        <v>0</v>
      </c>
      <c r="AF88" s="83" t="n">
        <f aca="false">SUM(AF83:AF87)</f>
        <v>0</v>
      </c>
      <c r="AG88" s="82" t="n">
        <f aca="false">SUM(AG83:AG87)</f>
        <v>0</v>
      </c>
      <c r="AH88" s="82" t="n">
        <f aca="false">SUM(AH83:AH87)</f>
        <v>0</v>
      </c>
      <c r="AI88" s="82" t="n">
        <f aca="false">SUM(AI83:AI87)</f>
        <v>0</v>
      </c>
      <c r="AJ88" s="82" t="n">
        <f aca="false">SUM(AJ83:AJ87)</f>
        <v>0</v>
      </c>
      <c r="AK88" s="82" t="n">
        <f aca="false">SUM(AK83:AK87)</f>
        <v>0</v>
      </c>
      <c r="AL88" s="82" t="n">
        <f aca="false">SUM(AL83:AL87)</f>
        <v>0</v>
      </c>
      <c r="AM88" s="82" t="n">
        <f aca="false">SUM(AM83:AM87)</f>
        <v>0</v>
      </c>
      <c r="AN88" s="82" t="n">
        <f aca="false">SUM(AN83:AN87)</f>
        <v>0</v>
      </c>
      <c r="AO88" s="82" t="n">
        <f aca="false">SUM(AO83:AO87)</f>
        <v>0</v>
      </c>
      <c r="AP88" s="82" t="n">
        <f aca="false">SUM(AP83:AP87)</f>
        <v>0</v>
      </c>
      <c r="AQ88" s="82" t="n">
        <f aca="false">SUM(AQ83:AQ87)</f>
        <v>0</v>
      </c>
      <c r="AR88" s="83" t="n">
        <f aca="false">SUM(AR83:AR87)</f>
        <v>0</v>
      </c>
      <c r="AS88" s="82" t="n">
        <f aca="false">SUM(AS83:AS87)</f>
        <v>0</v>
      </c>
      <c r="AT88" s="82" t="n">
        <f aca="false">SUM(AT83:AT87)</f>
        <v>0</v>
      </c>
      <c r="AU88" s="82" t="n">
        <f aca="false">SUM(AU83:AU87)</f>
        <v>0</v>
      </c>
      <c r="AV88" s="82" t="n">
        <f aca="false">SUM(AV83:AV87)</f>
        <v>0</v>
      </c>
      <c r="AW88" s="82" t="n">
        <f aca="false">SUM(AW83:AW87)</f>
        <v>0</v>
      </c>
      <c r="AX88" s="82" t="n">
        <f aca="false">SUM(AX83:AX87)</f>
        <v>0</v>
      </c>
      <c r="AY88" s="82" t="n">
        <f aca="false">SUM(AY83:AY87)</f>
        <v>0</v>
      </c>
      <c r="AZ88" s="82" t="n">
        <f aca="false">SUM(AZ83:AZ87)</f>
        <v>0</v>
      </c>
      <c r="BA88" s="82" t="n">
        <f aca="false">SUM(BA83:BA87)</f>
        <v>0</v>
      </c>
      <c r="BB88" s="82" t="n">
        <f aca="false">SUM(BB83:BB87)</f>
        <v>0</v>
      </c>
      <c r="BC88" s="82" t="n">
        <f aca="false">SUM(BC83:BC87)</f>
        <v>0</v>
      </c>
      <c r="BD88" s="83" t="n">
        <f aca="false">SUM(BD83:BD87)</f>
        <v>0</v>
      </c>
      <c r="BE88" s="82" t="n">
        <f aca="false">SUM(BE83:BE87)</f>
        <v>0</v>
      </c>
      <c r="BF88" s="82" t="n">
        <f aca="false">SUM(BF83:BF87)</f>
        <v>0</v>
      </c>
      <c r="BG88" s="82" t="n">
        <f aca="false">SUM(BG83:BG87)</f>
        <v>0</v>
      </c>
      <c r="BH88" s="82" t="n">
        <f aca="false">SUM(BH83:BH87)</f>
        <v>0</v>
      </c>
      <c r="BI88" s="82" t="n">
        <f aca="false">SUM(BI83:BI87)</f>
        <v>0</v>
      </c>
      <c r="BJ88" s="82" t="n">
        <f aca="false">SUM(BJ83:BJ87)</f>
        <v>0</v>
      </c>
      <c r="BK88" s="82" t="n">
        <f aca="false">SUM(BK83:BK87)</f>
        <v>0</v>
      </c>
      <c r="BL88" s="82" t="n">
        <f aca="false">SUM(BL83:BL87)</f>
        <v>0</v>
      </c>
      <c r="BM88" s="82" t="n">
        <f aca="false">SUM(BM83:BM87)</f>
        <v>0</v>
      </c>
      <c r="BN88" s="82" t="n">
        <f aca="false">SUM(BN83:BN87)</f>
        <v>0</v>
      </c>
      <c r="BO88" s="82" t="n">
        <f aca="false">SUM(BO83:BO87)</f>
        <v>0</v>
      </c>
      <c r="BP88" s="83" t="n">
        <f aca="false">SUM(BP83:BP87)</f>
        <v>0</v>
      </c>
      <c r="BQ88" s="82" t="n">
        <f aca="false">SUM(BQ83:BQ87)</f>
        <v>0</v>
      </c>
      <c r="BR88" s="82" t="n">
        <f aca="false">SUM(BR83:BR87)</f>
        <v>0</v>
      </c>
      <c r="BS88" s="82" t="n">
        <f aca="false">SUM(BS83:BS87)</f>
        <v>0</v>
      </c>
      <c r="BT88" s="82" t="n">
        <f aca="false">SUM(BT83:BT87)</f>
        <v>0</v>
      </c>
      <c r="BU88" s="82" t="n">
        <f aca="false">SUM(BU83:BU87)</f>
        <v>0</v>
      </c>
      <c r="BV88" s="82" t="n">
        <f aca="false">SUM(BV83:BV87)</f>
        <v>0</v>
      </c>
      <c r="BW88" s="82" t="n">
        <f aca="false">SUM(BW83:BW87)</f>
        <v>0</v>
      </c>
      <c r="BX88" s="82" t="n">
        <f aca="false">SUM(BX83:BX87)</f>
        <v>0</v>
      </c>
      <c r="BY88" s="82" t="n">
        <f aca="false">SUM(BY83:BY87)</f>
        <v>0</v>
      </c>
      <c r="BZ88" s="82" t="n">
        <f aca="false">SUM(BZ83:BZ87)</f>
        <v>0</v>
      </c>
      <c r="CA88" s="82" t="n">
        <f aca="false">SUM(CA83:CA87)</f>
        <v>0</v>
      </c>
      <c r="CC88" s="84" t="n">
        <f aca="false">SUM(CC83:CC87)</f>
        <v>0</v>
      </c>
      <c r="CD88" s="84" t="n">
        <f aca="false">SUM(CD83:CD87)</f>
        <v>0</v>
      </c>
      <c r="CE88" s="84" t="n">
        <f aca="false">SUM(CE83:CE87)</f>
        <v>0</v>
      </c>
      <c r="CF88" s="84" t="n">
        <f aca="false">SUM(CF83:CF87)</f>
        <v>0</v>
      </c>
      <c r="CG88" s="84" t="n">
        <f aca="false">SUM(CG83:CG87)</f>
        <v>0</v>
      </c>
      <c r="CI88" s="84" t="n">
        <f aca="false">CC88=L88</f>
        <v>1</v>
      </c>
      <c r="CJ88" s="84" t="n">
        <f aca="false">CD88=M88</f>
        <v>1</v>
      </c>
      <c r="CK88" s="84" t="n">
        <f aca="false">CE88=N88</f>
        <v>1</v>
      </c>
      <c r="CL88" s="84" t="n">
        <f aca="false">CF88=O88</f>
        <v>1</v>
      </c>
      <c r="CM88" s="84" t="n">
        <f aca="false">CG88=P88</f>
        <v>1</v>
      </c>
    </row>
    <row r="89" s="14" customFormat="true" ht="16.5" hidden="true" customHeight="true" outlineLevel="1" collapsed="false">
      <c r="H89" s="71"/>
      <c r="I89" s="87"/>
      <c r="J89" s="87"/>
      <c r="K89" s="87"/>
      <c r="L89" s="87"/>
      <c r="M89" s="87"/>
      <c r="N89" s="87"/>
      <c r="O89" s="87"/>
      <c r="P89" s="87"/>
      <c r="Q89" s="16"/>
      <c r="R89" s="16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9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9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9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9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C89" s="90"/>
      <c r="CD89" s="90"/>
      <c r="CE89" s="90"/>
      <c r="CF89" s="90"/>
      <c r="CG89" s="90"/>
      <c r="CI89" s="90"/>
      <c r="CJ89" s="90"/>
      <c r="CK89" s="90"/>
      <c r="CL89" s="90"/>
      <c r="CM89" s="90"/>
    </row>
    <row r="90" s="14" customFormat="true" ht="16.5" hidden="false" customHeight="true" outlineLevel="0" collapsed="false">
      <c r="E90" s="21" t="s">
        <v>131</v>
      </c>
      <c r="H90" s="71"/>
      <c r="I90" s="87"/>
      <c r="J90" s="87"/>
      <c r="K90" s="87"/>
      <c r="L90" s="87"/>
      <c r="M90" s="87"/>
      <c r="N90" s="87"/>
      <c r="O90" s="87"/>
      <c r="P90" s="87"/>
      <c r="Q90" s="16"/>
      <c r="R90" s="16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9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9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9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9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C90" s="90"/>
      <c r="CD90" s="90"/>
      <c r="CE90" s="90"/>
      <c r="CF90" s="90"/>
      <c r="CG90" s="90"/>
      <c r="CI90" s="90"/>
      <c r="CJ90" s="90"/>
      <c r="CK90" s="90"/>
      <c r="CL90" s="90"/>
      <c r="CM90" s="90"/>
    </row>
    <row r="91" s="14" customFormat="true" ht="16.5" hidden="false" customHeight="true" outlineLevel="0" collapsed="false">
      <c r="E91" s="91" t="s">
        <v>132</v>
      </c>
      <c r="H91" s="71"/>
      <c r="I91" s="97" t="n">
        <f aca="false">J29</f>
        <v>25</v>
      </c>
      <c r="J91" s="97" t="n">
        <f aca="false">J36</f>
        <v>13</v>
      </c>
      <c r="K91" s="98" t="n">
        <f aca="false">I91-J91</f>
        <v>12</v>
      </c>
      <c r="L91" s="97"/>
      <c r="M91" s="97"/>
      <c r="N91" s="97" t="n">
        <f aca="false">K91</f>
        <v>12</v>
      </c>
      <c r="O91" s="97" t="n">
        <f aca="false">N91</f>
        <v>12</v>
      </c>
      <c r="P91" s="97" t="n">
        <f aca="false">O91</f>
        <v>12</v>
      </c>
      <c r="Q91" s="93" t="s">
        <v>133</v>
      </c>
      <c r="R91" s="16" t="str">
        <f aca="false">IF(K91=P91, "", "Error")</f>
        <v/>
      </c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4"/>
      <c r="AF91" s="95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4"/>
      <c r="AR91" s="99" t="n">
        <f aca="false">$P$91/12</f>
        <v>1</v>
      </c>
      <c r="AS91" s="99" t="n">
        <f aca="false">$P$91/12</f>
        <v>1</v>
      </c>
      <c r="AT91" s="99" t="n">
        <f aca="false">$P$91/12</f>
        <v>1</v>
      </c>
      <c r="AU91" s="99" t="n">
        <f aca="false">$P$91/12</f>
        <v>1</v>
      </c>
      <c r="AV91" s="99" t="n">
        <f aca="false">$P$91/12</f>
        <v>1</v>
      </c>
      <c r="AW91" s="99" t="n">
        <f aca="false">$P$91/12</f>
        <v>1</v>
      </c>
      <c r="AX91" s="99" t="n">
        <f aca="false">$P$91/12</f>
        <v>1</v>
      </c>
      <c r="AY91" s="99" t="n">
        <f aca="false">$P$91/12</f>
        <v>1</v>
      </c>
      <c r="AZ91" s="99" t="n">
        <f aca="false">$P$91/12</f>
        <v>1</v>
      </c>
      <c r="BA91" s="99" t="n">
        <f aca="false">$P$91/12</f>
        <v>1</v>
      </c>
      <c r="BB91" s="99" t="n">
        <f aca="false">$P$91/12</f>
        <v>1</v>
      </c>
      <c r="BC91" s="99" t="n">
        <f aca="false">$P$91/12</f>
        <v>1</v>
      </c>
      <c r="BD91" s="99" t="n">
        <f aca="false">$P$91/12</f>
        <v>1</v>
      </c>
      <c r="BE91" s="99" t="n">
        <f aca="false">$P$91/12</f>
        <v>1</v>
      </c>
      <c r="BF91" s="99" t="n">
        <f aca="false">$P$91/12</f>
        <v>1</v>
      </c>
      <c r="BG91" s="99" t="n">
        <f aca="false">$P$91/12</f>
        <v>1</v>
      </c>
      <c r="BH91" s="99" t="n">
        <f aca="false">$P$91/12</f>
        <v>1</v>
      </c>
      <c r="BI91" s="99" t="n">
        <f aca="false">$P$91/12</f>
        <v>1</v>
      </c>
      <c r="BJ91" s="99" t="n">
        <f aca="false">$P$91/12</f>
        <v>1</v>
      </c>
      <c r="BK91" s="99" t="n">
        <f aca="false">$P$91/12</f>
        <v>1</v>
      </c>
      <c r="BL91" s="99" t="n">
        <f aca="false">$P$91/12</f>
        <v>1</v>
      </c>
      <c r="BM91" s="99" t="n">
        <f aca="false">$P$91/12</f>
        <v>1</v>
      </c>
      <c r="BN91" s="99" t="n">
        <f aca="false">$P$91/12</f>
        <v>1</v>
      </c>
      <c r="BO91" s="99" t="n">
        <f aca="false">$P$91/12</f>
        <v>1</v>
      </c>
      <c r="BP91" s="99" t="n">
        <f aca="false">$P$91/12</f>
        <v>1</v>
      </c>
      <c r="BQ91" s="99" t="n">
        <f aca="false">$P$91/12</f>
        <v>1</v>
      </c>
      <c r="BR91" s="99" t="n">
        <f aca="false">$P$91/12</f>
        <v>1</v>
      </c>
      <c r="BS91" s="99" t="n">
        <f aca="false">$P$91/12</f>
        <v>1</v>
      </c>
      <c r="BT91" s="99" t="n">
        <f aca="false">$P$91/12</f>
        <v>1</v>
      </c>
      <c r="BU91" s="99" t="n">
        <f aca="false">$P$91/12</f>
        <v>1</v>
      </c>
      <c r="BV91" s="99" t="n">
        <f aca="false">$P$91/12</f>
        <v>1</v>
      </c>
      <c r="BW91" s="99" t="n">
        <f aca="false">$P$91/12</f>
        <v>1</v>
      </c>
      <c r="BX91" s="99" t="n">
        <f aca="false">$P$91/12</f>
        <v>1</v>
      </c>
      <c r="BY91" s="99" t="n">
        <f aca="false">$P$91/12</f>
        <v>1</v>
      </c>
      <c r="BZ91" s="99" t="n">
        <f aca="false">$P$91/12</f>
        <v>1</v>
      </c>
      <c r="CA91" s="99" t="n">
        <f aca="false">$P$91/12</f>
        <v>1</v>
      </c>
      <c r="CB91" s="95" t="n">
        <f aca="false">20/12</f>
        <v>1.66666666666667</v>
      </c>
      <c r="CC91" s="79" t="n">
        <f aca="false">SUMIFS($T91:$CA91, $T$1:$CA$1, CC$75)</f>
        <v>0</v>
      </c>
      <c r="CD91" s="79"/>
      <c r="CE91" s="79" t="n">
        <f aca="false">SUMIFS($T91:$CA91, $T$1:$CA$1, CE$75)</f>
        <v>12</v>
      </c>
      <c r="CF91" s="79" t="n">
        <f aca="false">SUMIFS($T91:$CA91, $T$1:$CA$1, CF$75)</f>
        <v>12</v>
      </c>
      <c r="CG91" s="79" t="n">
        <f aca="false">SUMIFS($T91:$CA91, $T$1:$CA$1, CG$75)</f>
        <v>12</v>
      </c>
      <c r="CI91" s="79" t="n">
        <f aca="false">CC91=L91</f>
        <v>1</v>
      </c>
      <c r="CJ91" s="79" t="n">
        <f aca="false">CD91=M91</f>
        <v>1</v>
      </c>
      <c r="CK91" s="79" t="n">
        <f aca="false">CE91=N91</f>
        <v>1</v>
      </c>
      <c r="CL91" s="79" t="n">
        <f aca="false">CF91=O91</f>
        <v>1</v>
      </c>
      <c r="CM91" s="79" t="n">
        <f aca="false">CG91=P91</f>
        <v>1</v>
      </c>
    </row>
    <row r="92" s="14" customFormat="true" ht="16.5" hidden="true" customHeight="true" outlineLevel="1" collapsed="false">
      <c r="E92" s="91"/>
      <c r="H92" s="71"/>
      <c r="I92" s="100" t="n">
        <v>0</v>
      </c>
      <c r="J92" s="100" t="n">
        <v>0</v>
      </c>
      <c r="K92" s="101" t="n">
        <f aca="false">I92-J92</f>
        <v>0</v>
      </c>
      <c r="L92" s="100"/>
      <c r="M92" s="100"/>
      <c r="N92" s="100"/>
      <c r="O92" s="100"/>
      <c r="P92" s="100"/>
      <c r="Q92" s="93"/>
      <c r="R92" s="16" t="str">
        <f aca="false">IF(K92=P92, "", "Error")</f>
        <v/>
      </c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4"/>
      <c r="AF92" s="95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4"/>
      <c r="AR92" s="95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4"/>
      <c r="BD92" s="95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4"/>
      <c r="BP92" s="95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C92" s="79" t="n">
        <f aca="false">SUMIFS($T92:$CA92, $T$1:$CA$1, CC$75)</f>
        <v>0</v>
      </c>
      <c r="CD92" s="79" t="n">
        <f aca="false">SUMIFS($T92:$CA92, $T$1:$CA$1, CD$75)</f>
        <v>0</v>
      </c>
      <c r="CE92" s="79" t="n">
        <f aca="false">SUMIFS($T92:$CA92, $T$1:$CA$1, CE$75)</f>
        <v>0</v>
      </c>
      <c r="CF92" s="79" t="n">
        <f aca="false">SUMIFS($T92:$CA92, $T$1:$CA$1, CF$75)</f>
        <v>0</v>
      </c>
      <c r="CG92" s="79" t="n">
        <f aca="false">SUMIFS($T92:$CA92, $T$1:$CA$1, CG$75)</f>
        <v>0</v>
      </c>
      <c r="CI92" s="79" t="n">
        <f aca="false">CC92=L92</f>
        <v>1</v>
      </c>
      <c r="CJ92" s="79" t="n">
        <f aca="false">CD92=M92</f>
        <v>1</v>
      </c>
      <c r="CK92" s="79" t="n">
        <f aca="false">CE92=N92</f>
        <v>1</v>
      </c>
      <c r="CL92" s="79" t="n">
        <f aca="false">CF92=O92</f>
        <v>1</v>
      </c>
      <c r="CM92" s="79" t="n">
        <f aca="false">CG92=P92</f>
        <v>1</v>
      </c>
    </row>
    <row r="93" s="14" customFormat="true" ht="16.5" hidden="true" customHeight="true" outlineLevel="1" collapsed="false">
      <c r="E93" s="91"/>
      <c r="H93" s="71"/>
      <c r="I93" s="100" t="n">
        <v>0</v>
      </c>
      <c r="J93" s="100" t="n">
        <v>0</v>
      </c>
      <c r="K93" s="101" t="n">
        <f aca="false">I93-J93</f>
        <v>0</v>
      </c>
      <c r="L93" s="100"/>
      <c r="M93" s="100"/>
      <c r="N93" s="100"/>
      <c r="O93" s="100"/>
      <c r="P93" s="100"/>
      <c r="Q93" s="93"/>
      <c r="R93" s="16" t="str">
        <f aca="false">IF(K93=P93, "", "Error")</f>
        <v/>
      </c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4"/>
      <c r="AF93" s="95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4"/>
      <c r="AR93" s="95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4"/>
      <c r="BD93" s="95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4"/>
      <c r="BP93" s="95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C93" s="79" t="n">
        <f aca="false">SUMIFS($T93:$CA93, $T$1:$CA$1, CC$75)</f>
        <v>0</v>
      </c>
      <c r="CD93" s="79" t="n">
        <f aca="false">SUMIFS($T93:$CA93, $T$1:$CA$1, CD$75)</f>
        <v>0</v>
      </c>
      <c r="CE93" s="79" t="n">
        <f aca="false">SUMIFS($T93:$CA93, $T$1:$CA$1, CE$75)</f>
        <v>0</v>
      </c>
      <c r="CF93" s="79" t="n">
        <f aca="false">SUMIFS($T93:$CA93, $T$1:$CA$1, CF$75)</f>
        <v>0</v>
      </c>
      <c r="CG93" s="79" t="n">
        <f aca="false">SUMIFS($T93:$CA93, $T$1:$CA$1, CG$75)</f>
        <v>0</v>
      </c>
      <c r="CI93" s="79" t="n">
        <f aca="false">CC93=L93</f>
        <v>1</v>
      </c>
      <c r="CJ93" s="79" t="n">
        <f aca="false">CD93=M93</f>
        <v>1</v>
      </c>
      <c r="CK93" s="79" t="n">
        <f aca="false">CE93=N93</f>
        <v>1</v>
      </c>
      <c r="CL93" s="79" t="n">
        <f aca="false">CF93=O93</f>
        <v>1</v>
      </c>
      <c r="CM93" s="79" t="n">
        <f aca="false">CG93=P93</f>
        <v>1</v>
      </c>
    </row>
    <row r="94" s="14" customFormat="true" ht="16.5" hidden="true" customHeight="true" outlineLevel="1" collapsed="false">
      <c r="E94" s="91"/>
      <c r="H94" s="71"/>
      <c r="I94" s="100" t="n">
        <v>0</v>
      </c>
      <c r="J94" s="100" t="n">
        <v>0</v>
      </c>
      <c r="K94" s="101" t="n">
        <f aca="false">I94-J94</f>
        <v>0</v>
      </c>
      <c r="L94" s="100"/>
      <c r="M94" s="100"/>
      <c r="N94" s="100"/>
      <c r="O94" s="100"/>
      <c r="P94" s="100"/>
      <c r="Q94" s="93"/>
      <c r="R94" s="16" t="str">
        <f aca="false">IF(K94=P94, "", "Error")</f>
        <v/>
      </c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4"/>
      <c r="AF94" s="95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4"/>
      <c r="AR94" s="95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4"/>
      <c r="BD94" s="95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4"/>
      <c r="BP94" s="95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C94" s="79" t="n">
        <f aca="false">SUMIFS($T94:$CA94, $T$1:$CA$1, CC$75)</f>
        <v>0</v>
      </c>
      <c r="CD94" s="79" t="n">
        <f aca="false">SUMIFS($T94:$CA94, $T$1:$CA$1, CD$75)</f>
        <v>0</v>
      </c>
      <c r="CE94" s="79" t="n">
        <f aca="false">SUMIFS($T94:$CA94, $T$1:$CA$1, CE$75)</f>
        <v>0</v>
      </c>
      <c r="CF94" s="79" t="n">
        <f aca="false">SUMIFS($T94:$CA94, $T$1:$CA$1, CF$75)</f>
        <v>0</v>
      </c>
      <c r="CG94" s="79" t="n">
        <f aca="false">SUMIFS($T94:$CA94, $T$1:$CA$1, CG$75)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true" customHeight="true" outlineLevel="1" collapsed="false">
      <c r="E95" s="91"/>
      <c r="H95" s="71"/>
      <c r="I95" s="100" t="n">
        <v>0</v>
      </c>
      <c r="J95" s="100" t="n">
        <v>0</v>
      </c>
      <c r="K95" s="101" t="n">
        <f aca="false">I95-J95</f>
        <v>0</v>
      </c>
      <c r="L95" s="100"/>
      <c r="M95" s="100"/>
      <c r="N95" s="100"/>
      <c r="O95" s="100"/>
      <c r="P95" s="100"/>
      <c r="Q95" s="93"/>
      <c r="R95" s="16" t="str">
        <f aca="false">IF(K95=P95, "", "Error")</f>
        <v/>
      </c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4"/>
      <c r="AF95" s="95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4"/>
      <c r="AR95" s="95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4"/>
      <c r="BD95" s="95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4"/>
      <c r="BP95" s="95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C95" s="79" t="n">
        <f aca="false">SUMIFS($T95:$CA95, $T$1:$CA$1, CC$75)</f>
        <v>0</v>
      </c>
      <c r="CD95" s="79" t="n">
        <f aca="false">SUMIFS($T95:$CA95, $T$1:$CA$1, CD$75)</f>
        <v>0</v>
      </c>
      <c r="CE95" s="79" t="n">
        <f aca="false">SUMIFS($T95:$CA95, $T$1:$CA$1, CE$75)</f>
        <v>0</v>
      </c>
      <c r="CF95" s="79" t="n">
        <f aca="false">SUMIFS($T95:$CA95, $T$1:$CA$1, CF$75)</f>
        <v>0</v>
      </c>
      <c r="CG95" s="79" t="n">
        <f aca="false">SUMIFS($T95:$CA95, $T$1:$CA$1, CG$75)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96" t="s">
        <v>134</v>
      </c>
      <c r="H96" s="71"/>
      <c r="I96" s="102" t="n">
        <f aca="false">SUM(I91:I95)</f>
        <v>25</v>
      </c>
      <c r="J96" s="102" t="n">
        <f aca="false">SUM(J91:J95)</f>
        <v>13</v>
      </c>
      <c r="K96" s="102" t="n">
        <f aca="false">SUM(K91:K95)</f>
        <v>12</v>
      </c>
      <c r="L96" s="102" t="n">
        <f aca="false">SUM(L91:L95)</f>
        <v>0</v>
      </c>
      <c r="M96" s="102" t="n">
        <f aca="false">SUM(M91:M95)</f>
        <v>0</v>
      </c>
      <c r="N96" s="102" t="n">
        <f aca="false">SUM(N91:N95)</f>
        <v>12</v>
      </c>
      <c r="O96" s="102" t="n">
        <f aca="false">SUM(O91:O95)</f>
        <v>12</v>
      </c>
      <c r="P96" s="102" t="n">
        <f aca="false">SUM(P91:P95)</f>
        <v>12</v>
      </c>
      <c r="Q96" s="103"/>
      <c r="R96" s="103"/>
      <c r="S96" s="104"/>
      <c r="T96" s="105" t="n">
        <f aca="false">SUM(T91:T95)</f>
        <v>0</v>
      </c>
      <c r="U96" s="105" t="n">
        <f aca="false">SUM(U91:U95)</f>
        <v>0</v>
      </c>
      <c r="V96" s="105" t="n">
        <f aca="false">SUM(V91:V95)</f>
        <v>0</v>
      </c>
      <c r="W96" s="105" t="n">
        <f aca="false">SUM(W91:W95)</f>
        <v>0</v>
      </c>
      <c r="X96" s="105" t="n">
        <f aca="false">SUM(X91:X95)</f>
        <v>0</v>
      </c>
      <c r="Y96" s="105" t="n">
        <f aca="false">SUM(Y91:Y95)</f>
        <v>0</v>
      </c>
      <c r="Z96" s="105" t="n">
        <f aca="false">SUM(Z91:Z95)</f>
        <v>0</v>
      </c>
      <c r="AA96" s="105" t="n">
        <f aca="false">SUM(AA91:AA95)</f>
        <v>0</v>
      </c>
      <c r="AB96" s="105" t="n">
        <f aca="false">SUM(AB91:AB95)</f>
        <v>0</v>
      </c>
      <c r="AC96" s="105" t="n">
        <f aca="false">SUM(AC91:AC95)</f>
        <v>0</v>
      </c>
      <c r="AD96" s="105" t="n">
        <f aca="false">SUM(AD91:AD95)</f>
        <v>0</v>
      </c>
      <c r="AE96" s="105" t="n">
        <f aca="false">SUM(AE91:AE95)</f>
        <v>0</v>
      </c>
      <c r="AF96" s="106" t="n">
        <f aca="false">SUM(AF91:AF95)</f>
        <v>0</v>
      </c>
      <c r="AG96" s="105" t="n">
        <f aca="false">SUM(AG91:AG95)</f>
        <v>0</v>
      </c>
      <c r="AH96" s="105" t="n">
        <f aca="false">SUM(AH91:AH95)</f>
        <v>0</v>
      </c>
      <c r="AI96" s="105" t="n">
        <f aca="false">SUM(AI91:AI95)</f>
        <v>0</v>
      </c>
      <c r="AJ96" s="105" t="n">
        <f aca="false">SUM(AJ91:AJ95)</f>
        <v>0</v>
      </c>
      <c r="AK96" s="105" t="n">
        <f aca="false">SUM(AK91:AK95)</f>
        <v>0</v>
      </c>
      <c r="AL96" s="105" t="n">
        <f aca="false">SUM(AL91:AL95)</f>
        <v>0</v>
      </c>
      <c r="AM96" s="105" t="n">
        <f aca="false">SUM(AM91:AM95)</f>
        <v>0</v>
      </c>
      <c r="AN96" s="105" t="n">
        <f aca="false">SUM(AN91:AN95)</f>
        <v>0</v>
      </c>
      <c r="AO96" s="105" t="n">
        <f aca="false">SUM(AO91:AO95)</f>
        <v>0</v>
      </c>
      <c r="AP96" s="105" t="n">
        <f aca="false">SUM(AP91:AP95)</f>
        <v>0</v>
      </c>
      <c r="AQ96" s="105" t="n">
        <f aca="false">SUM(AQ91:AQ95)</f>
        <v>0</v>
      </c>
      <c r="AR96" s="106" t="n">
        <f aca="false">SUM(AR91:AR95)</f>
        <v>1</v>
      </c>
      <c r="AS96" s="105" t="n">
        <f aca="false">SUM(AS91:AS95)</f>
        <v>1</v>
      </c>
      <c r="AT96" s="105" t="n">
        <f aca="false">SUM(AT91:AT95)</f>
        <v>1</v>
      </c>
      <c r="AU96" s="105" t="n">
        <f aca="false">SUM(AU91:AU95)</f>
        <v>1</v>
      </c>
      <c r="AV96" s="105" t="n">
        <f aca="false">SUM(AV91:AV95)</f>
        <v>1</v>
      </c>
      <c r="AW96" s="105" t="n">
        <f aca="false">SUM(AW91:AW95)</f>
        <v>1</v>
      </c>
      <c r="AX96" s="105" t="n">
        <f aca="false">SUM(AX91:AX95)</f>
        <v>1</v>
      </c>
      <c r="AY96" s="105" t="n">
        <f aca="false">SUM(AY91:AY95)</f>
        <v>1</v>
      </c>
      <c r="AZ96" s="105" t="n">
        <f aca="false">SUM(AZ91:AZ95)</f>
        <v>1</v>
      </c>
      <c r="BA96" s="105" t="n">
        <f aca="false">SUM(BA91:BA95)</f>
        <v>1</v>
      </c>
      <c r="BB96" s="105" t="n">
        <f aca="false">SUM(BB91:BB95)</f>
        <v>1</v>
      </c>
      <c r="BC96" s="105" t="n">
        <f aca="false">SUM(BC91:BC95)</f>
        <v>1</v>
      </c>
      <c r="BD96" s="106" t="n">
        <f aca="false">SUM(BD91:BD95)</f>
        <v>1</v>
      </c>
      <c r="BE96" s="105" t="n">
        <f aca="false">SUM(BE91:BE95)</f>
        <v>1</v>
      </c>
      <c r="BF96" s="105" t="n">
        <f aca="false">SUM(BF91:BF95)</f>
        <v>1</v>
      </c>
      <c r="BG96" s="105" t="n">
        <f aca="false">SUM(BG91:BG95)</f>
        <v>1</v>
      </c>
      <c r="BH96" s="105" t="n">
        <f aca="false">SUM(BH91:BH95)</f>
        <v>1</v>
      </c>
      <c r="BI96" s="105" t="n">
        <f aca="false">SUM(BI91:BI95)</f>
        <v>1</v>
      </c>
      <c r="BJ96" s="105" t="n">
        <f aca="false">SUM(BJ91:BJ95)</f>
        <v>1</v>
      </c>
      <c r="BK96" s="105" t="n">
        <f aca="false">SUM(BK91:BK95)</f>
        <v>1</v>
      </c>
      <c r="BL96" s="105" t="n">
        <f aca="false">SUM(BL91:BL95)</f>
        <v>1</v>
      </c>
      <c r="BM96" s="105" t="n">
        <f aca="false">SUM(BM91:BM95)</f>
        <v>1</v>
      </c>
      <c r="BN96" s="105" t="n">
        <f aca="false">SUM(BN91:BN95)</f>
        <v>1</v>
      </c>
      <c r="BO96" s="105" t="n">
        <f aca="false">SUM(BO91:BO95)</f>
        <v>1</v>
      </c>
      <c r="BP96" s="106" t="n">
        <f aca="false">SUM(BP91:BP95)</f>
        <v>1</v>
      </c>
      <c r="BQ96" s="105" t="n">
        <f aca="false">SUM(BQ91:BQ95)</f>
        <v>1</v>
      </c>
      <c r="BR96" s="105" t="n">
        <f aca="false">SUM(BR91:BR95)</f>
        <v>1</v>
      </c>
      <c r="BS96" s="105" t="n">
        <f aca="false">SUM(BS91:BS95)</f>
        <v>1</v>
      </c>
      <c r="BT96" s="105" t="n">
        <f aca="false">SUM(BT91:BT95)</f>
        <v>1</v>
      </c>
      <c r="BU96" s="105" t="n">
        <f aca="false">SUM(BU91:BU95)</f>
        <v>1</v>
      </c>
      <c r="BV96" s="105" t="n">
        <f aca="false">SUM(BV91:BV95)</f>
        <v>1</v>
      </c>
      <c r="BW96" s="105" t="n">
        <f aca="false">SUM(BW91:BW95)</f>
        <v>1</v>
      </c>
      <c r="BX96" s="105" t="n">
        <f aca="false">SUM(BX91:BX95)</f>
        <v>1</v>
      </c>
      <c r="BY96" s="105" t="n">
        <f aca="false">SUM(BY91:BY95)</f>
        <v>1</v>
      </c>
      <c r="BZ96" s="105" t="n">
        <f aca="false">SUM(BZ91:BZ95)</f>
        <v>1</v>
      </c>
      <c r="CA96" s="105" t="n">
        <f aca="false">SUM(CA91:CA95)</f>
        <v>1</v>
      </c>
      <c r="CB96" s="104"/>
      <c r="CC96" s="105" t="n">
        <f aca="false">SUM(CC91:CC95)</f>
        <v>0</v>
      </c>
      <c r="CD96" s="105" t="n">
        <f aca="false">SUM(CD91:CD95)</f>
        <v>0</v>
      </c>
      <c r="CE96" s="105" t="n">
        <f aca="false">SUM(CE91:CE95)</f>
        <v>12</v>
      </c>
      <c r="CF96" s="105" t="n">
        <f aca="false">SUM(CF91:CF95)</f>
        <v>12</v>
      </c>
      <c r="CG96" s="105" t="n">
        <f aca="false">SUM(CG91:CG95)</f>
        <v>12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true" customHeight="true" outlineLevel="1" collapsed="false">
      <c r="E97" s="96"/>
      <c r="H97" s="71"/>
      <c r="I97" s="107"/>
      <c r="J97" s="107"/>
      <c r="K97" s="107"/>
      <c r="L97" s="107"/>
      <c r="M97" s="107"/>
      <c r="N97" s="107"/>
      <c r="O97" s="107"/>
      <c r="P97" s="107"/>
      <c r="Q97" s="16"/>
      <c r="R97" s="16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3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3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3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3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C97" s="84"/>
      <c r="CD97" s="84"/>
      <c r="CE97" s="84"/>
      <c r="CF97" s="84"/>
      <c r="CG97" s="84"/>
      <c r="CI97" s="84"/>
      <c r="CJ97" s="84"/>
      <c r="CK97" s="84"/>
      <c r="CL97" s="84"/>
      <c r="CM97" s="84"/>
    </row>
    <row r="98" s="14" customFormat="true" ht="16.5" hidden="true" customHeight="true" outlineLevel="1" collapsed="false">
      <c r="E98" s="96"/>
      <c r="H98" s="71"/>
      <c r="I98" s="107"/>
      <c r="J98" s="107"/>
      <c r="K98" s="107"/>
      <c r="L98" s="107"/>
      <c r="M98" s="107"/>
      <c r="N98" s="107"/>
      <c r="O98" s="107"/>
      <c r="P98" s="107"/>
      <c r="Q98" s="16"/>
      <c r="R98" s="16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3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3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3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3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C98" s="84"/>
      <c r="CD98" s="84"/>
      <c r="CE98" s="84"/>
      <c r="CF98" s="84"/>
      <c r="CG98" s="84"/>
      <c r="CI98" s="84"/>
      <c r="CJ98" s="84"/>
      <c r="CK98" s="84"/>
      <c r="CL98" s="84"/>
      <c r="CM98" s="84"/>
    </row>
    <row r="99" s="14" customFormat="true" ht="16.5" hidden="true" customHeight="true" outlineLevel="1" collapsed="false">
      <c r="E99" s="85"/>
      <c r="H99" s="71"/>
      <c r="I99" s="108"/>
      <c r="J99" s="108"/>
      <c r="K99" s="108"/>
      <c r="L99" s="108"/>
      <c r="M99" s="108"/>
      <c r="N99" s="108"/>
      <c r="O99" s="108"/>
      <c r="P99" s="108"/>
      <c r="Q99" s="16"/>
      <c r="R99" s="16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9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9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9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9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C99" s="90"/>
      <c r="CD99" s="90"/>
      <c r="CE99" s="90"/>
      <c r="CF99" s="90"/>
      <c r="CG99" s="90"/>
      <c r="CI99" s="90"/>
      <c r="CJ99" s="90"/>
      <c r="CK99" s="90"/>
      <c r="CL99" s="90"/>
      <c r="CM99" s="90"/>
    </row>
    <row r="100" s="14" customFormat="true" ht="16.5" hidden="false" customHeight="true" outlineLevel="0" collapsed="false">
      <c r="E100" s="109" t="s">
        <v>135</v>
      </c>
      <c r="F100" s="109"/>
      <c r="G100" s="109"/>
      <c r="H100" s="110"/>
      <c r="I100" s="111" t="n">
        <f aca="false">SUM(I80, I88, I96)</f>
        <v>25</v>
      </c>
      <c r="J100" s="111" t="n">
        <f aca="false">SUM(J80, J88, J96)</f>
        <v>13</v>
      </c>
      <c r="K100" s="111" t="n">
        <f aca="false">SUM(-K80, K88, K96)</f>
        <v>12</v>
      </c>
      <c r="L100" s="111" t="n">
        <f aca="false">SUM(L80, L88, L96)</f>
        <v>0</v>
      </c>
      <c r="M100" s="111" t="n">
        <f aca="false">SUM(M80, M88, M96)</f>
        <v>0</v>
      </c>
      <c r="N100" s="111" t="n">
        <f aca="false">SUM(N80, N88, N96)</f>
        <v>12</v>
      </c>
      <c r="O100" s="111" t="n">
        <f aca="false">SUM(O80, O88, O96)</f>
        <v>12</v>
      </c>
      <c r="P100" s="111" t="n">
        <f aca="false">SUM(P80, P88, P96)</f>
        <v>12</v>
      </c>
      <c r="Q100" s="16"/>
      <c r="R100" s="16"/>
      <c r="T100" s="112" t="n">
        <f aca="false">SUM(T80, T88, T96)</f>
        <v>0</v>
      </c>
      <c r="U100" s="112" t="n">
        <f aca="false">SUM(U80, U88, U96)</f>
        <v>0</v>
      </c>
      <c r="V100" s="112" t="n">
        <f aca="false">SUM(V80, V88, V96)</f>
        <v>0</v>
      </c>
      <c r="W100" s="112" t="n">
        <f aca="false">SUM(W80, W88, W96)</f>
        <v>0</v>
      </c>
      <c r="X100" s="112" t="n">
        <f aca="false">SUM(X80, X88, X96)</f>
        <v>0</v>
      </c>
      <c r="Y100" s="112" t="n">
        <f aca="false">SUM(Y80, Y88, Y96)</f>
        <v>0</v>
      </c>
      <c r="Z100" s="112" t="n">
        <f aca="false">SUM(Z80, Z88, Z96)</f>
        <v>0</v>
      </c>
      <c r="AA100" s="112" t="n">
        <f aca="false">SUM(AA80, AA88, AA96)</f>
        <v>0</v>
      </c>
      <c r="AB100" s="112" t="n">
        <f aca="false">SUM(AB80, AB88, AB96)</f>
        <v>0</v>
      </c>
      <c r="AC100" s="112" t="n">
        <f aca="false">SUM(AC80, AC88, AC96)</f>
        <v>0</v>
      </c>
      <c r="AD100" s="112" t="n">
        <f aca="false">SUM(AD80, AD88, AD96)</f>
        <v>0</v>
      </c>
      <c r="AE100" s="112" t="n">
        <f aca="false">SUM(AE80, AE88, AE96)</f>
        <v>0</v>
      </c>
      <c r="AF100" s="112" t="n">
        <f aca="false">SUM(AF80, AF88, AF96)</f>
        <v>0</v>
      </c>
      <c r="AG100" s="112" t="n">
        <f aca="false">SUM(AG80, AG88, AG96)</f>
        <v>0</v>
      </c>
      <c r="AH100" s="112" t="n">
        <f aca="false">SUM(AH80, AH88, AH96)</f>
        <v>0</v>
      </c>
      <c r="AI100" s="112" t="n">
        <f aca="false">SUM(AI80, AI88, AI96)</f>
        <v>0</v>
      </c>
      <c r="AJ100" s="112" t="n">
        <f aca="false">SUM(AJ80, AJ88, AJ96)</f>
        <v>0</v>
      </c>
      <c r="AK100" s="112" t="n">
        <f aca="false">SUM(AK80, AK88, AK96)</f>
        <v>0</v>
      </c>
      <c r="AL100" s="112" t="n">
        <f aca="false">SUM(AL80, AL88, AL96)</f>
        <v>0</v>
      </c>
      <c r="AM100" s="112" t="n">
        <f aca="false">SUM(AM80, AM88, AM96)</f>
        <v>0</v>
      </c>
      <c r="AN100" s="112" t="n">
        <f aca="false">SUM(AN80, AN88, AN96)</f>
        <v>0</v>
      </c>
      <c r="AO100" s="112" t="n">
        <f aca="false">SUM(AO80, AO88, AO96)</f>
        <v>0</v>
      </c>
      <c r="AP100" s="112" t="n">
        <f aca="false">SUM(AP80, AP88, AP96)</f>
        <v>0</v>
      </c>
      <c r="AQ100" s="112" t="n">
        <f aca="false">SUM(AQ80, AQ88, AQ96)</f>
        <v>0</v>
      </c>
      <c r="AR100" s="112" t="n">
        <f aca="false">SUM(AR80, AR88, AR96)</f>
        <v>1</v>
      </c>
      <c r="AS100" s="112" t="n">
        <f aca="false">SUM(AS80, AS88, AS96)</f>
        <v>1</v>
      </c>
      <c r="AT100" s="112" t="n">
        <f aca="false">SUM(AT80, AT88, AT96)</f>
        <v>1</v>
      </c>
      <c r="AU100" s="112" t="n">
        <f aca="false">SUM(AU80, AU88, AU96)</f>
        <v>1</v>
      </c>
      <c r="AV100" s="112" t="n">
        <f aca="false">SUM(AV80, AV88, AV96)</f>
        <v>1</v>
      </c>
      <c r="AW100" s="112" t="n">
        <f aca="false">SUM(AW80, AW88, AW96)</f>
        <v>1</v>
      </c>
      <c r="AX100" s="112" t="n">
        <f aca="false">SUM(AX80, AX88, AX96)</f>
        <v>1</v>
      </c>
      <c r="AY100" s="112" t="n">
        <f aca="false">SUM(AY80, AY88, AY96)</f>
        <v>1</v>
      </c>
      <c r="AZ100" s="112" t="n">
        <f aca="false">SUM(AZ80, AZ88, AZ96)</f>
        <v>1</v>
      </c>
      <c r="BA100" s="112" t="n">
        <f aca="false">SUM(BA80, BA88, BA96)</f>
        <v>1</v>
      </c>
      <c r="BB100" s="112" t="n">
        <f aca="false">SUM(BB80, BB88, BB96)</f>
        <v>1</v>
      </c>
      <c r="BC100" s="112" t="n">
        <f aca="false">SUM(BC80, BC88, BC96)</f>
        <v>1</v>
      </c>
      <c r="BD100" s="112" t="n">
        <f aca="false">SUM(BD80, BD88, BD96)</f>
        <v>1</v>
      </c>
      <c r="BE100" s="112" t="n">
        <f aca="false">SUM(BE80, BE88, BE96)</f>
        <v>1</v>
      </c>
      <c r="BF100" s="112" t="n">
        <f aca="false">SUM(BF80, BF88, BF96)</f>
        <v>1</v>
      </c>
      <c r="BG100" s="112" t="n">
        <f aca="false">SUM(BG80, BG88, BG96)</f>
        <v>1</v>
      </c>
      <c r="BH100" s="112" t="n">
        <f aca="false">SUM(BH80, BH88, BH96)</f>
        <v>1</v>
      </c>
      <c r="BI100" s="112" t="n">
        <f aca="false">SUM(BI80, BI88, BI96)</f>
        <v>1</v>
      </c>
      <c r="BJ100" s="112" t="n">
        <f aca="false">SUM(BJ80, BJ88, BJ96)</f>
        <v>1</v>
      </c>
      <c r="BK100" s="112" t="n">
        <f aca="false">SUM(BK80, BK88, BK96)</f>
        <v>1</v>
      </c>
      <c r="BL100" s="112" t="n">
        <f aca="false">SUM(BL80, BL88, BL96)</f>
        <v>1</v>
      </c>
      <c r="BM100" s="112" t="n">
        <f aca="false">SUM(BM80, BM88, BM96)</f>
        <v>1</v>
      </c>
      <c r="BN100" s="112" t="n">
        <f aca="false">SUM(BN80, BN88, BN96)</f>
        <v>1</v>
      </c>
      <c r="BO100" s="112" t="n">
        <f aca="false">SUM(BO80, BO88, BO96)</f>
        <v>1</v>
      </c>
      <c r="BP100" s="112" t="n">
        <f aca="false">SUM(BP80, BP88, BP96)</f>
        <v>1</v>
      </c>
      <c r="BQ100" s="112" t="n">
        <f aca="false">SUM(BQ80, BQ88, BQ96)</f>
        <v>1</v>
      </c>
      <c r="BR100" s="112" t="n">
        <f aca="false">SUM(BR80, BR88, BR96)</f>
        <v>1</v>
      </c>
      <c r="BS100" s="112" t="n">
        <f aca="false">SUM(BS80, BS88, BS96)</f>
        <v>1</v>
      </c>
      <c r="BT100" s="112" t="n">
        <f aca="false">SUM(BT80, BT88, BT96)</f>
        <v>1</v>
      </c>
      <c r="BU100" s="112" t="n">
        <f aca="false">SUM(BU80, BU88, BU96)</f>
        <v>1</v>
      </c>
      <c r="BV100" s="112" t="n">
        <f aca="false">SUM(BV80, BV88, BV96)</f>
        <v>1</v>
      </c>
      <c r="BW100" s="112" t="n">
        <f aca="false">SUM(BW80, BW88, BW96)</f>
        <v>1</v>
      </c>
      <c r="BX100" s="112" t="n">
        <f aca="false">SUM(BX80, BX88, BX96)</f>
        <v>1</v>
      </c>
      <c r="BY100" s="112" t="n">
        <f aca="false">SUM(BY80, BY88, BY96)</f>
        <v>1</v>
      </c>
      <c r="BZ100" s="112" t="n">
        <f aca="false">SUM(BZ80, BZ88, BZ96)</f>
        <v>1</v>
      </c>
      <c r="CA100" s="112" t="n">
        <f aca="false">SUM(CA80, CA88, CA96)</f>
        <v>1</v>
      </c>
      <c r="CC100" s="112" t="n">
        <f aca="false">SUM(CC80, CC88, CC96)</f>
        <v>0</v>
      </c>
      <c r="CD100" s="112" t="n">
        <f aca="false">SUM(CD80, CD88, CD96)</f>
        <v>0</v>
      </c>
      <c r="CE100" s="112" t="n">
        <f aca="false">SUM(CE80, CE88, CE96)</f>
        <v>12</v>
      </c>
      <c r="CF100" s="112" t="n">
        <f aca="false">SUM(CF80, CF88, CF96)</f>
        <v>12</v>
      </c>
      <c r="CG100" s="112" t="n">
        <f aca="false">SUM(CG80, CG88, CG96)</f>
        <v>12</v>
      </c>
      <c r="CH100" s="112" t="n">
        <f aca="false">SUM(CH80, CH88, CH96)</f>
        <v>0</v>
      </c>
      <c r="CI100" s="113" t="n">
        <f aca="false">CC100=L100</f>
        <v>1</v>
      </c>
      <c r="CJ100" s="113" t="n">
        <f aca="false">CD100=M100</f>
        <v>1</v>
      </c>
      <c r="CK100" s="113" t="n">
        <f aca="false">CE100=N100</f>
        <v>1</v>
      </c>
      <c r="CL100" s="113" t="n">
        <f aca="false">CF100=O100</f>
        <v>1</v>
      </c>
      <c r="CM100" s="113" t="n">
        <f aca="false">CG100=P100</f>
        <v>1</v>
      </c>
    </row>
    <row r="101" s="14" customFormat="true" ht="16.5" hidden="false" customHeight="true" outlineLevel="0" collapsed="false">
      <c r="H101" s="29"/>
      <c r="I101" s="108"/>
      <c r="J101" s="108"/>
      <c r="K101" s="108"/>
      <c r="L101" s="108"/>
      <c r="M101" s="108"/>
      <c r="N101" s="108"/>
      <c r="O101" s="108"/>
      <c r="P101" s="108"/>
      <c r="Q101" s="16"/>
      <c r="R101" s="16"/>
    </row>
    <row r="102" s="14" customFormat="true" ht="16.5" hidden="false" customHeight="true" outlineLevel="0" collapsed="false">
      <c r="D102" s="30" t="s">
        <v>136</v>
      </c>
      <c r="E102" s="31"/>
      <c r="F102" s="31"/>
      <c r="G102" s="31"/>
      <c r="H102" s="30" t="s">
        <v>121</v>
      </c>
      <c r="I102" s="114" t="s">
        <v>68</v>
      </c>
      <c r="J102" s="114" t="s">
        <v>95</v>
      </c>
      <c r="K102" s="114" t="s">
        <v>122</v>
      </c>
      <c r="L102" s="114" t="n">
        <v>2026</v>
      </c>
      <c r="M102" s="114" t="n">
        <f aca="false">L102+1</f>
        <v>2027</v>
      </c>
      <c r="N102" s="114" t="n">
        <f aca="false">M102+1</f>
        <v>2028</v>
      </c>
      <c r="O102" s="114" t="n">
        <f aca="false">N102+1</f>
        <v>2029</v>
      </c>
      <c r="P102" s="114" t="n">
        <f aca="false">O102+1</f>
        <v>2030</v>
      </c>
      <c r="Q102" s="31" t="s">
        <v>123</v>
      </c>
      <c r="R102" s="31" t="s">
        <v>66</v>
      </c>
      <c r="T102" s="59" t="n">
        <v>46023</v>
      </c>
      <c r="U102" s="60" t="n">
        <f aca="false">EOMONTH(T102, 1)</f>
        <v>46081</v>
      </c>
      <c r="V102" s="60" t="n">
        <f aca="false">EOMONTH(U102, 1)</f>
        <v>46112</v>
      </c>
      <c r="W102" s="60" t="n">
        <f aca="false">EOMONTH(V102, 1)</f>
        <v>46142</v>
      </c>
      <c r="X102" s="60" t="n">
        <f aca="false">EOMONTH(W102, 1)</f>
        <v>46173</v>
      </c>
      <c r="Y102" s="60" t="n">
        <f aca="false">EOMONTH(X102, 1)</f>
        <v>46203</v>
      </c>
      <c r="Z102" s="60" t="n">
        <f aca="false">EOMONTH(Y102, 1)</f>
        <v>46234</v>
      </c>
      <c r="AA102" s="60" t="n">
        <f aca="false">EOMONTH(Z102, 1)</f>
        <v>46265</v>
      </c>
      <c r="AB102" s="60" t="n">
        <f aca="false">EOMONTH(AA102, 1)</f>
        <v>46295</v>
      </c>
      <c r="AC102" s="60" t="n">
        <f aca="false">EOMONTH(AB102, 1)</f>
        <v>46326</v>
      </c>
      <c r="AD102" s="60" t="n">
        <f aca="false">EOMONTH(AC102, 1)</f>
        <v>46356</v>
      </c>
      <c r="AE102" s="61" t="n">
        <f aca="false">EOMONTH(AD102, 1)</f>
        <v>46387</v>
      </c>
      <c r="AF102" s="59" t="n">
        <f aca="false">EOMONTH(AE102, 1)</f>
        <v>46418</v>
      </c>
      <c r="AG102" s="60" t="n">
        <f aca="false">EOMONTH(AF102, 1)</f>
        <v>46446</v>
      </c>
      <c r="AH102" s="60" t="n">
        <f aca="false">EOMONTH(AG102, 1)</f>
        <v>46477</v>
      </c>
      <c r="AI102" s="60" t="n">
        <f aca="false">EOMONTH(AH102, 1)</f>
        <v>46507</v>
      </c>
      <c r="AJ102" s="60" t="n">
        <f aca="false">EOMONTH(AI102, 1)</f>
        <v>46538</v>
      </c>
      <c r="AK102" s="60" t="n">
        <f aca="false">EOMONTH(AJ102, 1)</f>
        <v>46568</v>
      </c>
      <c r="AL102" s="60" t="n">
        <f aca="false">EOMONTH(AK102, 1)</f>
        <v>46599</v>
      </c>
      <c r="AM102" s="60" t="n">
        <f aca="false">EOMONTH(AL102, 1)</f>
        <v>46630</v>
      </c>
      <c r="AN102" s="60" t="n">
        <f aca="false">EOMONTH(AM102, 1)</f>
        <v>46660</v>
      </c>
      <c r="AO102" s="60" t="n">
        <f aca="false">EOMONTH(AN102, 1)</f>
        <v>46691</v>
      </c>
      <c r="AP102" s="60" t="n">
        <f aca="false">EOMONTH(AO102, 1)</f>
        <v>46721</v>
      </c>
      <c r="AQ102" s="61" t="n">
        <f aca="false">EOMONTH(AP102, 1)</f>
        <v>46752</v>
      </c>
      <c r="AR102" s="59" t="n">
        <f aca="false">EOMONTH(AQ102, 1)</f>
        <v>46783</v>
      </c>
      <c r="AS102" s="60" t="n">
        <f aca="false">EOMONTH(AR102, 1)</f>
        <v>46812</v>
      </c>
      <c r="AT102" s="60" t="n">
        <f aca="false">EOMONTH(AS102, 1)</f>
        <v>46843</v>
      </c>
      <c r="AU102" s="60" t="n">
        <f aca="false">EOMONTH(AT102, 1)</f>
        <v>46873</v>
      </c>
      <c r="AV102" s="60" t="n">
        <f aca="false">EOMONTH(AU102, 1)</f>
        <v>46904</v>
      </c>
      <c r="AW102" s="60" t="n">
        <f aca="false">EOMONTH(AV102, 1)</f>
        <v>46934</v>
      </c>
      <c r="AX102" s="60" t="n">
        <f aca="false">EOMONTH(AW102, 1)</f>
        <v>46965</v>
      </c>
      <c r="AY102" s="60" t="n">
        <f aca="false">EOMONTH(AX102, 1)</f>
        <v>46996</v>
      </c>
      <c r="AZ102" s="60" t="n">
        <f aca="false">EOMONTH(AY102, 1)</f>
        <v>47026</v>
      </c>
      <c r="BA102" s="60" t="n">
        <f aca="false">EOMONTH(AZ102, 1)</f>
        <v>47057</v>
      </c>
      <c r="BB102" s="60" t="n">
        <f aca="false">EOMONTH(BA102, 1)</f>
        <v>47087</v>
      </c>
      <c r="BC102" s="61" t="n">
        <f aca="false">EOMONTH(BB102, 1)</f>
        <v>47118</v>
      </c>
      <c r="BD102" s="59" t="n">
        <f aca="false">EOMONTH(BC102, 1)</f>
        <v>47149</v>
      </c>
      <c r="BE102" s="60" t="n">
        <f aca="false">EOMONTH(BD102, 1)</f>
        <v>47177</v>
      </c>
      <c r="BF102" s="60" t="n">
        <f aca="false">EOMONTH(BE102, 1)</f>
        <v>47208</v>
      </c>
      <c r="BG102" s="60" t="n">
        <f aca="false">EOMONTH(BF102, 1)</f>
        <v>47238</v>
      </c>
      <c r="BH102" s="60" t="n">
        <f aca="false">EOMONTH(BG102, 1)</f>
        <v>47269</v>
      </c>
      <c r="BI102" s="60" t="n">
        <f aca="false">EOMONTH(BH102, 1)</f>
        <v>47299</v>
      </c>
      <c r="BJ102" s="60" t="n">
        <f aca="false">EOMONTH(BI102, 1)</f>
        <v>47330</v>
      </c>
      <c r="BK102" s="60" t="n">
        <f aca="false">EOMONTH(BJ102, 1)</f>
        <v>47361</v>
      </c>
      <c r="BL102" s="60" t="n">
        <f aca="false">EOMONTH(BK102, 1)</f>
        <v>47391</v>
      </c>
      <c r="BM102" s="60" t="n">
        <f aca="false">EOMONTH(BL102, 1)</f>
        <v>47422</v>
      </c>
      <c r="BN102" s="60" t="n">
        <f aca="false">EOMONTH(BM102, 1)</f>
        <v>47452</v>
      </c>
      <c r="BO102" s="61" t="n">
        <f aca="false">EOMONTH(BN102, 1)</f>
        <v>47483</v>
      </c>
      <c r="BP102" s="59" t="n">
        <f aca="false">EOMONTH(BO102, 1)</f>
        <v>47514</v>
      </c>
      <c r="BQ102" s="60" t="n">
        <f aca="false">EOMONTH(BP102, 1)</f>
        <v>47542</v>
      </c>
      <c r="BR102" s="60" t="n">
        <f aca="false">EOMONTH(BQ102, 1)</f>
        <v>47573</v>
      </c>
      <c r="BS102" s="60" t="n">
        <f aca="false">EOMONTH(BR102, 1)</f>
        <v>47603</v>
      </c>
      <c r="BT102" s="60" t="n">
        <f aca="false">EOMONTH(BS102, 1)</f>
        <v>47634</v>
      </c>
      <c r="BU102" s="60" t="n">
        <f aca="false">EOMONTH(BT102, 1)</f>
        <v>47664</v>
      </c>
      <c r="BV102" s="60" t="n">
        <f aca="false">EOMONTH(BU102, 1)</f>
        <v>47695</v>
      </c>
      <c r="BW102" s="60" t="n">
        <f aca="false">EOMONTH(BV102, 1)</f>
        <v>47726</v>
      </c>
      <c r="BX102" s="60" t="n">
        <f aca="false">EOMONTH(BW102, 1)</f>
        <v>47756</v>
      </c>
      <c r="BY102" s="60" t="n">
        <f aca="false">EOMONTH(BX102, 1)</f>
        <v>47787</v>
      </c>
      <c r="BZ102" s="60" t="n">
        <f aca="false">EOMONTH(BY102, 1)</f>
        <v>47817</v>
      </c>
      <c r="CA102" s="60" t="n">
        <f aca="false">EOMONTH(BZ102, 1)</f>
        <v>47848</v>
      </c>
      <c r="CC102" s="62" t="n">
        <v>2026</v>
      </c>
      <c r="CD102" s="62" t="n">
        <f aca="false">CC102+1</f>
        <v>2027</v>
      </c>
      <c r="CE102" s="62" t="n">
        <f aca="false">CD102+1</f>
        <v>2028</v>
      </c>
      <c r="CF102" s="62" t="n">
        <f aca="false">CE102+1</f>
        <v>2029</v>
      </c>
      <c r="CG102" s="62" t="n">
        <f aca="false">CF102+1</f>
        <v>2030</v>
      </c>
      <c r="CI102" s="62" t="n">
        <v>2026</v>
      </c>
      <c r="CJ102" s="62" t="n">
        <f aca="false">CI102+1</f>
        <v>2027</v>
      </c>
      <c r="CK102" s="62" t="n">
        <f aca="false">CJ102+1</f>
        <v>2028</v>
      </c>
      <c r="CL102" s="62" t="n">
        <f aca="false">CK102+1</f>
        <v>2029</v>
      </c>
      <c r="CM102" s="62" t="n">
        <f aca="false">CL102+1</f>
        <v>2030</v>
      </c>
    </row>
    <row r="103" s="14" customFormat="true" ht="16.5" hidden="true" customHeight="true" outlineLevel="1" collapsed="false">
      <c r="D103" s="63"/>
      <c r="E103" s="64" t="s">
        <v>93</v>
      </c>
      <c r="H103" s="29"/>
      <c r="I103" s="115" t="s">
        <v>124</v>
      </c>
      <c r="J103" s="115" t="s">
        <v>125</v>
      </c>
      <c r="K103" s="115" t="s">
        <v>126</v>
      </c>
      <c r="L103" s="116"/>
      <c r="M103" s="116"/>
      <c r="N103" s="116"/>
      <c r="O103" s="116"/>
      <c r="P103" s="116"/>
      <c r="Q103" s="16"/>
      <c r="R103" s="1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7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7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7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7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</row>
    <row r="104" s="14" customFormat="true" ht="16.5" hidden="true" customHeight="true" outlineLevel="1" collapsed="false">
      <c r="E104" s="68" t="s">
        <v>127</v>
      </c>
      <c r="F104" s="21"/>
      <c r="G104" s="21"/>
      <c r="H104" s="29"/>
      <c r="I104" s="115"/>
      <c r="J104" s="115"/>
      <c r="K104" s="115"/>
      <c r="L104" s="108"/>
      <c r="M104" s="108"/>
      <c r="N104" s="108"/>
      <c r="O104" s="108"/>
      <c r="P104" s="108"/>
      <c r="Q104" s="16"/>
      <c r="R104" s="16"/>
      <c r="AF104" s="69"/>
      <c r="AR104" s="69"/>
      <c r="BD104" s="69"/>
      <c r="BP104" s="69"/>
    </row>
    <row r="105" s="14" customFormat="true" ht="16.5" hidden="true" customHeight="true" outlineLevel="2" collapsed="false">
      <c r="E105" s="70"/>
      <c r="H105" s="71"/>
      <c r="I105" s="117" t="n">
        <v>0</v>
      </c>
      <c r="J105" s="117" t="n">
        <v>0</v>
      </c>
      <c r="K105" s="101" t="n">
        <f aca="false">J105-I105</f>
        <v>0</v>
      </c>
      <c r="L105" s="117"/>
      <c r="M105" s="117"/>
      <c r="N105" s="117"/>
      <c r="O105" s="117"/>
      <c r="P105" s="118"/>
      <c r="Q105" s="75"/>
      <c r="R105" s="16" t="str">
        <f aca="false">IF(K105=P105, "", "Error")</f>
        <v/>
      </c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7"/>
      <c r="AF105" s="78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7"/>
      <c r="AR105" s="78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7"/>
      <c r="BD105" s="78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7"/>
      <c r="BP105" s="78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C105" s="79" t="n">
        <f aca="false">SUMIFS($T105:$CA105, $T$1:$CA$1, CC$75)</f>
        <v>0</v>
      </c>
      <c r="CD105" s="79" t="n">
        <f aca="false">SUMIFS($T105:$CA105, $T$1:$CA$1, CD$75)</f>
        <v>0</v>
      </c>
      <c r="CE105" s="79" t="n">
        <f aca="false">SUMIFS($T105:$CA105, $T$1:$CA$1, CE$75)</f>
        <v>0</v>
      </c>
      <c r="CF105" s="79" t="n">
        <f aca="false">SUMIFS($T105:$CA105, $T$1:$CA$1, CF$75)</f>
        <v>0</v>
      </c>
      <c r="CG105" s="79" t="n">
        <f aca="false">SUMIFS($T105:$CA105, $T$1:$CA$1, CG$75)</f>
        <v>0</v>
      </c>
      <c r="CI105" s="79" t="n">
        <f aca="false">CC105=L105</f>
        <v>1</v>
      </c>
      <c r="CJ105" s="79" t="n">
        <f aca="false">CD105=M105</f>
        <v>1</v>
      </c>
      <c r="CK105" s="79" t="n">
        <f aca="false">CE105=N105</f>
        <v>1</v>
      </c>
      <c r="CL105" s="79" t="n">
        <f aca="false">CF105=O105</f>
        <v>1</v>
      </c>
      <c r="CM105" s="79" t="n">
        <f aca="false">CG105=P105</f>
        <v>1</v>
      </c>
    </row>
    <row r="106" s="14" customFormat="true" ht="16.5" hidden="true" customHeight="true" outlineLevel="2" collapsed="false">
      <c r="E106" s="70"/>
      <c r="H106" s="71"/>
      <c r="I106" s="117" t="n">
        <v>0</v>
      </c>
      <c r="J106" s="117" t="n">
        <v>0</v>
      </c>
      <c r="K106" s="101" t="n">
        <f aca="false">J106-I106</f>
        <v>0</v>
      </c>
      <c r="L106" s="117"/>
      <c r="M106" s="117"/>
      <c r="N106" s="117"/>
      <c r="O106" s="117"/>
      <c r="P106" s="118"/>
      <c r="Q106" s="75"/>
      <c r="R106" s="16" t="str">
        <f aca="false">IF(K106=P106, "", "Error")</f>
        <v/>
      </c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7"/>
      <c r="AF106" s="78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7"/>
      <c r="AR106" s="78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7"/>
      <c r="BD106" s="78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7"/>
      <c r="BP106" s="78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C106" s="79" t="n">
        <f aca="false">SUMIFS($T106:$CA106, $T$1:$CA$1, CC$75)</f>
        <v>0</v>
      </c>
      <c r="CD106" s="79" t="n">
        <f aca="false">SUMIFS($T106:$CA106, $T$1:$CA$1, CD$75)</f>
        <v>0</v>
      </c>
      <c r="CE106" s="79" t="n">
        <f aca="false">SUMIFS($T106:$CA106, $T$1:$CA$1, CE$75)</f>
        <v>0</v>
      </c>
      <c r="CF106" s="79" t="n">
        <f aca="false">SUMIFS($T106:$CA106, $T$1:$CA$1, CF$75)</f>
        <v>0</v>
      </c>
      <c r="CG106" s="79" t="n">
        <f aca="false">SUMIFS($T106:$CA106, $T$1:$CA$1, CG$75)</f>
        <v>0</v>
      </c>
      <c r="CI106" s="79" t="n">
        <f aca="false">CC106=L106</f>
        <v>1</v>
      </c>
      <c r="CJ106" s="79" t="n">
        <f aca="false">CD106=M106</f>
        <v>1</v>
      </c>
      <c r="CK106" s="79" t="n">
        <f aca="false">CE106=N106</f>
        <v>1</v>
      </c>
      <c r="CL106" s="79" t="n">
        <f aca="false">CF106=O106</f>
        <v>1</v>
      </c>
      <c r="CM106" s="79" t="n">
        <f aca="false">CG106=P106</f>
        <v>1</v>
      </c>
    </row>
    <row r="107" s="14" customFormat="true" ht="16.5" hidden="true" customHeight="true" outlineLevel="1" collapsed="true">
      <c r="E107" s="80" t="s">
        <v>128</v>
      </c>
      <c r="H107" s="29"/>
      <c r="I107" s="107" t="n">
        <f aca="false">SUM(I105:I106)</f>
        <v>0</v>
      </c>
      <c r="J107" s="107" t="n">
        <f aca="false">SUM(J105:J106)</f>
        <v>0</v>
      </c>
      <c r="K107" s="107" t="n">
        <f aca="false">SUM(K105:K106)</f>
        <v>0</v>
      </c>
      <c r="L107" s="107" t="n">
        <f aca="false">SUM(L105:L106)</f>
        <v>0</v>
      </c>
      <c r="M107" s="107" t="n">
        <f aca="false">SUM(M105:M106)</f>
        <v>0</v>
      </c>
      <c r="N107" s="107" t="n">
        <f aca="false">SUM(N105:N106)</f>
        <v>0</v>
      </c>
      <c r="O107" s="107" t="n">
        <f aca="false">SUM(O105:O106)</f>
        <v>0</v>
      </c>
      <c r="P107" s="107" t="n">
        <f aca="false">SUM(P105:P106)</f>
        <v>0</v>
      </c>
      <c r="Q107" s="16"/>
      <c r="R107" s="16"/>
      <c r="T107" s="82" t="n">
        <f aca="false">SUM(T105:T106)</f>
        <v>0</v>
      </c>
      <c r="U107" s="82" t="n">
        <f aca="false">SUM(U105:U106)</f>
        <v>0</v>
      </c>
      <c r="V107" s="82" t="n">
        <f aca="false">SUM(V105:V106)</f>
        <v>0</v>
      </c>
      <c r="W107" s="82" t="n">
        <f aca="false">SUM(W105:W106)</f>
        <v>0</v>
      </c>
      <c r="X107" s="82" t="n">
        <f aca="false">SUM(X105:X106)</f>
        <v>0</v>
      </c>
      <c r="Y107" s="82" t="n">
        <f aca="false">SUM(Y105:Y106)</f>
        <v>0</v>
      </c>
      <c r="Z107" s="82" t="n">
        <f aca="false">SUM(Z105:Z106)</f>
        <v>0</v>
      </c>
      <c r="AA107" s="82" t="n">
        <f aca="false">SUM(AA105:AA106)</f>
        <v>0</v>
      </c>
      <c r="AB107" s="82" t="n">
        <f aca="false">SUM(AB105:AB106)</f>
        <v>0</v>
      </c>
      <c r="AC107" s="82" t="n">
        <f aca="false">SUM(AC105:AC106)</f>
        <v>0</v>
      </c>
      <c r="AD107" s="82" t="n">
        <f aca="false">SUM(AD105:AD106)</f>
        <v>0</v>
      </c>
      <c r="AE107" s="82" t="n">
        <f aca="false">SUM(AE105:AE106)</f>
        <v>0</v>
      </c>
      <c r="AF107" s="83" t="n">
        <f aca="false">SUM(AF105:AF106)</f>
        <v>0</v>
      </c>
      <c r="AG107" s="82" t="n">
        <f aca="false">SUM(AG105:AG106)</f>
        <v>0</v>
      </c>
      <c r="AH107" s="82" t="n">
        <f aca="false">SUM(AH105:AH106)</f>
        <v>0</v>
      </c>
      <c r="AI107" s="82" t="n">
        <f aca="false">SUM(AI105:AI106)</f>
        <v>0</v>
      </c>
      <c r="AJ107" s="82" t="n">
        <f aca="false">SUM(AJ105:AJ106)</f>
        <v>0</v>
      </c>
      <c r="AK107" s="82" t="n">
        <f aca="false">SUM(AK105:AK106)</f>
        <v>0</v>
      </c>
      <c r="AL107" s="82" t="n">
        <f aca="false">SUM(AL105:AL106)</f>
        <v>0</v>
      </c>
      <c r="AM107" s="82" t="n">
        <f aca="false">SUM(AM105:AM106)</f>
        <v>0</v>
      </c>
      <c r="AN107" s="82" t="n">
        <f aca="false">SUM(AN105:AN106)</f>
        <v>0</v>
      </c>
      <c r="AO107" s="82" t="n">
        <f aca="false">SUM(AO105:AO106)</f>
        <v>0</v>
      </c>
      <c r="AP107" s="82" t="n">
        <f aca="false">SUM(AP105:AP106)</f>
        <v>0</v>
      </c>
      <c r="AQ107" s="82" t="n">
        <f aca="false">SUM(AQ105:AQ106)</f>
        <v>0</v>
      </c>
      <c r="AR107" s="83" t="n">
        <f aca="false">SUM(AR105:AR106)</f>
        <v>0</v>
      </c>
      <c r="AS107" s="82" t="n">
        <f aca="false">SUM(AS105:AS106)</f>
        <v>0</v>
      </c>
      <c r="AT107" s="82" t="n">
        <f aca="false">SUM(AT105:AT106)</f>
        <v>0</v>
      </c>
      <c r="AU107" s="82" t="n">
        <f aca="false">SUM(AU105:AU106)</f>
        <v>0</v>
      </c>
      <c r="AV107" s="82" t="n">
        <f aca="false">SUM(AV105:AV106)</f>
        <v>0</v>
      </c>
      <c r="AW107" s="82" t="n">
        <f aca="false">SUM(AW105:AW106)</f>
        <v>0</v>
      </c>
      <c r="AX107" s="82" t="n">
        <f aca="false">SUM(AX105:AX106)</f>
        <v>0</v>
      </c>
      <c r="AY107" s="82" t="n">
        <f aca="false">SUM(AY105:AY106)</f>
        <v>0</v>
      </c>
      <c r="AZ107" s="82" t="n">
        <f aca="false">SUM(AZ105:AZ106)</f>
        <v>0</v>
      </c>
      <c r="BA107" s="82" t="n">
        <f aca="false">SUM(BA105:BA106)</f>
        <v>0</v>
      </c>
      <c r="BB107" s="82" t="n">
        <f aca="false">SUM(BB105:BB106)</f>
        <v>0</v>
      </c>
      <c r="BC107" s="82" t="n">
        <f aca="false">SUM(BC105:BC106)</f>
        <v>0</v>
      </c>
      <c r="BD107" s="83" t="n">
        <f aca="false">SUM(BD105:BD106)</f>
        <v>0</v>
      </c>
      <c r="BE107" s="82" t="n">
        <f aca="false">SUM(BE105:BE106)</f>
        <v>0</v>
      </c>
      <c r="BF107" s="82" t="n">
        <f aca="false">SUM(BF105:BF106)</f>
        <v>0</v>
      </c>
      <c r="BG107" s="82" t="n">
        <f aca="false">SUM(BG105:BG106)</f>
        <v>0</v>
      </c>
      <c r="BH107" s="82" t="n">
        <f aca="false">SUM(BH105:BH106)</f>
        <v>0</v>
      </c>
      <c r="BI107" s="82" t="n">
        <f aca="false">SUM(BI105:BI106)</f>
        <v>0</v>
      </c>
      <c r="BJ107" s="82" t="n">
        <f aca="false">SUM(BJ105:BJ106)</f>
        <v>0</v>
      </c>
      <c r="BK107" s="82" t="n">
        <f aca="false">SUM(BK105:BK106)</f>
        <v>0</v>
      </c>
      <c r="BL107" s="82" t="n">
        <f aca="false">SUM(BL105:BL106)</f>
        <v>0</v>
      </c>
      <c r="BM107" s="82" t="n">
        <f aca="false">SUM(BM105:BM106)</f>
        <v>0</v>
      </c>
      <c r="BN107" s="82" t="n">
        <f aca="false">SUM(BN105:BN106)</f>
        <v>0</v>
      </c>
      <c r="BO107" s="82" t="n">
        <f aca="false">SUM(BO105:BO106)</f>
        <v>0</v>
      </c>
      <c r="BP107" s="83" t="n">
        <f aca="false">SUM(BP105:BP106)</f>
        <v>0</v>
      </c>
      <c r="BQ107" s="82" t="n">
        <f aca="false">SUM(BQ105:BQ106)</f>
        <v>0</v>
      </c>
      <c r="BR107" s="82" t="n">
        <f aca="false">SUM(BR105:BR106)</f>
        <v>0</v>
      </c>
      <c r="BS107" s="82" t="n">
        <f aca="false">SUM(BS105:BS106)</f>
        <v>0</v>
      </c>
      <c r="BT107" s="82" t="n">
        <f aca="false">SUM(BT105:BT106)</f>
        <v>0</v>
      </c>
      <c r="BU107" s="82" t="n">
        <f aca="false">SUM(BU105:BU106)</f>
        <v>0</v>
      </c>
      <c r="BV107" s="82" t="n">
        <f aca="false">SUM(BV105:BV106)</f>
        <v>0</v>
      </c>
      <c r="BW107" s="82" t="n">
        <f aca="false">SUM(BW105:BW106)</f>
        <v>0</v>
      </c>
      <c r="BX107" s="82" t="n">
        <f aca="false">SUM(BX105:BX106)</f>
        <v>0</v>
      </c>
      <c r="BY107" s="82" t="n">
        <f aca="false">SUM(BY105:BY106)</f>
        <v>0</v>
      </c>
      <c r="BZ107" s="82" t="n">
        <f aca="false">SUM(BZ105:BZ106)</f>
        <v>0</v>
      </c>
      <c r="CA107" s="84" t="n">
        <f aca="false">SUM(CA105:CA106)</f>
        <v>0</v>
      </c>
      <c r="CC107" s="84" t="n">
        <f aca="false">SUM(CC105:CC106)</f>
        <v>0</v>
      </c>
      <c r="CD107" s="84" t="n">
        <f aca="false">SUM(CD105:CD106)</f>
        <v>0</v>
      </c>
      <c r="CE107" s="84" t="n">
        <f aca="false">SUM(CE105:CE106)</f>
        <v>0</v>
      </c>
      <c r="CF107" s="84" t="n">
        <f aca="false">SUM(CF105:CF106)</f>
        <v>0</v>
      </c>
      <c r="CG107" s="84" t="n">
        <f aca="false">SUM(CG105:CG106)</f>
        <v>0</v>
      </c>
      <c r="CI107" s="84" t="n">
        <f aca="false">CC107=L107</f>
        <v>1</v>
      </c>
      <c r="CJ107" s="84" t="n">
        <f aca="false">CD107=M107</f>
        <v>1</v>
      </c>
      <c r="CK107" s="84" t="n">
        <f aca="false">CE107=N107</f>
        <v>1</v>
      </c>
      <c r="CL107" s="84" t="n">
        <f aca="false">CF107=O107</f>
        <v>1</v>
      </c>
      <c r="CM107" s="84" t="n">
        <f aca="false">CG107=P107</f>
        <v>1</v>
      </c>
    </row>
    <row r="108" s="14" customFormat="true" ht="16.5" hidden="true" customHeight="true" outlineLevel="1" collapsed="false">
      <c r="E108" s="85"/>
      <c r="H108" s="29"/>
      <c r="I108" s="108"/>
      <c r="J108" s="108"/>
      <c r="K108" s="108"/>
      <c r="L108" s="108"/>
      <c r="M108" s="108"/>
      <c r="N108" s="108"/>
      <c r="O108" s="108"/>
      <c r="P108" s="108"/>
      <c r="Q108" s="16"/>
      <c r="R108" s="16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9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9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9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9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90"/>
      <c r="CC108" s="90"/>
      <c r="CD108" s="90"/>
      <c r="CE108" s="90"/>
      <c r="CF108" s="90"/>
      <c r="CG108" s="90"/>
      <c r="CI108" s="90"/>
      <c r="CJ108" s="90"/>
      <c r="CK108" s="90"/>
      <c r="CL108" s="90"/>
      <c r="CM108" s="90"/>
    </row>
    <row r="109" s="14" customFormat="true" ht="16.5" hidden="true" customHeight="true" outlineLevel="1" collapsed="false">
      <c r="E109" s="21" t="s">
        <v>129</v>
      </c>
      <c r="H109" s="29"/>
      <c r="I109" s="108"/>
      <c r="J109" s="108"/>
      <c r="K109" s="108"/>
      <c r="L109" s="108"/>
      <c r="M109" s="108"/>
      <c r="N109" s="108"/>
      <c r="O109" s="108"/>
      <c r="P109" s="108"/>
      <c r="Q109" s="16"/>
      <c r="R109" s="16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9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9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9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9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90"/>
      <c r="CC109" s="90"/>
      <c r="CD109" s="90"/>
      <c r="CE109" s="90"/>
      <c r="CF109" s="90"/>
      <c r="CG109" s="90"/>
      <c r="CI109" s="90"/>
      <c r="CJ109" s="90"/>
      <c r="CK109" s="90"/>
      <c r="CL109" s="90"/>
      <c r="CM109" s="90"/>
    </row>
    <row r="110" s="14" customFormat="true" ht="16.5" hidden="true" customHeight="true" outlineLevel="2" collapsed="false">
      <c r="E110" s="91"/>
      <c r="H110" s="29"/>
      <c r="I110" s="100" t="n">
        <v>0</v>
      </c>
      <c r="J110" s="100" t="n">
        <v>0</v>
      </c>
      <c r="K110" s="101" t="n">
        <f aca="false">J110-I110</f>
        <v>0</v>
      </c>
      <c r="L110" s="100"/>
      <c r="M110" s="100"/>
      <c r="N110" s="100"/>
      <c r="O110" s="100"/>
      <c r="P110" s="100"/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CC$75)</f>
        <v>0</v>
      </c>
      <c r="CD110" s="79" t="n">
        <f aca="false">SUMIFS($T110:$CA110, $T$1:$CA$1, CD$75)</f>
        <v>0</v>
      </c>
      <c r="CE110" s="79" t="n">
        <f aca="false">SUMIFS($T110:$CA110, $T$1:$CA$1, CE$75)</f>
        <v>0</v>
      </c>
      <c r="CF110" s="79" t="n">
        <f aca="false">SUMIFS($T110:$CA110, $T$1:$CA$1, CF$75)</f>
        <v>0</v>
      </c>
      <c r="CG110" s="79" t="n">
        <f aca="false">SUMIFS($T110:$CA110, $T$1:$CA$1, CG$75)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true" customHeight="true" outlineLevel="2" collapsed="false">
      <c r="E111" s="91"/>
      <c r="H111" s="29"/>
      <c r="I111" s="100" t="n">
        <v>0</v>
      </c>
      <c r="J111" s="100" t="n">
        <v>0</v>
      </c>
      <c r="K111" s="101" t="n">
        <f aca="false">J111-I111</f>
        <v>0</v>
      </c>
      <c r="L111" s="100"/>
      <c r="M111" s="100"/>
      <c r="N111" s="100"/>
      <c r="O111" s="100"/>
      <c r="P111" s="100"/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CC$75)</f>
        <v>0</v>
      </c>
      <c r="CD111" s="79" t="n">
        <f aca="false">SUMIFS($T111:$CA111, $T$1:$CA$1, CD$75)</f>
        <v>0</v>
      </c>
      <c r="CE111" s="79" t="n">
        <f aca="false">SUMIFS($T111:$CA111, $T$1:$CA$1, CE$75)</f>
        <v>0</v>
      </c>
      <c r="CF111" s="79" t="n">
        <f aca="false">SUMIFS($T111:$CA111, $T$1:$CA$1, CF$75)</f>
        <v>0</v>
      </c>
      <c r="CG111" s="79" t="n">
        <f aca="false">SUMIFS($T111:$CA111, $T$1:$CA$1, CG$75)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true" customHeight="true" outlineLevel="2" collapsed="false">
      <c r="E112" s="91"/>
      <c r="H112" s="29"/>
      <c r="I112" s="100" t="n">
        <v>0</v>
      </c>
      <c r="J112" s="100" t="n">
        <v>0</v>
      </c>
      <c r="K112" s="101" t="n">
        <f aca="false">J112-I112</f>
        <v>0</v>
      </c>
      <c r="L112" s="100"/>
      <c r="M112" s="100"/>
      <c r="N112" s="100"/>
      <c r="O112" s="100"/>
      <c r="P112" s="100"/>
      <c r="Q112" s="93"/>
      <c r="R112" s="16" t="str">
        <f aca="false">IF(K112=P112, "", "Error")</f>
        <v/>
      </c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4"/>
      <c r="AF112" s="95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4"/>
      <c r="AR112" s="95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4"/>
      <c r="BD112" s="95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4"/>
      <c r="BP112" s="95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119"/>
      <c r="CC112" s="79" t="n">
        <f aca="false">SUMIFS($T112:$CA112, $T$1:$CA$1, CC$75)</f>
        <v>0</v>
      </c>
      <c r="CD112" s="79" t="n">
        <f aca="false">SUMIFS($T112:$CA112, $T$1:$CA$1, CD$75)</f>
        <v>0</v>
      </c>
      <c r="CE112" s="79" t="n">
        <f aca="false">SUMIFS($T112:$CA112, $T$1:$CA$1, CE$75)</f>
        <v>0</v>
      </c>
      <c r="CF112" s="79" t="n">
        <f aca="false">SUMIFS($T112:$CA112, $T$1:$CA$1, CF$75)</f>
        <v>0</v>
      </c>
      <c r="CG112" s="79" t="n">
        <f aca="false">SUMIFS($T112:$CA112, $T$1:$CA$1, CG$75)</f>
        <v>0</v>
      </c>
      <c r="CI112" s="79" t="n">
        <f aca="false">CC112=L112</f>
        <v>1</v>
      </c>
      <c r="CJ112" s="79" t="n">
        <f aca="false">CD112=M112</f>
        <v>1</v>
      </c>
      <c r="CK112" s="79" t="n">
        <f aca="false">CE112=N112</f>
        <v>1</v>
      </c>
      <c r="CL112" s="79" t="n">
        <f aca="false">CF112=O112</f>
        <v>1</v>
      </c>
      <c r="CM112" s="79" t="n">
        <f aca="false">CG112=P112</f>
        <v>1</v>
      </c>
    </row>
    <row r="113" s="14" customFormat="true" ht="16.5" hidden="true" customHeight="true" outlineLevel="2" collapsed="false">
      <c r="E113" s="91"/>
      <c r="H113" s="29"/>
      <c r="I113" s="100" t="n">
        <v>0</v>
      </c>
      <c r="J113" s="100" t="n">
        <v>0</v>
      </c>
      <c r="K113" s="101" t="n">
        <f aca="false">J113-I113</f>
        <v>0</v>
      </c>
      <c r="L113" s="100"/>
      <c r="M113" s="100"/>
      <c r="N113" s="100"/>
      <c r="O113" s="100"/>
      <c r="P113" s="100"/>
      <c r="Q113" s="93"/>
      <c r="R113" s="16" t="str">
        <f aca="false">IF(K113=P113, "", "Error")</f>
        <v/>
      </c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4"/>
      <c r="AF113" s="95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4"/>
      <c r="AR113" s="95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4"/>
      <c r="BD113" s="95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4"/>
      <c r="BP113" s="95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119"/>
      <c r="CC113" s="79" t="n">
        <f aca="false">SUMIFS($T113:$CA113, $T$1:$CA$1, CC$75)</f>
        <v>0</v>
      </c>
      <c r="CD113" s="79" t="n">
        <f aca="false">SUMIFS($T113:$CA113, $T$1:$CA$1, CD$75)</f>
        <v>0</v>
      </c>
      <c r="CE113" s="79" t="n">
        <f aca="false">SUMIFS($T113:$CA113, $T$1:$CA$1, CE$75)</f>
        <v>0</v>
      </c>
      <c r="CF113" s="79" t="n">
        <f aca="false">SUMIFS($T113:$CA113, $T$1:$CA$1, CF$75)</f>
        <v>0</v>
      </c>
      <c r="CG113" s="79" t="n">
        <f aca="false">SUMIFS($T113:$CA113, $T$1:$CA$1, CG$75)</f>
        <v>0</v>
      </c>
      <c r="CI113" s="79" t="n">
        <f aca="false">CC113=L113</f>
        <v>1</v>
      </c>
      <c r="CJ113" s="79" t="n">
        <f aca="false">CD113=M113</f>
        <v>1</v>
      </c>
      <c r="CK113" s="79" t="n">
        <f aca="false">CE113=N113</f>
        <v>1</v>
      </c>
      <c r="CL113" s="79" t="n">
        <f aca="false">CF113=O113</f>
        <v>1</v>
      </c>
      <c r="CM113" s="79" t="n">
        <f aca="false">CG113=P113</f>
        <v>1</v>
      </c>
    </row>
    <row r="114" s="14" customFormat="true" ht="16.5" hidden="true" customHeight="true" outlineLevel="2" collapsed="false">
      <c r="E114" s="91"/>
      <c r="H114" s="29"/>
      <c r="I114" s="100"/>
      <c r="J114" s="100"/>
      <c r="K114" s="101"/>
      <c r="L114" s="100"/>
      <c r="M114" s="100"/>
      <c r="N114" s="100"/>
      <c r="O114" s="100"/>
      <c r="P114" s="100"/>
      <c r="Q114" s="93"/>
      <c r="R114" s="16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4"/>
      <c r="AF114" s="95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4"/>
      <c r="AR114" s="95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4"/>
      <c r="BD114" s="95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4"/>
      <c r="BP114" s="95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119"/>
      <c r="CC114" s="79"/>
      <c r="CD114" s="79"/>
      <c r="CE114" s="79"/>
      <c r="CF114" s="79"/>
      <c r="CG114" s="79"/>
      <c r="CI114" s="79"/>
      <c r="CJ114" s="79"/>
      <c r="CK114" s="79"/>
      <c r="CL114" s="79"/>
      <c r="CM114" s="79"/>
    </row>
    <row r="115" s="14" customFormat="true" ht="16.5" hidden="true" customHeight="true" outlineLevel="1" collapsed="true">
      <c r="E115" s="96" t="s">
        <v>130</v>
      </c>
      <c r="H115" s="29"/>
      <c r="I115" s="107" t="n">
        <f aca="false">SUM(I110:I114)</f>
        <v>0</v>
      </c>
      <c r="J115" s="107" t="n">
        <f aca="false">SUM(J110:J114)</f>
        <v>0</v>
      </c>
      <c r="K115" s="107" t="n">
        <f aca="false">SUM(K110:K114)</f>
        <v>0</v>
      </c>
      <c r="L115" s="107" t="n">
        <f aca="false">SUM(L110:L114)</f>
        <v>0</v>
      </c>
      <c r="M115" s="107" t="n">
        <f aca="false">SUM(M110:M114)</f>
        <v>0</v>
      </c>
      <c r="N115" s="107" t="n">
        <f aca="false">SUM(N110:N114)</f>
        <v>0</v>
      </c>
      <c r="O115" s="107" t="n">
        <f aca="false">SUM(O110:O114)</f>
        <v>0</v>
      </c>
      <c r="P115" s="107" t="n">
        <f aca="false">SUM(P110:P114)</f>
        <v>0</v>
      </c>
      <c r="Q115" s="16"/>
      <c r="R115" s="16"/>
      <c r="T115" s="82" t="n">
        <f aca="false">SUM(T110:T114)</f>
        <v>0</v>
      </c>
      <c r="U115" s="82" t="n">
        <f aca="false">SUM(U110:U114)</f>
        <v>0</v>
      </c>
      <c r="V115" s="82" t="n">
        <f aca="false">SUM(V110:V114)</f>
        <v>0</v>
      </c>
      <c r="W115" s="82" t="n">
        <f aca="false">SUM(W110:W114)</f>
        <v>0</v>
      </c>
      <c r="X115" s="82" t="n">
        <f aca="false">SUM(X110:X114)</f>
        <v>0</v>
      </c>
      <c r="Y115" s="82" t="n">
        <f aca="false">SUM(Y110:Y114)</f>
        <v>0</v>
      </c>
      <c r="Z115" s="82" t="n">
        <f aca="false">SUM(Z110:Z114)</f>
        <v>0</v>
      </c>
      <c r="AA115" s="82" t="n">
        <f aca="false">SUM(AA110:AA114)</f>
        <v>0</v>
      </c>
      <c r="AB115" s="82" t="n">
        <f aca="false">SUM(AB110:AB114)</f>
        <v>0</v>
      </c>
      <c r="AC115" s="82" t="n">
        <f aca="false">SUM(AC110:AC114)</f>
        <v>0</v>
      </c>
      <c r="AD115" s="82" t="n">
        <f aca="false">SUM(AD110:AD114)</f>
        <v>0</v>
      </c>
      <c r="AE115" s="82" t="n">
        <f aca="false">SUM(AE110:AE114)</f>
        <v>0</v>
      </c>
      <c r="AF115" s="83" t="n">
        <f aca="false">SUM(AF110:AF114)</f>
        <v>0</v>
      </c>
      <c r="AG115" s="82" t="n">
        <f aca="false">SUM(AG110:AG114)</f>
        <v>0</v>
      </c>
      <c r="AH115" s="82" t="n">
        <f aca="false">SUM(AH110:AH114)</f>
        <v>0</v>
      </c>
      <c r="AI115" s="82" t="n">
        <f aca="false">SUM(AI110:AI114)</f>
        <v>0</v>
      </c>
      <c r="AJ115" s="82" t="n">
        <f aca="false">SUM(AJ110:AJ114)</f>
        <v>0</v>
      </c>
      <c r="AK115" s="82" t="n">
        <f aca="false">SUM(AK110:AK114)</f>
        <v>0</v>
      </c>
      <c r="AL115" s="82" t="n">
        <f aca="false">SUM(AL110:AL114)</f>
        <v>0</v>
      </c>
      <c r="AM115" s="82" t="n">
        <f aca="false">SUM(AM110:AM114)</f>
        <v>0</v>
      </c>
      <c r="AN115" s="82" t="n">
        <f aca="false">SUM(AN110:AN114)</f>
        <v>0</v>
      </c>
      <c r="AO115" s="82" t="n">
        <f aca="false">SUM(AO110:AO114)</f>
        <v>0</v>
      </c>
      <c r="AP115" s="82" t="n">
        <f aca="false">SUM(AP110:AP114)</f>
        <v>0</v>
      </c>
      <c r="AQ115" s="82" t="n">
        <f aca="false">SUM(AQ110:AQ114)</f>
        <v>0</v>
      </c>
      <c r="AR115" s="83" t="n">
        <f aca="false">SUM(AR110:AR114)</f>
        <v>0</v>
      </c>
      <c r="AS115" s="82" t="n">
        <f aca="false">SUM(AS110:AS114)</f>
        <v>0</v>
      </c>
      <c r="AT115" s="82" t="n">
        <f aca="false">SUM(AT110:AT114)</f>
        <v>0</v>
      </c>
      <c r="AU115" s="82" t="n">
        <f aca="false">SUM(AU110:AU114)</f>
        <v>0</v>
      </c>
      <c r="AV115" s="82" t="n">
        <f aca="false">SUM(AV110:AV114)</f>
        <v>0</v>
      </c>
      <c r="AW115" s="82" t="n">
        <f aca="false">SUM(AW110:AW114)</f>
        <v>0</v>
      </c>
      <c r="AX115" s="82" t="n">
        <f aca="false">SUM(AX110:AX114)</f>
        <v>0</v>
      </c>
      <c r="AY115" s="82" t="n">
        <f aca="false">SUM(AY110:AY114)</f>
        <v>0</v>
      </c>
      <c r="AZ115" s="82" t="n">
        <f aca="false">SUM(AZ110:AZ114)</f>
        <v>0</v>
      </c>
      <c r="BA115" s="82" t="n">
        <f aca="false">SUM(BA110:BA114)</f>
        <v>0</v>
      </c>
      <c r="BB115" s="82" t="n">
        <f aca="false">SUM(BB110:BB114)</f>
        <v>0</v>
      </c>
      <c r="BC115" s="82" t="n">
        <f aca="false">SUM(BC110:BC114)</f>
        <v>0</v>
      </c>
      <c r="BD115" s="83" t="n">
        <f aca="false">SUM(BD110:BD114)</f>
        <v>0</v>
      </c>
      <c r="BE115" s="82" t="n">
        <f aca="false">SUM(BE110:BE114)</f>
        <v>0</v>
      </c>
      <c r="BF115" s="82" t="n">
        <f aca="false">SUM(BF110:BF114)</f>
        <v>0</v>
      </c>
      <c r="BG115" s="82" t="n">
        <f aca="false">SUM(BG110:BG114)</f>
        <v>0</v>
      </c>
      <c r="BH115" s="82" t="n">
        <f aca="false">SUM(BH110:BH114)</f>
        <v>0</v>
      </c>
      <c r="BI115" s="82" t="n">
        <f aca="false">SUM(BI110:BI114)</f>
        <v>0</v>
      </c>
      <c r="BJ115" s="82" t="n">
        <f aca="false">SUM(BJ110:BJ114)</f>
        <v>0</v>
      </c>
      <c r="BK115" s="82" t="n">
        <f aca="false">SUM(BK110:BK114)</f>
        <v>0</v>
      </c>
      <c r="BL115" s="82" t="n">
        <f aca="false">SUM(BL110:BL114)</f>
        <v>0</v>
      </c>
      <c r="BM115" s="82" t="n">
        <f aca="false">SUM(BM110:BM114)</f>
        <v>0</v>
      </c>
      <c r="BN115" s="82" t="n">
        <f aca="false">SUM(BN110:BN114)</f>
        <v>0</v>
      </c>
      <c r="BO115" s="82" t="n">
        <f aca="false">SUM(BO110:BO114)</f>
        <v>0</v>
      </c>
      <c r="BP115" s="83" t="n">
        <f aca="false">SUM(BP110:BP114)</f>
        <v>0</v>
      </c>
      <c r="BQ115" s="82" t="n">
        <f aca="false">SUM(BQ110:BQ114)</f>
        <v>0</v>
      </c>
      <c r="BR115" s="82" t="n">
        <f aca="false">SUM(BR110:BR114)</f>
        <v>0</v>
      </c>
      <c r="BS115" s="82" t="n">
        <f aca="false">SUM(BS110:BS114)</f>
        <v>0</v>
      </c>
      <c r="BT115" s="82" t="n">
        <f aca="false">SUM(BT110:BT114)</f>
        <v>0</v>
      </c>
      <c r="BU115" s="82" t="n">
        <f aca="false">SUM(BU110:BU114)</f>
        <v>0</v>
      </c>
      <c r="BV115" s="82" t="n">
        <f aca="false">SUM(BV110:BV114)</f>
        <v>0</v>
      </c>
      <c r="BW115" s="82" t="n">
        <f aca="false">SUM(BW110:BW114)</f>
        <v>0</v>
      </c>
      <c r="BX115" s="82" t="n">
        <f aca="false">SUM(BX110:BX114)</f>
        <v>0</v>
      </c>
      <c r="BY115" s="82" t="n">
        <f aca="false">SUM(BY110:BY114)</f>
        <v>0</v>
      </c>
      <c r="BZ115" s="82" t="n">
        <f aca="false">SUM(BZ110:BZ114)</f>
        <v>0</v>
      </c>
      <c r="CA115" s="84" t="n">
        <f aca="false">SUM(CA110:CA114)</f>
        <v>0</v>
      </c>
      <c r="CC115" s="84" t="n">
        <f aca="false">SUM(CC110:CC114)</f>
        <v>0</v>
      </c>
      <c r="CD115" s="84" t="n">
        <f aca="false">SUM(CD110:CD114)</f>
        <v>0</v>
      </c>
      <c r="CE115" s="84" t="n">
        <f aca="false">SUM(CE110:CE114)</f>
        <v>0</v>
      </c>
      <c r="CF115" s="84" t="n">
        <f aca="false">SUM(CF110:CF114)</f>
        <v>0</v>
      </c>
      <c r="CG115" s="84" t="n">
        <f aca="false">SUM(CG110:CG114)</f>
        <v>0</v>
      </c>
      <c r="CI115" s="84" t="n">
        <f aca="false">CC115=L115</f>
        <v>1</v>
      </c>
      <c r="CJ115" s="84" t="n">
        <f aca="false">CD115=M115</f>
        <v>1</v>
      </c>
      <c r="CK115" s="84" t="n">
        <f aca="false">CE115=N115</f>
        <v>1</v>
      </c>
      <c r="CL115" s="84" t="n">
        <f aca="false">CF115=O115</f>
        <v>1</v>
      </c>
      <c r="CM115" s="84" t="n">
        <f aca="false">CG115=P115</f>
        <v>1</v>
      </c>
    </row>
    <row r="116" s="14" customFormat="true" ht="16.5" hidden="true" customHeight="true" outlineLevel="1" collapsed="false">
      <c r="H116" s="29"/>
      <c r="I116" s="108"/>
      <c r="J116" s="108"/>
      <c r="K116" s="108"/>
      <c r="L116" s="108"/>
      <c r="M116" s="108"/>
      <c r="N116" s="108"/>
      <c r="O116" s="108"/>
      <c r="P116" s="108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9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9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9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9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90"/>
      <c r="CC116" s="90"/>
      <c r="CD116" s="90"/>
      <c r="CE116" s="90"/>
      <c r="CF116" s="90"/>
      <c r="CG116" s="90"/>
      <c r="CI116" s="90"/>
      <c r="CJ116" s="90"/>
      <c r="CK116" s="90"/>
      <c r="CL116" s="90"/>
      <c r="CM116" s="90"/>
    </row>
    <row r="117" s="14" customFormat="true" ht="16.5" hidden="false" customHeight="true" outlineLevel="0" collapsed="false">
      <c r="E117" s="21" t="s">
        <v>131</v>
      </c>
      <c r="H117" s="29"/>
      <c r="I117" s="108"/>
      <c r="J117" s="108"/>
      <c r="K117" s="108"/>
      <c r="L117" s="108"/>
      <c r="M117" s="108"/>
      <c r="N117" s="108"/>
      <c r="O117" s="108"/>
      <c r="P117" s="108"/>
      <c r="Q117" s="16"/>
      <c r="R117" s="16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9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9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9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9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90"/>
      <c r="CC117" s="90"/>
      <c r="CD117" s="90"/>
      <c r="CE117" s="90"/>
      <c r="CF117" s="90"/>
      <c r="CG117" s="90"/>
      <c r="CI117" s="90"/>
      <c r="CJ117" s="90"/>
      <c r="CK117" s="90"/>
      <c r="CL117" s="90"/>
      <c r="CM117" s="90"/>
    </row>
    <row r="118" s="14" customFormat="true" ht="16.5" hidden="false" customHeight="true" outlineLevel="0" collapsed="false">
      <c r="E118" s="91" t="s">
        <v>137</v>
      </c>
      <c r="H118" s="29" t="s">
        <v>138</v>
      </c>
      <c r="I118" s="97" t="n">
        <v>0</v>
      </c>
      <c r="J118" s="97" t="n">
        <v>3.6</v>
      </c>
      <c r="K118" s="98" t="n">
        <f aca="false">J118-I118</f>
        <v>3.6</v>
      </c>
      <c r="L118" s="97"/>
      <c r="M118" s="97"/>
      <c r="N118" s="97" t="n">
        <v>3.6</v>
      </c>
      <c r="O118" s="97" t="n">
        <v>3.6</v>
      </c>
      <c r="P118" s="97" t="n">
        <v>3.6</v>
      </c>
      <c r="Q118" s="93"/>
      <c r="R118" s="16" t="str">
        <f aca="false">IF(K118=P118, "", "Error")</f>
        <v/>
      </c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4"/>
      <c r="AF118" s="95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4"/>
      <c r="AR118" s="95" t="n">
        <f aca="false">3.6/12</f>
        <v>0.3</v>
      </c>
      <c r="AS118" s="95" t="n">
        <f aca="false">3.6/12</f>
        <v>0.3</v>
      </c>
      <c r="AT118" s="95" t="n">
        <f aca="false">3.6/12</f>
        <v>0.3</v>
      </c>
      <c r="AU118" s="95" t="n">
        <f aca="false">3.6/12</f>
        <v>0.3</v>
      </c>
      <c r="AV118" s="95" t="n">
        <f aca="false">3.6/12</f>
        <v>0.3</v>
      </c>
      <c r="AW118" s="95" t="n">
        <f aca="false">3.6/12</f>
        <v>0.3</v>
      </c>
      <c r="AX118" s="95" t="n">
        <f aca="false">3.6/12</f>
        <v>0.3</v>
      </c>
      <c r="AY118" s="95" t="n">
        <f aca="false">3.6/12</f>
        <v>0.3</v>
      </c>
      <c r="AZ118" s="95" t="n">
        <f aca="false">3.6/12</f>
        <v>0.3</v>
      </c>
      <c r="BA118" s="95" t="n">
        <f aca="false">3.6/12</f>
        <v>0.3</v>
      </c>
      <c r="BB118" s="95" t="n">
        <f aca="false">3.6/12</f>
        <v>0.3</v>
      </c>
      <c r="BC118" s="95" t="n">
        <f aca="false">3.6/12</f>
        <v>0.3</v>
      </c>
      <c r="BD118" s="95" t="n">
        <f aca="false">3.6/12</f>
        <v>0.3</v>
      </c>
      <c r="BE118" s="95" t="n">
        <f aca="false">3.6/12</f>
        <v>0.3</v>
      </c>
      <c r="BF118" s="95" t="n">
        <f aca="false">3.6/12</f>
        <v>0.3</v>
      </c>
      <c r="BG118" s="95" t="n">
        <f aca="false">3.6/12</f>
        <v>0.3</v>
      </c>
      <c r="BH118" s="95" t="n">
        <f aca="false">3.6/12</f>
        <v>0.3</v>
      </c>
      <c r="BI118" s="95" t="n">
        <f aca="false">3.6/12</f>
        <v>0.3</v>
      </c>
      <c r="BJ118" s="95" t="n">
        <f aca="false">3.6/12</f>
        <v>0.3</v>
      </c>
      <c r="BK118" s="95" t="n">
        <f aca="false">3.6/12</f>
        <v>0.3</v>
      </c>
      <c r="BL118" s="95" t="n">
        <f aca="false">3.6/12</f>
        <v>0.3</v>
      </c>
      <c r="BM118" s="95" t="n">
        <f aca="false">3.6/12</f>
        <v>0.3</v>
      </c>
      <c r="BN118" s="95" t="n">
        <f aca="false">3.6/12</f>
        <v>0.3</v>
      </c>
      <c r="BO118" s="95" t="n">
        <f aca="false">3.6/12</f>
        <v>0.3</v>
      </c>
      <c r="BP118" s="95" t="n">
        <f aca="false">3.6/12</f>
        <v>0.3</v>
      </c>
      <c r="BQ118" s="95" t="n">
        <f aca="false">3.6/12</f>
        <v>0.3</v>
      </c>
      <c r="BR118" s="95" t="n">
        <f aca="false">3.6/12</f>
        <v>0.3</v>
      </c>
      <c r="BS118" s="95" t="n">
        <f aca="false">3.6/12</f>
        <v>0.3</v>
      </c>
      <c r="BT118" s="95" t="n">
        <f aca="false">3.6/12</f>
        <v>0.3</v>
      </c>
      <c r="BU118" s="95" t="n">
        <f aca="false">3.6/12</f>
        <v>0.3</v>
      </c>
      <c r="BV118" s="95" t="n">
        <f aca="false">3.6/12</f>
        <v>0.3</v>
      </c>
      <c r="BW118" s="95" t="n">
        <f aca="false">3.6/12</f>
        <v>0.3</v>
      </c>
      <c r="BX118" s="95" t="n">
        <f aca="false">3.6/12</f>
        <v>0.3</v>
      </c>
      <c r="BY118" s="95" t="n">
        <f aca="false">3.6/12</f>
        <v>0.3</v>
      </c>
      <c r="BZ118" s="95" t="n">
        <f aca="false">3.6/12</f>
        <v>0.3</v>
      </c>
      <c r="CA118" s="95" t="n">
        <f aca="false">3.6/12</f>
        <v>0.3</v>
      </c>
      <c r="CC118" s="79" t="n">
        <f aca="false">SUMIFS($T118:$CA118, $T$1:$CA$1, CC$75)</f>
        <v>0</v>
      </c>
      <c r="CD118" s="79" t="n">
        <f aca="false">SUMIFS($T118:$CA118, $T$1:$CA$1, CD$75)</f>
        <v>0</v>
      </c>
      <c r="CE118" s="79" t="n">
        <f aca="false">SUMIFS($T118:$CA118, $T$1:$CA$1, CE$75)</f>
        <v>3.6</v>
      </c>
      <c r="CF118" s="79" t="n">
        <f aca="false">SUMIFS($T118:$CA118, $T$1:$CA$1, CF$75)</f>
        <v>3.6</v>
      </c>
      <c r="CG118" s="79" t="n">
        <f aca="false">SUMIFS($T118:$CA118, $T$1:$CA$1, CG$75)</f>
        <v>3.6</v>
      </c>
      <c r="CI118" s="79" t="n">
        <f aca="false">CC118=L118</f>
        <v>1</v>
      </c>
      <c r="CJ118" s="79" t="n">
        <f aca="false">CD118=M118</f>
        <v>1</v>
      </c>
      <c r="CK118" s="79" t="n">
        <f aca="false">CE118=N118</f>
        <v>1</v>
      </c>
      <c r="CL118" s="79" t="n">
        <f aca="false">CF118=O118</f>
        <v>1</v>
      </c>
      <c r="CM118" s="79" t="n">
        <f aca="false">CG118=P118</f>
        <v>1</v>
      </c>
    </row>
    <row r="119" s="14" customFormat="true" ht="16.5" hidden="false" customHeight="true" outlineLevel="0" collapsed="false">
      <c r="E119" s="91" t="s">
        <v>139</v>
      </c>
      <c r="H119" s="29" t="s">
        <v>140</v>
      </c>
      <c r="I119" s="97" t="n">
        <v>0</v>
      </c>
      <c r="J119" s="97" t="n">
        <v>1.2</v>
      </c>
      <c r="K119" s="98" t="n">
        <f aca="false">J119-I119</f>
        <v>1.2</v>
      </c>
      <c r="L119" s="97"/>
      <c r="M119" s="97" t="n">
        <v>1.2</v>
      </c>
      <c r="N119" s="97" t="n">
        <v>1.2</v>
      </c>
      <c r="O119" s="97" t="n">
        <v>1.2</v>
      </c>
      <c r="P119" s="97" t="n">
        <v>1.2</v>
      </c>
      <c r="Q119" s="93"/>
      <c r="R119" s="16" t="str">
        <f aca="false">IF(K119=P119, "", "Error")</f>
        <v/>
      </c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4"/>
      <c r="AF119" s="94" t="n">
        <f aca="false">1.2/12</f>
        <v>0.1</v>
      </c>
      <c r="AG119" s="94" t="n">
        <f aca="false">1.2/12</f>
        <v>0.1</v>
      </c>
      <c r="AH119" s="94" t="n">
        <f aca="false">1.2/12</f>
        <v>0.1</v>
      </c>
      <c r="AI119" s="94" t="n">
        <f aca="false">1.2/12</f>
        <v>0.1</v>
      </c>
      <c r="AJ119" s="94" t="n">
        <f aca="false">1.2/12</f>
        <v>0.1</v>
      </c>
      <c r="AK119" s="94" t="n">
        <f aca="false">1.2/12</f>
        <v>0.1</v>
      </c>
      <c r="AL119" s="94" t="n">
        <f aca="false">1.2/12</f>
        <v>0.1</v>
      </c>
      <c r="AM119" s="94" t="n">
        <f aca="false">1.2/12</f>
        <v>0.1</v>
      </c>
      <c r="AN119" s="94" t="n">
        <f aca="false">1.2/12</f>
        <v>0.1</v>
      </c>
      <c r="AO119" s="94" t="n">
        <f aca="false">1.2/12</f>
        <v>0.1</v>
      </c>
      <c r="AP119" s="94" t="n">
        <f aca="false">1.2/12</f>
        <v>0.1</v>
      </c>
      <c r="AQ119" s="94" t="n">
        <f aca="false">1.2/12</f>
        <v>0.1</v>
      </c>
      <c r="AR119" s="94" t="n">
        <f aca="false">1.2/12</f>
        <v>0.1</v>
      </c>
      <c r="AS119" s="94" t="n">
        <f aca="false">1.2/12</f>
        <v>0.1</v>
      </c>
      <c r="AT119" s="94" t="n">
        <f aca="false">1.2/12</f>
        <v>0.1</v>
      </c>
      <c r="AU119" s="94" t="n">
        <f aca="false">1.2/12</f>
        <v>0.1</v>
      </c>
      <c r="AV119" s="94" t="n">
        <f aca="false">1.2/12</f>
        <v>0.1</v>
      </c>
      <c r="AW119" s="94" t="n">
        <f aca="false">1.2/12</f>
        <v>0.1</v>
      </c>
      <c r="AX119" s="94" t="n">
        <f aca="false">1.2/12</f>
        <v>0.1</v>
      </c>
      <c r="AY119" s="94" t="n">
        <f aca="false">1.2/12</f>
        <v>0.1</v>
      </c>
      <c r="AZ119" s="94" t="n">
        <f aca="false">1.2/12</f>
        <v>0.1</v>
      </c>
      <c r="BA119" s="94" t="n">
        <f aca="false">1.2/12</f>
        <v>0.1</v>
      </c>
      <c r="BB119" s="94" t="n">
        <f aca="false">1.2/12</f>
        <v>0.1</v>
      </c>
      <c r="BC119" s="94" t="n">
        <f aca="false">1.2/12</f>
        <v>0.1</v>
      </c>
      <c r="BD119" s="94" t="n">
        <f aca="false">1.2/12</f>
        <v>0.1</v>
      </c>
      <c r="BE119" s="94" t="n">
        <f aca="false">1.2/12</f>
        <v>0.1</v>
      </c>
      <c r="BF119" s="94" t="n">
        <f aca="false">1.2/12</f>
        <v>0.1</v>
      </c>
      <c r="BG119" s="94" t="n">
        <f aca="false">1.2/12</f>
        <v>0.1</v>
      </c>
      <c r="BH119" s="94" t="n">
        <f aca="false">1.2/12</f>
        <v>0.1</v>
      </c>
      <c r="BI119" s="94" t="n">
        <f aca="false">1.2/12</f>
        <v>0.1</v>
      </c>
      <c r="BJ119" s="94" t="n">
        <f aca="false">1.2/12</f>
        <v>0.1</v>
      </c>
      <c r="BK119" s="94" t="n">
        <f aca="false">1.2/12</f>
        <v>0.1</v>
      </c>
      <c r="BL119" s="94" t="n">
        <f aca="false">1.2/12</f>
        <v>0.1</v>
      </c>
      <c r="BM119" s="94" t="n">
        <f aca="false">1.2/12</f>
        <v>0.1</v>
      </c>
      <c r="BN119" s="94" t="n">
        <f aca="false">1.2/12</f>
        <v>0.1</v>
      </c>
      <c r="BO119" s="94" t="n">
        <f aca="false">1.2/12</f>
        <v>0.1</v>
      </c>
      <c r="BP119" s="94" t="n">
        <f aca="false">1.2/12</f>
        <v>0.1</v>
      </c>
      <c r="BQ119" s="94" t="n">
        <f aca="false">1.2/12</f>
        <v>0.1</v>
      </c>
      <c r="BR119" s="94" t="n">
        <f aca="false">1.2/12</f>
        <v>0.1</v>
      </c>
      <c r="BS119" s="94" t="n">
        <f aca="false">1.2/12</f>
        <v>0.1</v>
      </c>
      <c r="BT119" s="94" t="n">
        <f aca="false">1.2/12</f>
        <v>0.1</v>
      </c>
      <c r="BU119" s="94" t="n">
        <f aca="false">1.2/12</f>
        <v>0.1</v>
      </c>
      <c r="BV119" s="94" t="n">
        <f aca="false">1.2/12</f>
        <v>0.1</v>
      </c>
      <c r="BW119" s="94" t="n">
        <f aca="false">1.2/12</f>
        <v>0.1</v>
      </c>
      <c r="BX119" s="94" t="n">
        <f aca="false">1.2/12</f>
        <v>0.1</v>
      </c>
      <c r="BY119" s="94" t="n">
        <f aca="false">1.2/12</f>
        <v>0.1</v>
      </c>
      <c r="BZ119" s="94" t="n">
        <f aca="false">1.2/12</f>
        <v>0.1</v>
      </c>
      <c r="CA119" s="94" t="n">
        <f aca="false">1.2/12</f>
        <v>0.1</v>
      </c>
      <c r="CC119" s="79" t="n">
        <f aca="false">SUMIFS($T119:$CA119, $T$1:$CA$1, CC$75)</f>
        <v>0</v>
      </c>
      <c r="CD119" s="79" t="n">
        <f aca="false">SUMIFS($T119:$CA119, $T$1:$CA$1, CD$75)</f>
        <v>1.2</v>
      </c>
      <c r="CE119" s="79" t="n">
        <f aca="false">SUMIFS($T119:$CA119, $T$1:$CA$1, CE$75)</f>
        <v>1.2</v>
      </c>
      <c r="CF119" s="79" t="n">
        <f aca="false">SUMIFS($T119:$CA119, $T$1:$CA$1, CF$75)</f>
        <v>1.2</v>
      </c>
      <c r="CG119" s="79" t="n">
        <f aca="false">SUMIFS($T119:$CA119, $T$1:$CA$1, CG$75)</f>
        <v>1.2</v>
      </c>
      <c r="CI119" s="79" t="n">
        <f aca="false">CC119=L119</f>
        <v>1</v>
      </c>
      <c r="CJ119" s="79" t="n">
        <f aca="false">CD119=M119</f>
        <v>1</v>
      </c>
      <c r="CK119" s="79" t="n">
        <f aca="false">CE119=N119</f>
        <v>1</v>
      </c>
      <c r="CL119" s="79" t="n">
        <f aca="false">CF119=O119</f>
        <v>1</v>
      </c>
      <c r="CM119" s="79" t="n">
        <f aca="false">CG119=P119</f>
        <v>1</v>
      </c>
    </row>
    <row r="120" s="14" customFormat="true" ht="16.5" hidden="true" customHeight="true" outlineLevel="1" collapsed="false">
      <c r="E120" s="91"/>
      <c r="H120" s="29"/>
      <c r="I120" s="97"/>
      <c r="J120" s="97"/>
      <c r="K120" s="98"/>
      <c r="L120" s="97"/>
      <c r="M120" s="97"/>
      <c r="N120" s="97"/>
      <c r="O120" s="97"/>
      <c r="P120" s="97"/>
      <c r="Q120" s="93"/>
      <c r="R120" s="16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C120" s="79" t="n">
        <f aca="false">SUMIFS($T120:$CA120, $T$1:$CA$1, CC$75)</f>
        <v>0</v>
      </c>
      <c r="CD120" s="79" t="n">
        <f aca="false">SUMIFS($T120:$CA120, $T$1:$CA$1, CD$75)</f>
        <v>0</v>
      </c>
      <c r="CE120" s="79" t="n">
        <f aca="false">SUMIFS($T120:$CA120, $T$1:$CA$1, CE$75)</f>
        <v>0</v>
      </c>
      <c r="CF120" s="79" t="n">
        <f aca="false">SUMIFS($T120:$CA120, $T$1:$CA$1, CF$75)</f>
        <v>0</v>
      </c>
      <c r="CG120" s="79" t="n">
        <f aca="false">SUMIFS($T120:$CA120, $T$1:$CA$1, CG$75)</f>
        <v>0</v>
      </c>
      <c r="CI120" s="79" t="n">
        <f aca="false">CC120=L120</f>
        <v>1</v>
      </c>
      <c r="CJ120" s="79" t="n">
        <f aca="false">CD120=M120</f>
        <v>1</v>
      </c>
      <c r="CK120" s="79" t="n">
        <f aca="false">CE120=N120</f>
        <v>1</v>
      </c>
      <c r="CL120" s="79" t="n">
        <f aca="false">CF120=O120</f>
        <v>1</v>
      </c>
      <c r="CM120" s="79" t="n">
        <f aca="false">CG120=P120</f>
        <v>1</v>
      </c>
    </row>
    <row r="121" s="14" customFormat="true" ht="16.5" hidden="true" customHeight="true" outlineLevel="1" collapsed="false">
      <c r="E121" s="91"/>
      <c r="H121" s="29"/>
      <c r="I121" s="97"/>
      <c r="J121" s="97" t="n">
        <v>0</v>
      </c>
      <c r="K121" s="98" t="n">
        <f aca="false">J121-I121</f>
        <v>0</v>
      </c>
      <c r="L121" s="97"/>
      <c r="M121" s="97"/>
      <c r="N121" s="97"/>
      <c r="O121" s="97"/>
      <c r="P121" s="97"/>
      <c r="Q121" s="93"/>
      <c r="R121" s="16" t="str">
        <f aca="false">IF(K121=P121, "", "Error")</f>
        <v/>
      </c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4"/>
      <c r="AF121" s="95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4"/>
      <c r="AR121" s="95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4"/>
      <c r="BD121" s="95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4"/>
      <c r="BP121" s="95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119"/>
      <c r="CC121" s="79" t="n">
        <f aca="false">SUMIFS($T121:$CA121, $T$1:$CA$1, CC$75)</f>
        <v>0</v>
      </c>
      <c r="CD121" s="79" t="n">
        <f aca="false">SUMIFS($T121:$CA121, $T$1:$CA$1, CD$75)</f>
        <v>0</v>
      </c>
      <c r="CE121" s="79" t="n">
        <f aca="false">SUMIFS($T121:$CA121, $T$1:$CA$1, CE$75)</f>
        <v>0</v>
      </c>
      <c r="CF121" s="79" t="n">
        <f aca="false">SUMIFS($T121:$CA121, $T$1:$CA$1, CF$75)</f>
        <v>0</v>
      </c>
      <c r="CG121" s="79" t="n">
        <f aca="false">SUMIFS($T121:$CA121, $T$1:$CA$1, CG$75)</f>
        <v>0</v>
      </c>
      <c r="CI121" s="79" t="n">
        <f aca="false">CC121=L121</f>
        <v>1</v>
      </c>
      <c r="CJ121" s="79" t="n">
        <f aca="false">CD121=M121</f>
        <v>1</v>
      </c>
      <c r="CK121" s="79" t="n">
        <f aca="false">CE121=N121</f>
        <v>1</v>
      </c>
      <c r="CL121" s="79" t="n">
        <f aca="false">CF121=O121</f>
        <v>1</v>
      </c>
      <c r="CM121" s="79" t="n">
        <f aca="false">CG121=P121</f>
        <v>1</v>
      </c>
    </row>
    <row r="122" s="14" customFormat="true" ht="16.5" hidden="true" customHeight="true" outlineLevel="1" collapsed="false">
      <c r="E122" s="91"/>
      <c r="H122" s="29"/>
      <c r="I122" s="97" t="n">
        <v>0</v>
      </c>
      <c r="J122" s="97" t="n">
        <v>0</v>
      </c>
      <c r="K122" s="98" t="n">
        <f aca="false">J122-I122</f>
        <v>0</v>
      </c>
      <c r="L122" s="97"/>
      <c r="M122" s="97"/>
      <c r="N122" s="97"/>
      <c r="O122" s="97"/>
      <c r="P122" s="97"/>
      <c r="Q122" s="93"/>
      <c r="R122" s="16" t="str">
        <f aca="false">IF(K122=P122, "", "Error")</f>
        <v/>
      </c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4"/>
      <c r="AF122" s="95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4"/>
      <c r="AR122" s="95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4"/>
      <c r="BD122" s="95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4"/>
      <c r="BP122" s="95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119"/>
      <c r="CC122" s="79" t="n">
        <f aca="false">SUMIFS($T122:$CA122, $T$1:$CA$1, CC$75)</f>
        <v>0</v>
      </c>
      <c r="CD122" s="79" t="n">
        <f aca="false">SUMIFS($T122:$CA122, $T$1:$CA$1, CD$75)</f>
        <v>0</v>
      </c>
      <c r="CE122" s="79" t="n">
        <f aca="false">SUMIFS($T122:$CA122, $T$1:$CA$1, CE$75)</f>
        <v>0</v>
      </c>
      <c r="CF122" s="79" t="n">
        <f aca="false">SUMIFS($T122:$CA122, $T$1:$CA$1, CF$75)</f>
        <v>0</v>
      </c>
      <c r="CG122" s="79" t="n">
        <f aca="false">SUMIFS($T122:$CA122, $T$1:$CA$1, CG$75)</f>
        <v>0</v>
      </c>
      <c r="CI122" s="79" t="n">
        <f aca="false">CC122=L122</f>
        <v>1</v>
      </c>
      <c r="CJ122" s="79" t="n">
        <f aca="false">CD122=M122</f>
        <v>1</v>
      </c>
      <c r="CK122" s="79" t="n">
        <f aca="false">CE122=N122</f>
        <v>1</v>
      </c>
      <c r="CL122" s="79" t="n">
        <f aca="false">CF122=O122</f>
        <v>1</v>
      </c>
      <c r="CM122" s="79" t="n">
        <f aca="false">CG122=P122</f>
        <v>1</v>
      </c>
    </row>
    <row r="123" s="14" customFormat="true" ht="16.5" hidden="false" customHeight="true" outlineLevel="0" collapsed="false">
      <c r="E123" s="96" t="s">
        <v>134</v>
      </c>
      <c r="H123" s="29"/>
      <c r="I123" s="102" t="n">
        <f aca="false">SUM(I118:I122)</f>
        <v>0</v>
      </c>
      <c r="J123" s="102" t="n">
        <f aca="false">SUM(J118:J122)</f>
        <v>4.8</v>
      </c>
      <c r="K123" s="102" t="n">
        <f aca="false">SUM(K118:K122)</f>
        <v>4.8</v>
      </c>
      <c r="L123" s="102" t="n">
        <f aca="false">SUM(L118:L122)</f>
        <v>0</v>
      </c>
      <c r="M123" s="102" t="n">
        <f aca="false">SUM(M118:M122)</f>
        <v>1.2</v>
      </c>
      <c r="N123" s="102" t="n">
        <f aca="false">SUM(N118:N122)</f>
        <v>4.8</v>
      </c>
      <c r="O123" s="102" t="n">
        <f aca="false">SUM(O118:O122)</f>
        <v>4.8</v>
      </c>
      <c r="P123" s="102" t="n">
        <f aca="false">SUM(P118:P122)</f>
        <v>4.8</v>
      </c>
      <c r="Q123" s="16"/>
      <c r="R123" s="16"/>
      <c r="T123" s="82" t="n">
        <f aca="false">SUM(T118:T122)</f>
        <v>0</v>
      </c>
      <c r="U123" s="82" t="n">
        <f aca="false">SUM(U118:U122)</f>
        <v>0</v>
      </c>
      <c r="V123" s="82" t="n">
        <f aca="false">SUM(V118:V122)</f>
        <v>0</v>
      </c>
      <c r="W123" s="82" t="n">
        <f aca="false">SUM(W118:W122)</f>
        <v>0</v>
      </c>
      <c r="X123" s="82" t="n">
        <f aca="false">SUM(X118:X122)</f>
        <v>0</v>
      </c>
      <c r="Y123" s="82" t="n">
        <f aca="false">SUM(Y118:Y122)</f>
        <v>0</v>
      </c>
      <c r="Z123" s="82" t="n">
        <f aca="false">SUM(Z118:Z122)</f>
        <v>0</v>
      </c>
      <c r="AA123" s="82" t="n">
        <f aca="false">SUM(AA118:AA122)</f>
        <v>0</v>
      </c>
      <c r="AB123" s="82" t="n">
        <f aca="false">SUM(AB118:AB122)</f>
        <v>0</v>
      </c>
      <c r="AC123" s="82" t="n">
        <f aca="false">SUM(AC118:AC122)</f>
        <v>0</v>
      </c>
      <c r="AD123" s="82" t="n">
        <f aca="false">SUM(AD118:AD122)</f>
        <v>0</v>
      </c>
      <c r="AE123" s="82" t="n">
        <f aca="false">SUM(AE118:AE122)</f>
        <v>0</v>
      </c>
      <c r="AF123" s="83" t="n">
        <f aca="false">SUM(AF118:AF122)</f>
        <v>0.1</v>
      </c>
      <c r="AG123" s="82" t="n">
        <f aca="false">SUM(AG118:AG122)</f>
        <v>0.1</v>
      </c>
      <c r="AH123" s="82" t="n">
        <f aca="false">SUM(AH118:AH122)</f>
        <v>0.1</v>
      </c>
      <c r="AI123" s="82" t="n">
        <f aca="false">SUM(AI118:AI122)</f>
        <v>0.1</v>
      </c>
      <c r="AJ123" s="82" t="n">
        <f aca="false">SUM(AJ118:AJ122)</f>
        <v>0.1</v>
      </c>
      <c r="AK123" s="82" t="n">
        <f aca="false">SUM(AK118:AK122)</f>
        <v>0.1</v>
      </c>
      <c r="AL123" s="82" t="n">
        <f aca="false">SUM(AL118:AL122)</f>
        <v>0.1</v>
      </c>
      <c r="AM123" s="82" t="n">
        <f aca="false">SUM(AM118:AM122)</f>
        <v>0.1</v>
      </c>
      <c r="AN123" s="82" t="n">
        <f aca="false">SUM(AN118:AN122)</f>
        <v>0.1</v>
      </c>
      <c r="AO123" s="82" t="n">
        <f aca="false">SUM(AO118:AO122)</f>
        <v>0.1</v>
      </c>
      <c r="AP123" s="82" t="n">
        <f aca="false">SUM(AP118:AP122)</f>
        <v>0.1</v>
      </c>
      <c r="AQ123" s="82" t="n">
        <f aca="false">SUM(AQ118:AQ122)</f>
        <v>0.1</v>
      </c>
      <c r="AR123" s="83" t="n">
        <f aca="false">SUM(AR118:AR122)</f>
        <v>0.4</v>
      </c>
      <c r="AS123" s="82" t="n">
        <f aca="false">SUM(AS118:AS122)</f>
        <v>0.4</v>
      </c>
      <c r="AT123" s="82" t="n">
        <f aca="false">SUM(AT118:AT122)</f>
        <v>0.4</v>
      </c>
      <c r="AU123" s="82" t="n">
        <f aca="false">SUM(AU118:AU122)</f>
        <v>0.4</v>
      </c>
      <c r="AV123" s="82" t="n">
        <f aca="false">SUM(AV118:AV122)</f>
        <v>0.4</v>
      </c>
      <c r="AW123" s="82" t="n">
        <f aca="false">SUM(AW118:AW122)</f>
        <v>0.4</v>
      </c>
      <c r="AX123" s="82" t="n">
        <f aca="false">SUM(AX118:AX122)</f>
        <v>0.4</v>
      </c>
      <c r="AY123" s="82" t="n">
        <f aca="false">SUM(AY118:AY122)</f>
        <v>0.4</v>
      </c>
      <c r="AZ123" s="82" t="n">
        <f aca="false">SUM(AZ118:AZ122)</f>
        <v>0.4</v>
      </c>
      <c r="BA123" s="82" t="n">
        <f aca="false">SUM(BA118:BA122)</f>
        <v>0.4</v>
      </c>
      <c r="BB123" s="82" t="n">
        <f aca="false">SUM(BB118:BB122)</f>
        <v>0.4</v>
      </c>
      <c r="BC123" s="82" t="n">
        <f aca="false">SUM(BC118:BC122)</f>
        <v>0.4</v>
      </c>
      <c r="BD123" s="83" t="n">
        <f aca="false">SUM(BD118:BD122)</f>
        <v>0.4</v>
      </c>
      <c r="BE123" s="82" t="n">
        <f aca="false">SUM(BE118:BE122)</f>
        <v>0.4</v>
      </c>
      <c r="BF123" s="82" t="n">
        <f aca="false">SUM(BF118:BF122)</f>
        <v>0.4</v>
      </c>
      <c r="BG123" s="82" t="n">
        <f aca="false">SUM(BG118:BG122)</f>
        <v>0.4</v>
      </c>
      <c r="BH123" s="82" t="n">
        <f aca="false">SUM(BH118:BH122)</f>
        <v>0.4</v>
      </c>
      <c r="BI123" s="82" t="n">
        <f aca="false">SUM(BI118:BI122)</f>
        <v>0.4</v>
      </c>
      <c r="BJ123" s="82" t="n">
        <f aca="false">SUM(BJ118:BJ122)</f>
        <v>0.4</v>
      </c>
      <c r="BK123" s="82" t="n">
        <f aca="false">SUM(BK118:BK122)</f>
        <v>0.4</v>
      </c>
      <c r="BL123" s="82" t="n">
        <f aca="false">SUM(BL118:BL122)</f>
        <v>0.4</v>
      </c>
      <c r="BM123" s="82" t="n">
        <f aca="false">SUM(BM118:BM122)</f>
        <v>0.4</v>
      </c>
      <c r="BN123" s="82" t="n">
        <f aca="false">SUM(BN118:BN122)</f>
        <v>0.4</v>
      </c>
      <c r="BO123" s="82" t="n">
        <f aca="false">SUM(BO118:BO122)</f>
        <v>0.4</v>
      </c>
      <c r="BP123" s="83" t="n">
        <f aca="false">SUM(BP118:BP122)</f>
        <v>0.4</v>
      </c>
      <c r="BQ123" s="82" t="n">
        <f aca="false">SUM(BQ118:BQ122)</f>
        <v>0.4</v>
      </c>
      <c r="BR123" s="82" t="n">
        <f aca="false">SUM(BR118:BR122)</f>
        <v>0.4</v>
      </c>
      <c r="BS123" s="82" t="n">
        <f aca="false">SUM(BS118:BS122)</f>
        <v>0.4</v>
      </c>
      <c r="BT123" s="82" t="n">
        <f aca="false">SUM(BT118:BT122)</f>
        <v>0.4</v>
      </c>
      <c r="BU123" s="82" t="n">
        <f aca="false">SUM(BU118:BU122)</f>
        <v>0.4</v>
      </c>
      <c r="BV123" s="82" t="n">
        <f aca="false">SUM(BV118:BV122)</f>
        <v>0.4</v>
      </c>
      <c r="BW123" s="82" t="n">
        <f aca="false">SUM(BW118:BW122)</f>
        <v>0.4</v>
      </c>
      <c r="BX123" s="82" t="n">
        <f aca="false">SUM(BX118:BX122)</f>
        <v>0.4</v>
      </c>
      <c r="BY123" s="82" t="n">
        <f aca="false">SUM(BY118:BY122)</f>
        <v>0.4</v>
      </c>
      <c r="BZ123" s="82" t="n">
        <f aca="false">SUM(BZ118:BZ122)</f>
        <v>0.4</v>
      </c>
      <c r="CA123" s="84" t="n">
        <f aca="false">SUM(CA118:CA122)</f>
        <v>0.4</v>
      </c>
      <c r="CC123" s="84" t="n">
        <f aca="false">SUM(CC118:CC122)</f>
        <v>0</v>
      </c>
      <c r="CD123" s="84" t="n">
        <f aca="false">SUM(CD118:CD122)</f>
        <v>1.2</v>
      </c>
      <c r="CE123" s="84" t="n">
        <f aca="false">SUM(CE118:CE122)</f>
        <v>4.8</v>
      </c>
      <c r="CF123" s="84" t="n">
        <f aca="false">SUM(CF118:CF122)</f>
        <v>4.8</v>
      </c>
      <c r="CG123" s="84" t="n">
        <f aca="false">SUM(CG118:CG122)</f>
        <v>4.8</v>
      </c>
      <c r="CI123" s="84" t="n">
        <f aca="false">CC123=L123</f>
        <v>1</v>
      </c>
      <c r="CJ123" s="84" t="n">
        <f aca="false">CD123=M123</f>
        <v>1</v>
      </c>
      <c r="CK123" s="84" t="n">
        <f aca="false">CE123=N123</f>
        <v>1</v>
      </c>
      <c r="CL123" s="84" t="n">
        <f aca="false">CF123=O123</f>
        <v>1</v>
      </c>
      <c r="CM123" s="84" t="n">
        <f aca="false">CG123=P123</f>
        <v>1</v>
      </c>
    </row>
    <row r="124" s="14" customFormat="true" ht="16.5" hidden="true" customHeight="true" outlineLevel="1" collapsed="false">
      <c r="E124" s="96"/>
      <c r="H124" s="29"/>
      <c r="I124" s="102"/>
      <c r="J124" s="102"/>
      <c r="K124" s="102"/>
      <c r="L124" s="102"/>
      <c r="M124" s="102"/>
      <c r="N124" s="102"/>
      <c r="O124" s="102"/>
      <c r="P124" s="102"/>
      <c r="Q124" s="16"/>
      <c r="R124" s="16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3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3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3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3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4"/>
      <c r="CC124" s="84"/>
      <c r="CD124" s="84"/>
      <c r="CE124" s="84"/>
      <c r="CF124" s="84"/>
      <c r="CG124" s="84"/>
      <c r="CI124" s="84"/>
      <c r="CJ124" s="84"/>
      <c r="CK124" s="84"/>
      <c r="CL124" s="84"/>
      <c r="CM124" s="84"/>
    </row>
    <row r="125" s="14" customFormat="true" ht="16.5" hidden="true" customHeight="true" outlineLevel="1" collapsed="false">
      <c r="E125" s="85"/>
      <c r="I125" s="98"/>
      <c r="J125" s="98"/>
      <c r="K125" s="98"/>
      <c r="L125" s="98"/>
      <c r="M125" s="98"/>
      <c r="N125" s="98"/>
      <c r="O125" s="98"/>
      <c r="P125" s="98"/>
      <c r="Q125" s="16"/>
      <c r="R125" s="16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9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9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9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9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90"/>
      <c r="CC125" s="90"/>
      <c r="CD125" s="90"/>
      <c r="CE125" s="90"/>
      <c r="CF125" s="90"/>
      <c r="CG125" s="90"/>
      <c r="CI125" s="90"/>
      <c r="CJ125" s="90"/>
      <c r="CK125" s="90"/>
      <c r="CL125" s="90"/>
      <c r="CM125" s="90"/>
    </row>
    <row r="126" s="14" customFormat="true" ht="16.5" hidden="false" customHeight="true" outlineLevel="0" collapsed="false">
      <c r="E126" s="109" t="s">
        <v>141</v>
      </c>
      <c r="F126" s="109"/>
      <c r="G126" s="109"/>
      <c r="H126" s="109"/>
      <c r="I126" s="111" t="n">
        <f aca="false">SUM(-I107, I115, I123)</f>
        <v>0</v>
      </c>
      <c r="J126" s="111" t="n">
        <f aca="false">SUM(-J107, J115, J123)</f>
        <v>4.8</v>
      </c>
      <c r="K126" s="111" t="n">
        <f aca="false">SUM(-K107, K115, K123)</f>
        <v>4.8</v>
      </c>
      <c r="L126" s="111" t="n">
        <f aca="false">SUM(-L107, L115, L123)</f>
        <v>0</v>
      </c>
      <c r="M126" s="111" t="n">
        <f aca="false">SUM(-M107, M115, M123)</f>
        <v>1.2</v>
      </c>
      <c r="N126" s="111" t="n">
        <f aca="false">SUM(-N107, N115, N123)</f>
        <v>4.8</v>
      </c>
      <c r="O126" s="111" t="n">
        <f aca="false">SUM(-O107, O115, O123)</f>
        <v>4.8</v>
      </c>
      <c r="P126" s="111" t="n">
        <f aca="false">SUM(-P107, P115, P123)</f>
        <v>4.8</v>
      </c>
      <c r="Q126" s="16"/>
      <c r="R126" s="16"/>
      <c r="T126" s="120" t="n">
        <f aca="false">SUM(-T107, T115, T123)</f>
        <v>0</v>
      </c>
      <c r="U126" s="120" t="n">
        <f aca="false">SUM(-U107, U115, U123)</f>
        <v>0</v>
      </c>
      <c r="V126" s="120" t="n">
        <f aca="false">SUM(-V107, V115, V123)</f>
        <v>0</v>
      </c>
      <c r="W126" s="120" t="n">
        <f aca="false">SUM(-W107, W115, W123)</f>
        <v>0</v>
      </c>
      <c r="X126" s="120" t="n">
        <f aca="false">SUM(-X107, X115, X123)</f>
        <v>0</v>
      </c>
      <c r="Y126" s="120" t="n">
        <f aca="false">SUM(-Y107, Y115, Y123)</f>
        <v>0</v>
      </c>
      <c r="Z126" s="120" t="n">
        <f aca="false">SUM(-Z107, Z115, Z123)</f>
        <v>0</v>
      </c>
      <c r="AA126" s="120" t="n">
        <f aca="false">SUM(-AA107, AA115, AA123)</f>
        <v>0</v>
      </c>
      <c r="AB126" s="120" t="n">
        <f aca="false">SUM(-AB107, AB115, AB123)</f>
        <v>0</v>
      </c>
      <c r="AC126" s="120" t="n">
        <f aca="false">SUM(-AC107, AC115, AC123)</f>
        <v>0</v>
      </c>
      <c r="AD126" s="120" t="n">
        <f aca="false">SUM(-AD107, AD115, AD123)</f>
        <v>0</v>
      </c>
      <c r="AE126" s="120" t="n">
        <f aca="false">SUM(-AE107, AE115, AE123)</f>
        <v>0</v>
      </c>
      <c r="AF126" s="120" t="n">
        <f aca="false">SUM(-AF107, AF115, AF123)</f>
        <v>0.1</v>
      </c>
      <c r="AG126" s="120" t="n">
        <f aca="false">SUM(-AG107, AG115, AG123)</f>
        <v>0.1</v>
      </c>
      <c r="AH126" s="120" t="n">
        <f aca="false">SUM(-AH107, AH115, AH123)</f>
        <v>0.1</v>
      </c>
      <c r="AI126" s="120" t="n">
        <f aca="false">SUM(-AI107, AI115, AI123)</f>
        <v>0.1</v>
      </c>
      <c r="AJ126" s="120" t="n">
        <f aca="false">SUM(-AJ107, AJ115, AJ123)</f>
        <v>0.1</v>
      </c>
      <c r="AK126" s="120" t="n">
        <f aca="false">SUM(-AK107, AK115, AK123)</f>
        <v>0.1</v>
      </c>
      <c r="AL126" s="120" t="n">
        <f aca="false">SUM(-AL107, AL115, AL123)</f>
        <v>0.1</v>
      </c>
      <c r="AM126" s="120" t="n">
        <f aca="false">SUM(-AM107, AM115, AM123)</f>
        <v>0.1</v>
      </c>
      <c r="AN126" s="120" t="n">
        <f aca="false">SUM(-AN107, AN115, AN123)</f>
        <v>0.1</v>
      </c>
      <c r="AO126" s="120" t="n">
        <f aca="false">SUM(-AO107, AO115, AO123)</f>
        <v>0.1</v>
      </c>
      <c r="AP126" s="120" t="n">
        <f aca="false">SUM(-AP107, AP115, AP123)</f>
        <v>0.1</v>
      </c>
      <c r="AQ126" s="120" t="n">
        <f aca="false">SUM(-AQ107, AQ115, AQ123)</f>
        <v>0.1</v>
      </c>
      <c r="AR126" s="120" t="n">
        <f aca="false">SUM(-AR107, AR115, AR123)</f>
        <v>0.4</v>
      </c>
      <c r="AS126" s="120" t="n">
        <f aca="false">SUM(-AS107, AS115, AS123)</f>
        <v>0.4</v>
      </c>
      <c r="AT126" s="120" t="n">
        <f aca="false">SUM(-AT107, AT115, AT123)</f>
        <v>0.4</v>
      </c>
      <c r="AU126" s="120" t="n">
        <f aca="false">SUM(-AU107, AU115, AU123)</f>
        <v>0.4</v>
      </c>
      <c r="AV126" s="120" t="n">
        <f aca="false">SUM(-AV107, AV115, AV123)</f>
        <v>0.4</v>
      </c>
      <c r="AW126" s="120" t="n">
        <f aca="false">SUM(-AW107, AW115, AW123)</f>
        <v>0.4</v>
      </c>
      <c r="AX126" s="120" t="n">
        <f aca="false">SUM(-AX107, AX115, AX123)</f>
        <v>0.4</v>
      </c>
      <c r="AY126" s="120" t="n">
        <f aca="false">SUM(-AY107, AY115, AY123)</f>
        <v>0.4</v>
      </c>
      <c r="AZ126" s="120" t="n">
        <f aca="false">SUM(-AZ107, AZ115, AZ123)</f>
        <v>0.4</v>
      </c>
      <c r="BA126" s="120" t="n">
        <f aca="false">SUM(-BA107, BA115, BA123)</f>
        <v>0.4</v>
      </c>
      <c r="BB126" s="120" t="n">
        <f aca="false">SUM(-BB107, BB115, BB123)</f>
        <v>0.4</v>
      </c>
      <c r="BC126" s="120" t="n">
        <f aca="false">SUM(-BC107, BC115, BC123)</f>
        <v>0.4</v>
      </c>
      <c r="BD126" s="120" t="n">
        <f aca="false">SUM(-BD107, BD115, BD123)</f>
        <v>0.4</v>
      </c>
      <c r="BE126" s="120" t="n">
        <f aca="false">SUM(-BE107, BE115, BE123)</f>
        <v>0.4</v>
      </c>
      <c r="BF126" s="120" t="n">
        <f aca="false">SUM(-BF107, BF115, BF123)</f>
        <v>0.4</v>
      </c>
      <c r="BG126" s="120" t="n">
        <f aca="false">SUM(-BG107, BG115, BG123)</f>
        <v>0.4</v>
      </c>
      <c r="BH126" s="120" t="n">
        <f aca="false">SUM(-BH107, BH115, BH123)</f>
        <v>0.4</v>
      </c>
      <c r="BI126" s="120" t="n">
        <f aca="false">SUM(-BI107, BI115, BI123)</f>
        <v>0.4</v>
      </c>
      <c r="BJ126" s="120" t="n">
        <f aca="false">SUM(-BJ107, BJ115, BJ123)</f>
        <v>0.4</v>
      </c>
      <c r="BK126" s="120" t="n">
        <f aca="false">SUM(-BK107, BK115, BK123)</f>
        <v>0.4</v>
      </c>
      <c r="BL126" s="120" t="n">
        <f aca="false">SUM(-BL107, BL115, BL123)</f>
        <v>0.4</v>
      </c>
      <c r="BM126" s="120" t="n">
        <f aca="false">SUM(-BM107, BM115, BM123)</f>
        <v>0.4</v>
      </c>
      <c r="BN126" s="120" t="n">
        <f aca="false">SUM(-BN107, BN115, BN123)</f>
        <v>0.4</v>
      </c>
      <c r="BO126" s="120" t="n">
        <f aca="false">SUM(-BO107, BO115, BO123)</f>
        <v>0.4</v>
      </c>
      <c r="BP126" s="120" t="n">
        <f aca="false">SUM(-BP107, BP115, BP123)</f>
        <v>0.4</v>
      </c>
      <c r="BQ126" s="120" t="n">
        <f aca="false">SUM(-BQ107, BQ115, BQ123)</f>
        <v>0.4</v>
      </c>
      <c r="BR126" s="120" t="n">
        <f aca="false">SUM(-BR107, BR115, BR123)</f>
        <v>0.4</v>
      </c>
      <c r="BS126" s="120" t="n">
        <f aca="false">SUM(-BS107, BS115, BS123)</f>
        <v>0.4</v>
      </c>
      <c r="BT126" s="120" t="n">
        <f aca="false">SUM(-BT107, BT115, BT123)</f>
        <v>0.4</v>
      </c>
      <c r="BU126" s="120" t="n">
        <f aca="false">SUM(-BU107, BU115, BU123)</f>
        <v>0.4</v>
      </c>
      <c r="BV126" s="120" t="n">
        <f aca="false">SUM(-BV107, BV115, BV123)</f>
        <v>0.4</v>
      </c>
      <c r="BW126" s="120" t="n">
        <f aca="false">SUM(-BW107, BW115, BW123)</f>
        <v>0.4</v>
      </c>
      <c r="BX126" s="120" t="n">
        <f aca="false">SUM(-BX107, BX115, BX123)</f>
        <v>0.4</v>
      </c>
      <c r="BY126" s="120" t="n">
        <f aca="false">SUM(-BY107, BY115, BY123)</f>
        <v>0.4</v>
      </c>
      <c r="BZ126" s="120" t="n">
        <f aca="false">SUM(-BZ107, BZ115, BZ123)</f>
        <v>0.4</v>
      </c>
      <c r="CA126" s="120" t="n">
        <f aca="false">SUM(-CA107, CA115, CA123)</f>
        <v>0.4</v>
      </c>
      <c r="CC126" s="120" t="n">
        <f aca="false">SUM(-CC107, CC115, CC123)</f>
        <v>0</v>
      </c>
      <c r="CD126" s="120" t="n">
        <f aca="false">SUM(-CD107, CD115, CD123)</f>
        <v>1.2</v>
      </c>
      <c r="CE126" s="120" t="n">
        <f aca="false">SUM(-CE107, CE115, CE123)</f>
        <v>4.8</v>
      </c>
      <c r="CF126" s="120" t="n">
        <f aca="false">SUM(-CF107, CF115, CF123)</f>
        <v>4.8</v>
      </c>
      <c r="CG126" s="120" t="n">
        <f aca="false">SUM(-CG107, CG115, CG123)</f>
        <v>4.8</v>
      </c>
      <c r="CI126" s="113" t="n">
        <f aca="false">CC126=L126</f>
        <v>1</v>
      </c>
      <c r="CJ126" s="113" t="n">
        <f aca="false">CD126=M126</f>
        <v>1</v>
      </c>
      <c r="CK126" s="113" t="n">
        <f aca="false">CE126=N126</f>
        <v>1</v>
      </c>
      <c r="CL126" s="113" t="n">
        <f aca="false">CF126=O126</f>
        <v>1</v>
      </c>
      <c r="CM126" s="113" t="n">
        <f aca="false">CG126=P126</f>
        <v>1</v>
      </c>
    </row>
    <row r="127" s="14" customFormat="true" ht="16.5" hidden="false" customHeight="true" outlineLevel="0" collapsed="false">
      <c r="E127" s="21"/>
      <c r="I127" s="98"/>
      <c r="J127" s="98"/>
      <c r="K127" s="98"/>
      <c r="L127" s="98"/>
      <c r="M127" s="98"/>
      <c r="N127" s="98"/>
      <c r="O127" s="98"/>
      <c r="P127" s="98"/>
      <c r="Q127" s="16"/>
      <c r="R127" s="16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121"/>
    </row>
    <row r="128" s="14" customFormat="true" ht="16.5" hidden="false" customHeight="true" outlineLevel="0" collapsed="false">
      <c r="E128" s="122" t="s">
        <v>142</v>
      </c>
      <c r="F128" s="123"/>
      <c r="G128" s="123"/>
      <c r="H128" s="123"/>
      <c r="I128" s="124" t="n">
        <f aca="false">SUM(I100, -I126)</f>
        <v>25</v>
      </c>
      <c r="J128" s="124" t="n">
        <f aca="false">SUM(J100, -J126)</f>
        <v>8.2</v>
      </c>
      <c r="K128" s="124" t="n">
        <f aca="false">SUM(K100, -K126)</f>
        <v>7.2</v>
      </c>
      <c r="L128" s="124" t="n">
        <f aca="false">SUM(L100, -L126)</f>
        <v>0</v>
      </c>
      <c r="M128" s="124" t="n">
        <f aca="false">SUM(M100, -M126)</f>
        <v>-1.2</v>
      </c>
      <c r="N128" s="124" t="n">
        <f aca="false">SUM(N100, -N126)</f>
        <v>7.2</v>
      </c>
      <c r="O128" s="124" t="n">
        <f aca="false">SUM(O100, -O126)</f>
        <v>7.2</v>
      </c>
      <c r="P128" s="124" t="n">
        <f aca="false">SUM(P100, -P126)</f>
        <v>7.2</v>
      </c>
      <c r="Q128" s="16"/>
      <c r="R128" s="16" t="str">
        <f aca="false">IF(K128=P128, "", "Error")</f>
        <v/>
      </c>
      <c r="T128" s="125" t="n">
        <f aca="false">SUM(T100, -T126)</f>
        <v>0</v>
      </c>
      <c r="U128" s="125" t="n">
        <f aca="false">SUM(U100, -U126)</f>
        <v>0</v>
      </c>
      <c r="V128" s="125" t="n">
        <f aca="false">SUM(V100, -V126)</f>
        <v>0</v>
      </c>
      <c r="W128" s="125" t="n">
        <f aca="false">SUM(W100, -W126)</f>
        <v>0</v>
      </c>
      <c r="X128" s="125" t="n">
        <f aca="false">SUM(X100, -X126)</f>
        <v>0</v>
      </c>
      <c r="Y128" s="125" t="n">
        <f aca="false">SUM(Y100, -Y126)</f>
        <v>0</v>
      </c>
      <c r="Z128" s="125" t="n">
        <f aca="false">SUM(Z100, -Z126)</f>
        <v>0</v>
      </c>
      <c r="AA128" s="125" t="n">
        <f aca="false">SUM(AA100, -AA126)</f>
        <v>0</v>
      </c>
      <c r="AB128" s="125" t="n">
        <f aca="false">SUM(AB100, -AB126)</f>
        <v>0</v>
      </c>
      <c r="AC128" s="125" t="n">
        <f aca="false">SUM(AC100, -AC126)</f>
        <v>0</v>
      </c>
      <c r="AD128" s="125" t="n">
        <f aca="false">SUM(AD100, -AD126)</f>
        <v>0</v>
      </c>
      <c r="AE128" s="125" t="n">
        <f aca="false">SUM(AE100, -AE126)</f>
        <v>0</v>
      </c>
      <c r="AF128" s="125" t="n">
        <f aca="false">SUM(AF100, -AF126)</f>
        <v>-0.1</v>
      </c>
      <c r="AG128" s="125" t="n">
        <f aca="false">SUM(AG100, -AG126)</f>
        <v>-0.1</v>
      </c>
      <c r="AH128" s="125" t="n">
        <f aca="false">SUM(AH100, -AH126)</f>
        <v>-0.1</v>
      </c>
      <c r="AI128" s="125" t="n">
        <f aca="false">SUM(AI100, -AI126)</f>
        <v>-0.1</v>
      </c>
      <c r="AJ128" s="125" t="n">
        <f aca="false">SUM(AJ100, -AJ126)</f>
        <v>-0.1</v>
      </c>
      <c r="AK128" s="125" t="n">
        <f aca="false">SUM(AK100, -AK126)</f>
        <v>-0.1</v>
      </c>
      <c r="AL128" s="125" t="n">
        <f aca="false">SUM(AL100, -AL126)</f>
        <v>-0.1</v>
      </c>
      <c r="AM128" s="125" t="n">
        <f aca="false">SUM(AM100, -AM126)</f>
        <v>-0.1</v>
      </c>
      <c r="AN128" s="125" t="n">
        <f aca="false">SUM(AN100, -AN126)</f>
        <v>-0.1</v>
      </c>
      <c r="AO128" s="125" t="n">
        <f aca="false">SUM(AO100, -AO126)</f>
        <v>-0.1</v>
      </c>
      <c r="AP128" s="125" t="n">
        <f aca="false">SUM(AP100, -AP126)</f>
        <v>-0.1</v>
      </c>
      <c r="AQ128" s="125" t="n">
        <f aca="false">SUM(AQ100, -AQ126)</f>
        <v>-0.1</v>
      </c>
      <c r="AR128" s="125" t="n">
        <f aca="false">SUM(AR100, -AR126)</f>
        <v>0.6</v>
      </c>
      <c r="AS128" s="125" t="n">
        <f aca="false">SUM(AS100, -AS126)</f>
        <v>0.6</v>
      </c>
      <c r="AT128" s="125" t="n">
        <f aca="false">SUM(AT100, -AT126)</f>
        <v>0.6</v>
      </c>
      <c r="AU128" s="125" t="n">
        <f aca="false">SUM(AU100, -AU126)</f>
        <v>0.6</v>
      </c>
      <c r="AV128" s="125" t="n">
        <f aca="false">SUM(AV100, -AV126)</f>
        <v>0.6</v>
      </c>
      <c r="AW128" s="125" t="n">
        <f aca="false">SUM(AW100, -AW126)</f>
        <v>0.6</v>
      </c>
      <c r="AX128" s="125" t="n">
        <f aca="false">SUM(AX100, -AX126)</f>
        <v>0.6</v>
      </c>
      <c r="AY128" s="125" t="n">
        <f aca="false">SUM(AY100, -AY126)</f>
        <v>0.6</v>
      </c>
      <c r="AZ128" s="125" t="n">
        <f aca="false">SUM(AZ100, -AZ126)</f>
        <v>0.6</v>
      </c>
      <c r="BA128" s="125" t="n">
        <f aca="false">SUM(BA100, -BA126)</f>
        <v>0.6</v>
      </c>
      <c r="BB128" s="125" t="n">
        <f aca="false">SUM(BB100, -BB126)</f>
        <v>0.6</v>
      </c>
      <c r="BC128" s="125" t="n">
        <f aca="false">SUM(BC100, -BC126)</f>
        <v>0.6</v>
      </c>
      <c r="BD128" s="125" t="n">
        <f aca="false">SUM(BD100, -BD126)</f>
        <v>0.6</v>
      </c>
      <c r="BE128" s="125" t="n">
        <f aca="false">SUM(BE100, -BE126)</f>
        <v>0.6</v>
      </c>
      <c r="BF128" s="125" t="n">
        <f aca="false">SUM(BF100, -BF126)</f>
        <v>0.6</v>
      </c>
      <c r="BG128" s="125" t="n">
        <f aca="false">SUM(BG100, -BG126)</f>
        <v>0.6</v>
      </c>
      <c r="BH128" s="125" t="n">
        <f aca="false">SUM(BH100, -BH126)</f>
        <v>0.6</v>
      </c>
      <c r="BI128" s="125" t="n">
        <f aca="false">SUM(BI100, -BI126)</f>
        <v>0.6</v>
      </c>
      <c r="BJ128" s="125" t="n">
        <f aca="false">SUM(BJ100, -BJ126)</f>
        <v>0.6</v>
      </c>
      <c r="BK128" s="125" t="n">
        <f aca="false">SUM(BK100, -BK126)</f>
        <v>0.6</v>
      </c>
      <c r="BL128" s="125" t="n">
        <f aca="false">SUM(BL100, -BL126)</f>
        <v>0.6</v>
      </c>
      <c r="BM128" s="125" t="n">
        <f aca="false">SUM(BM100, -BM126)</f>
        <v>0.6</v>
      </c>
      <c r="BN128" s="125" t="n">
        <f aca="false">SUM(BN100, -BN126)</f>
        <v>0.6</v>
      </c>
      <c r="BO128" s="125" t="n">
        <f aca="false">SUM(BO100, -BO126)</f>
        <v>0.6</v>
      </c>
      <c r="BP128" s="125" t="n">
        <f aca="false">SUM(BP100, -BP126)</f>
        <v>0.6</v>
      </c>
      <c r="BQ128" s="125" t="n">
        <f aca="false">SUM(BQ100, -BQ126)</f>
        <v>0.6</v>
      </c>
      <c r="BR128" s="125" t="n">
        <f aca="false">SUM(BR100, -BR126)</f>
        <v>0.6</v>
      </c>
      <c r="BS128" s="125" t="n">
        <f aca="false">SUM(BS100, -BS126)</f>
        <v>0.6</v>
      </c>
      <c r="BT128" s="125" t="n">
        <f aca="false">SUM(BT100, -BT126)</f>
        <v>0.6</v>
      </c>
      <c r="BU128" s="125" t="n">
        <f aca="false">SUM(BU100, -BU126)</f>
        <v>0.6</v>
      </c>
      <c r="BV128" s="125" t="n">
        <f aca="false">SUM(BV100, -BV126)</f>
        <v>0.6</v>
      </c>
      <c r="BW128" s="125" t="n">
        <f aca="false">SUM(BW100, -BW126)</f>
        <v>0.6</v>
      </c>
      <c r="BX128" s="125" t="n">
        <f aca="false">SUM(BX100, -BX126)</f>
        <v>0.6</v>
      </c>
      <c r="BY128" s="125" t="n">
        <f aca="false">SUM(BY100, -BY126)</f>
        <v>0.6</v>
      </c>
      <c r="BZ128" s="125" t="n">
        <f aca="false">SUM(BZ100, -BZ126)</f>
        <v>0.6</v>
      </c>
      <c r="CA128" s="126" t="n">
        <f aca="false">SUM(CA100, -CA126)</f>
        <v>0.6</v>
      </c>
      <c r="CC128" s="126" t="n">
        <f aca="false">SUM(CC100, -CC126)</f>
        <v>0</v>
      </c>
      <c r="CD128" s="126" t="n">
        <f aca="false">SUM(CD100, -CD126)</f>
        <v>-1.2</v>
      </c>
      <c r="CE128" s="126" t="n">
        <f aca="false">SUM(CE100, -CE126)</f>
        <v>7.2</v>
      </c>
      <c r="CF128" s="126" t="n">
        <f aca="false">SUM(CF100, -CF126)</f>
        <v>7.2</v>
      </c>
      <c r="CG128" s="126" t="n">
        <f aca="false">SUM(CG100, -CG126)</f>
        <v>7.2</v>
      </c>
      <c r="CI128" s="126" t="n">
        <f aca="false">CC128=L128</f>
        <v>1</v>
      </c>
      <c r="CJ128" s="126" t="n">
        <f aca="false">CD128=M128</f>
        <v>1</v>
      </c>
      <c r="CK128" s="126" t="n">
        <f aca="false">CE128=N128</f>
        <v>1</v>
      </c>
      <c r="CL128" s="126" t="n">
        <f aca="false">CF128=O128</f>
        <v>1</v>
      </c>
      <c r="CM128" s="126" t="n">
        <f aca="false">CG128=P128</f>
        <v>1</v>
      </c>
    </row>
    <row r="129" s="14" customFormat="true" ht="17.25" hidden="false" customHeight="true" outlineLevel="0" collapsed="false">
      <c r="K129" s="127"/>
      <c r="Q129" s="16"/>
      <c r="R129" s="16"/>
    </row>
    <row r="130" s="14" customFormat="true" ht="17.25" hidden="false" customHeight="true" outlineLevel="0" collapsed="false">
      <c r="E130" s="128"/>
      <c r="Q130" s="16"/>
      <c r="R130" s="16"/>
    </row>
    <row r="131" s="14" customFormat="true" ht="16.5" hidden="false" customHeight="true" outlineLevel="0" collapsed="false">
      <c r="C131" s="19" t="s">
        <v>143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C131" s="19" t="s">
        <v>118</v>
      </c>
      <c r="CD131" s="19"/>
      <c r="CE131" s="19"/>
      <c r="CF131" s="19"/>
      <c r="CG131" s="19"/>
      <c r="CI131" s="19" t="s">
        <v>119</v>
      </c>
      <c r="CJ131" s="19"/>
      <c r="CK131" s="19"/>
      <c r="CL131" s="19"/>
      <c r="CM131" s="19"/>
    </row>
    <row r="132" s="14" customFormat="true" ht="16.5" hidden="false" customHeight="true" outlineLevel="0" collapsed="false">
      <c r="Q132" s="16"/>
      <c r="R132" s="16"/>
    </row>
    <row r="133" s="14" customFormat="true" ht="16.5" hidden="false" customHeight="true" outlineLevel="0" collapsed="false">
      <c r="Q133" s="16"/>
      <c r="R133" s="16"/>
      <c r="T133" s="62" t="n">
        <v>2026</v>
      </c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62" t="n">
        <v>2027</v>
      </c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62" t="n">
        <v>2028</v>
      </c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62" t="n">
        <v>2029</v>
      </c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62" t="n">
        <v>2030</v>
      </c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</row>
    <row r="134" s="14" customFormat="true" ht="16.5" hidden="false" customHeight="true" outlineLevel="0" collapsed="false">
      <c r="D134" s="30" t="s">
        <v>144</v>
      </c>
      <c r="E134" s="31"/>
      <c r="F134" s="31"/>
      <c r="G134" s="31"/>
      <c r="H134" s="31"/>
      <c r="I134" s="31"/>
      <c r="J134" s="31"/>
      <c r="K134" s="31" t="s">
        <v>121</v>
      </c>
      <c r="L134" s="31" t="n">
        <v>2026</v>
      </c>
      <c r="M134" s="31" t="n">
        <f aca="false">L134+1</f>
        <v>2027</v>
      </c>
      <c r="N134" s="31" t="n">
        <f aca="false">M134+1</f>
        <v>2028</v>
      </c>
      <c r="O134" s="31" t="n">
        <f aca="false">N134+1</f>
        <v>2029</v>
      </c>
      <c r="P134" s="31" t="n">
        <f aca="false">O134+1</f>
        <v>2030</v>
      </c>
      <c r="Q134" s="31" t="s">
        <v>123</v>
      </c>
      <c r="R134" s="16"/>
      <c r="T134" s="59" t="n">
        <v>46023</v>
      </c>
      <c r="U134" s="60" t="n">
        <f aca="false">EOMONTH(T134, 1)</f>
        <v>46081</v>
      </c>
      <c r="V134" s="60" t="n">
        <f aca="false">EOMONTH(U134, 1)</f>
        <v>46112</v>
      </c>
      <c r="W134" s="60" t="n">
        <f aca="false">EOMONTH(V134, 1)</f>
        <v>46142</v>
      </c>
      <c r="X134" s="60" t="n">
        <f aca="false">EOMONTH(W134, 1)</f>
        <v>46173</v>
      </c>
      <c r="Y134" s="60" t="n">
        <f aca="false">EOMONTH(X134, 1)</f>
        <v>46203</v>
      </c>
      <c r="Z134" s="60" t="n">
        <f aca="false">EOMONTH(Y134, 1)</f>
        <v>46234</v>
      </c>
      <c r="AA134" s="60" t="n">
        <f aca="false">EOMONTH(Z134, 1)</f>
        <v>46265</v>
      </c>
      <c r="AB134" s="60" t="n">
        <f aca="false">EOMONTH(AA134, 1)</f>
        <v>46295</v>
      </c>
      <c r="AC134" s="60" t="n">
        <f aca="false">EOMONTH(AB134, 1)</f>
        <v>46326</v>
      </c>
      <c r="AD134" s="60" t="n">
        <f aca="false">EOMONTH(AC134, 1)</f>
        <v>46356</v>
      </c>
      <c r="AE134" s="61" t="n">
        <f aca="false">EOMONTH(AD134, 1)</f>
        <v>46387</v>
      </c>
      <c r="AF134" s="59" t="n">
        <f aca="false">EOMONTH(AE134, 1)</f>
        <v>46418</v>
      </c>
      <c r="AG134" s="60" t="n">
        <f aca="false">EOMONTH(AF134, 1)</f>
        <v>46446</v>
      </c>
      <c r="AH134" s="60" t="n">
        <f aca="false">EOMONTH(AG134, 1)</f>
        <v>46477</v>
      </c>
      <c r="AI134" s="60" t="n">
        <f aca="false">EOMONTH(AH134, 1)</f>
        <v>46507</v>
      </c>
      <c r="AJ134" s="60" t="n">
        <f aca="false">EOMONTH(AI134, 1)</f>
        <v>46538</v>
      </c>
      <c r="AK134" s="60" t="n">
        <f aca="false">EOMONTH(AJ134, 1)</f>
        <v>46568</v>
      </c>
      <c r="AL134" s="60" t="n">
        <f aca="false">EOMONTH(AK134, 1)</f>
        <v>46599</v>
      </c>
      <c r="AM134" s="60" t="n">
        <f aca="false">EOMONTH(AL134, 1)</f>
        <v>46630</v>
      </c>
      <c r="AN134" s="60" t="n">
        <f aca="false">EOMONTH(AM134, 1)</f>
        <v>46660</v>
      </c>
      <c r="AO134" s="60" t="n">
        <f aca="false">EOMONTH(AN134, 1)</f>
        <v>46691</v>
      </c>
      <c r="AP134" s="60" t="n">
        <f aca="false">EOMONTH(AO134, 1)</f>
        <v>46721</v>
      </c>
      <c r="AQ134" s="61" t="n">
        <f aca="false">EOMONTH(AP134, 1)</f>
        <v>46752</v>
      </c>
      <c r="AR134" s="59" t="n">
        <f aca="false">EOMONTH(AQ134, 1)</f>
        <v>46783</v>
      </c>
      <c r="AS134" s="60" t="n">
        <f aca="false">EOMONTH(AR134, 1)</f>
        <v>46812</v>
      </c>
      <c r="AT134" s="60" t="n">
        <f aca="false">EOMONTH(AS134, 1)</f>
        <v>46843</v>
      </c>
      <c r="AU134" s="60" t="n">
        <f aca="false">EOMONTH(AT134, 1)</f>
        <v>46873</v>
      </c>
      <c r="AV134" s="60" t="n">
        <f aca="false">EOMONTH(AU134, 1)</f>
        <v>46904</v>
      </c>
      <c r="AW134" s="60" t="n">
        <f aca="false">EOMONTH(AV134, 1)</f>
        <v>46934</v>
      </c>
      <c r="AX134" s="60" t="n">
        <f aca="false">EOMONTH(AW134, 1)</f>
        <v>46965</v>
      </c>
      <c r="AY134" s="60" t="n">
        <f aca="false">EOMONTH(AX134, 1)</f>
        <v>46996</v>
      </c>
      <c r="AZ134" s="60" t="n">
        <f aca="false">EOMONTH(AY134, 1)</f>
        <v>47026</v>
      </c>
      <c r="BA134" s="60" t="n">
        <f aca="false">EOMONTH(AZ134, 1)</f>
        <v>47057</v>
      </c>
      <c r="BB134" s="60" t="n">
        <f aca="false">EOMONTH(BA134, 1)</f>
        <v>47087</v>
      </c>
      <c r="BC134" s="61" t="n">
        <f aca="false">EOMONTH(BB134, 1)</f>
        <v>47118</v>
      </c>
      <c r="BD134" s="59" t="n">
        <f aca="false">EOMONTH(BC134, 1)</f>
        <v>47149</v>
      </c>
      <c r="BE134" s="60" t="n">
        <f aca="false">EOMONTH(BD134, 1)</f>
        <v>47177</v>
      </c>
      <c r="BF134" s="60" t="n">
        <f aca="false">EOMONTH(BE134, 1)</f>
        <v>47208</v>
      </c>
      <c r="BG134" s="60" t="n">
        <f aca="false">EOMONTH(BF134, 1)</f>
        <v>47238</v>
      </c>
      <c r="BH134" s="60" t="n">
        <f aca="false">EOMONTH(BG134, 1)</f>
        <v>47269</v>
      </c>
      <c r="BI134" s="60" t="n">
        <f aca="false">EOMONTH(BH134, 1)</f>
        <v>47299</v>
      </c>
      <c r="BJ134" s="60" t="n">
        <f aca="false">EOMONTH(BI134, 1)</f>
        <v>47330</v>
      </c>
      <c r="BK134" s="60" t="n">
        <f aca="false">EOMONTH(BJ134, 1)</f>
        <v>47361</v>
      </c>
      <c r="BL134" s="60" t="n">
        <f aca="false">EOMONTH(BK134, 1)</f>
        <v>47391</v>
      </c>
      <c r="BM134" s="60" t="n">
        <f aca="false">EOMONTH(BL134, 1)</f>
        <v>47422</v>
      </c>
      <c r="BN134" s="60" t="n">
        <f aca="false">EOMONTH(BM134, 1)</f>
        <v>47452</v>
      </c>
      <c r="BO134" s="61" t="n">
        <f aca="false">EOMONTH(BN134, 1)</f>
        <v>47483</v>
      </c>
      <c r="BP134" s="59" t="n">
        <f aca="false">EOMONTH(BO134, 1)</f>
        <v>47514</v>
      </c>
      <c r="BQ134" s="60" t="n">
        <f aca="false">EOMONTH(BP134, 1)</f>
        <v>47542</v>
      </c>
      <c r="BR134" s="60" t="n">
        <f aca="false">EOMONTH(BQ134, 1)</f>
        <v>47573</v>
      </c>
      <c r="BS134" s="60" t="n">
        <f aca="false">EOMONTH(BR134, 1)</f>
        <v>47603</v>
      </c>
      <c r="BT134" s="60" t="n">
        <f aca="false">EOMONTH(BS134, 1)</f>
        <v>47634</v>
      </c>
      <c r="BU134" s="60" t="n">
        <f aca="false">EOMONTH(BT134, 1)</f>
        <v>47664</v>
      </c>
      <c r="BV134" s="60" t="n">
        <f aca="false">EOMONTH(BU134, 1)</f>
        <v>47695</v>
      </c>
      <c r="BW134" s="60" t="n">
        <f aca="false">EOMONTH(BV134, 1)</f>
        <v>47726</v>
      </c>
      <c r="BX134" s="60" t="n">
        <f aca="false">EOMONTH(BW134, 1)</f>
        <v>47756</v>
      </c>
      <c r="BY134" s="60" t="n">
        <f aca="false">EOMONTH(BX134, 1)</f>
        <v>47787</v>
      </c>
      <c r="BZ134" s="60" t="n">
        <f aca="false">EOMONTH(BY134, 1)</f>
        <v>47817</v>
      </c>
      <c r="CA134" s="60" t="n">
        <f aca="false">EOMONTH(BZ134, 1)</f>
        <v>47848</v>
      </c>
      <c r="CC134" s="62" t="n">
        <v>2026</v>
      </c>
      <c r="CD134" s="62" t="n">
        <f aca="false">CC134+1</f>
        <v>2027</v>
      </c>
      <c r="CE134" s="62" t="n">
        <f aca="false">CD134+1</f>
        <v>2028</v>
      </c>
      <c r="CF134" s="62" t="n">
        <f aca="false">CE134+1</f>
        <v>2029</v>
      </c>
      <c r="CG134" s="62" t="n">
        <f aca="false">CF134+1</f>
        <v>2030</v>
      </c>
      <c r="CI134" s="62" t="n">
        <v>2026</v>
      </c>
      <c r="CJ134" s="62" t="n">
        <f aca="false">CI134+1</f>
        <v>2027</v>
      </c>
      <c r="CK134" s="62" t="n">
        <f aca="false">CJ134+1</f>
        <v>2028</v>
      </c>
      <c r="CL134" s="62" t="n">
        <f aca="false">CK134+1</f>
        <v>2029</v>
      </c>
      <c r="CM134" s="62" t="n">
        <f aca="false">CL134+1</f>
        <v>2030</v>
      </c>
    </row>
    <row r="135" s="14" customFormat="true" ht="16.5" hidden="false" customHeight="true" outlineLevel="0" collapsed="false">
      <c r="E135" s="21"/>
      <c r="F135" s="21"/>
      <c r="G135" s="21"/>
      <c r="Q135" s="16"/>
      <c r="R135" s="16"/>
    </row>
    <row r="136" s="14" customFormat="true" ht="16.5" hidden="false" customHeight="true" outlineLevel="0" collapsed="false">
      <c r="E136" s="21" t="s">
        <v>145</v>
      </c>
      <c r="Q136" s="16"/>
      <c r="R136" s="16"/>
    </row>
    <row r="137" s="14" customFormat="true" ht="16.5" hidden="false" customHeight="true" outlineLevel="0" collapsed="false">
      <c r="E137" s="91"/>
      <c r="L137" s="91"/>
      <c r="M137" s="91"/>
      <c r="N137" s="91"/>
      <c r="O137" s="91"/>
      <c r="P137" s="91"/>
      <c r="Q137" s="93"/>
      <c r="R137" s="16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C137" s="79" t="n">
        <f aca="false">SUMIFS($T137:$CA137, $T$1:$CA$1, CC$75)</f>
        <v>0</v>
      </c>
      <c r="CD137" s="79" t="n">
        <f aca="false">SUMIFS($T137:$CA137, $T$1:$CA$1, CD$75)</f>
        <v>0</v>
      </c>
      <c r="CE137" s="79" t="n">
        <f aca="false">SUMIFS($T137:$CA137, $T$1:$CA$1, CE$75)</f>
        <v>0</v>
      </c>
      <c r="CF137" s="79" t="n">
        <f aca="false">SUMIFS($T137:$CA137, $T$1:$CA$1, CF$75)</f>
        <v>0</v>
      </c>
      <c r="CG137" s="79" t="n">
        <f aca="false">SUMIFS($T137:$CA137, $T$1:$CA$1, CG$75)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1"/>
      <c r="L138" s="91"/>
      <c r="M138" s="91"/>
      <c r="N138" s="91"/>
      <c r="O138" s="91"/>
      <c r="P138" s="91"/>
      <c r="Q138" s="93"/>
      <c r="R138" s="16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C138" s="79" t="n">
        <f aca="false">SUMIFS($T138:$CA138, $T$1:$CA$1, CC$75)</f>
        <v>0</v>
      </c>
      <c r="CD138" s="79" t="n">
        <f aca="false">SUMIFS($T138:$CA138, $T$1:$CA$1, CD$75)</f>
        <v>0</v>
      </c>
      <c r="CE138" s="79" t="n">
        <f aca="false">SUMIFS($T138:$CA138, $T$1:$CA$1, CE$75)</f>
        <v>0</v>
      </c>
      <c r="CF138" s="79" t="n">
        <f aca="false">SUMIFS($T138:$CA138, $T$1:$CA$1, CF$75)</f>
        <v>0</v>
      </c>
      <c r="CG138" s="79" t="n">
        <f aca="false">SUMIFS($T138:$CA138, $T$1:$CA$1, CG$75)</f>
        <v>0</v>
      </c>
      <c r="CI138" s="79" t="n">
        <f aca="false">CC138=L138</f>
        <v>1</v>
      </c>
      <c r="CJ138" s="79" t="n">
        <f aca="false">CD138=M138</f>
        <v>1</v>
      </c>
      <c r="CK138" s="79" t="n">
        <f aca="false">CE138=N138</f>
        <v>1</v>
      </c>
      <c r="CL138" s="79" t="n">
        <f aca="false">CF138=O138</f>
        <v>1</v>
      </c>
      <c r="CM138" s="79" t="n">
        <f aca="false">CG138=P138</f>
        <v>1</v>
      </c>
    </row>
    <row r="139" s="14" customFormat="true" ht="16.5" hidden="false" customHeight="true" outlineLevel="0" collapsed="false">
      <c r="E139" s="96" t="s">
        <v>146</v>
      </c>
      <c r="L139" s="82" t="n">
        <f aca="false">SUM(L137:L138)</f>
        <v>0</v>
      </c>
      <c r="M139" s="82" t="n">
        <f aca="false">SUM(M137:M138)</f>
        <v>0</v>
      </c>
      <c r="N139" s="82" t="n">
        <f aca="false">SUM(N137:N138)</f>
        <v>0</v>
      </c>
      <c r="O139" s="82" t="n">
        <f aca="false">SUM(O137:O138)</f>
        <v>0</v>
      </c>
      <c r="P139" s="82" t="n">
        <f aca="false">SUM(P137:P138)</f>
        <v>0</v>
      </c>
      <c r="Q139" s="16"/>
      <c r="R139" s="16"/>
      <c r="T139" s="82" t="n">
        <f aca="false">SUM(T137:T138)</f>
        <v>0</v>
      </c>
      <c r="U139" s="82" t="n">
        <f aca="false">SUM(U137:U138)</f>
        <v>0</v>
      </c>
      <c r="V139" s="82" t="n">
        <f aca="false">SUM(V137:V138)</f>
        <v>0</v>
      </c>
      <c r="W139" s="82" t="n">
        <f aca="false">SUM(W137:W138)</f>
        <v>0</v>
      </c>
      <c r="X139" s="82" t="n">
        <f aca="false">SUM(X137:X138)</f>
        <v>0</v>
      </c>
      <c r="Y139" s="82" t="n">
        <f aca="false">SUM(Y137:Y138)</f>
        <v>0</v>
      </c>
      <c r="Z139" s="82" t="n">
        <f aca="false">SUM(Z137:Z138)</f>
        <v>0</v>
      </c>
      <c r="AA139" s="82" t="n">
        <f aca="false">SUM(AA137:AA138)</f>
        <v>0</v>
      </c>
      <c r="AB139" s="82" t="n">
        <f aca="false">SUM(AB137:AB138)</f>
        <v>0</v>
      </c>
      <c r="AC139" s="82" t="n">
        <f aca="false">SUM(AC137:AC138)</f>
        <v>0</v>
      </c>
      <c r="AD139" s="82" t="n">
        <f aca="false">SUM(AD137:AD138)</f>
        <v>0</v>
      </c>
      <c r="AE139" s="82" t="n">
        <f aca="false">SUM(AE137:AE138)</f>
        <v>0</v>
      </c>
      <c r="AF139" s="82" t="n">
        <f aca="false">SUM(AF137:AF138)</f>
        <v>0</v>
      </c>
      <c r="AG139" s="82" t="n">
        <f aca="false">SUM(AG137:AG138)</f>
        <v>0</v>
      </c>
      <c r="AH139" s="82" t="n">
        <f aca="false">SUM(AH137:AH138)</f>
        <v>0</v>
      </c>
      <c r="AI139" s="82" t="n">
        <f aca="false">SUM(AI137:AI138)</f>
        <v>0</v>
      </c>
      <c r="AJ139" s="82" t="n">
        <f aca="false">SUM(AJ137:AJ138)</f>
        <v>0</v>
      </c>
      <c r="AK139" s="82" t="n">
        <f aca="false">SUM(AK137:AK138)</f>
        <v>0</v>
      </c>
      <c r="AL139" s="82" t="n">
        <f aca="false">SUM(AL137:AL138)</f>
        <v>0</v>
      </c>
      <c r="AM139" s="82" t="n">
        <f aca="false">SUM(AM137:AM138)</f>
        <v>0</v>
      </c>
      <c r="AN139" s="82" t="n">
        <f aca="false">SUM(AN137:AN138)</f>
        <v>0</v>
      </c>
      <c r="AO139" s="82" t="n">
        <f aca="false">SUM(AO137:AO138)</f>
        <v>0</v>
      </c>
      <c r="AP139" s="82" t="n">
        <f aca="false">SUM(AP137:AP138)</f>
        <v>0</v>
      </c>
      <c r="AQ139" s="82" t="n">
        <f aca="false">SUM(AQ137:AQ138)</f>
        <v>0</v>
      </c>
      <c r="AR139" s="82" t="n">
        <f aca="false">SUM(AR137:AR138)</f>
        <v>0</v>
      </c>
      <c r="AS139" s="82" t="n">
        <f aca="false">SUM(AS137:AS138)</f>
        <v>0</v>
      </c>
      <c r="AT139" s="82" t="n">
        <f aca="false">SUM(AT137:AT138)</f>
        <v>0</v>
      </c>
      <c r="AU139" s="82" t="n">
        <f aca="false">SUM(AU137:AU138)</f>
        <v>0</v>
      </c>
      <c r="AV139" s="82" t="n">
        <f aca="false">SUM(AV137:AV138)</f>
        <v>0</v>
      </c>
      <c r="AW139" s="82" t="n">
        <f aca="false">SUM(AW137:AW138)</f>
        <v>0</v>
      </c>
      <c r="AX139" s="82" t="n">
        <f aca="false">SUM(AX137:AX138)</f>
        <v>0</v>
      </c>
      <c r="AY139" s="82" t="n">
        <f aca="false">SUM(AY137:AY138)</f>
        <v>0</v>
      </c>
      <c r="AZ139" s="82" t="n">
        <f aca="false">SUM(AZ137:AZ138)</f>
        <v>0</v>
      </c>
      <c r="BA139" s="82" t="n">
        <f aca="false">SUM(BA137:BA138)</f>
        <v>0</v>
      </c>
      <c r="BB139" s="82" t="n">
        <f aca="false">SUM(BB137:BB138)</f>
        <v>0</v>
      </c>
      <c r="BC139" s="82" t="n">
        <f aca="false">SUM(BC137:BC138)</f>
        <v>0</v>
      </c>
      <c r="BD139" s="82" t="n">
        <f aca="false">SUM(BD137:BD138)</f>
        <v>0</v>
      </c>
      <c r="BE139" s="82" t="n">
        <f aca="false">SUM(BE137:BE138)</f>
        <v>0</v>
      </c>
      <c r="BF139" s="82" t="n">
        <f aca="false">SUM(BF137:BF138)</f>
        <v>0</v>
      </c>
      <c r="BG139" s="82" t="n">
        <f aca="false">SUM(BG137:BG138)</f>
        <v>0</v>
      </c>
      <c r="BH139" s="82" t="n">
        <f aca="false">SUM(BH137:BH138)</f>
        <v>0</v>
      </c>
      <c r="BI139" s="82" t="n">
        <f aca="false">SUM(BI137:BI138)</f>
        <v>0</v>
      </c>
      <c r="BJ139" s="82" t="n">
        <f aca="false">SUM(BJ137:BJ138)</f>
        <v>0</v>
      </c>
      <c r="BK139" s="82" t="n">
        <f aca="false">SUM(BK137:BK138)</f>
        <v>0</v>
      </c>
      <c r="BL139" s="82" t="n">
        <f aca="false">SUM(BL137:BL138)</f>
        <v>0</v>
      </c>
      <c r="BM139" s="82" t="n">
        <f aca="false">SUM(BM137:BM138)</f>
        <v>0</v>
      </c>
      <c r="BN139" s="82" t="n">
        <f aca="false">SUM(BN137:BN138)</f>
        <v>0</v>
      </c>
      <c r="BO139" s="82" t="n">
        <f aca="false">SUM(BO137:BO138)</f>
        <v>0</v>
      </c>
      <c r="BP139" s="82" t="n">
        <f aca="false">SUM(BP137:BP138)</f>
        <v>0</v>
      </c>
      <c r="BQ139" s="82" t="n">
        <f aca="false">SUM(BQ137:BQ138)</f>
        <v>0</v>
      </c>
      <c r="BR139" s="82" t="n">
        <f aca="false">SUM(BR137:BR138)</f>
        <v>0</v>
      </c>
      <c r="BS139" s="82" t="n">
        <f aca="false">SUM(BS137:BS138)</f>
        <v>0</v>
      </c>
      <c r="BT139" s="82" t="n">
        <f aca="false">SUM(BT137:BT138)</f>
        <v>0</v>
      </c>
      <c r="BU139" s="82" t="n">
        <f aca="false">SUM(BU137:BU138)</f>
        <v>0</v>
      </c>
      <c r="BV139" s="82" t="n">
        <f aca="false">SUM(BV137:BV138)</f>
        <v>0</v>
      </c>
      <c r="BW139" s="82" t="n">
        <f aca="false">SUM(BW137:BW138)</f>
        <v>0</v>
      </c>
      <c r="BX139" s="82" t="n">
        <f aca="false">SUM(BX137:BX138)</f>
        <v>0</v>
      </c>
      <c r="BY139" s="82" t="n">
        <f aca="false">SUM(BY137:BY138)</f>
        <v>0</v>
      </c>
      <c r="BZ139" s="82" t="n">
        <f aca="false">SUM(BZ137:BZ138)</f>
        <v>0</v>
      </c>
      <c r="CA139" s="82" t="n">
        <f aca="false">SUM(CA137:CA138)</f>
        <v>0</v>
      </c>
      <c r="CC139" s="131" t="n">
        <f aca="false">SUM(CC137:CC138)</f>
        <v>0</v>
      </c>
      <c r="CD139" s="131" t="n">
        <f aca="false">SUM(CD137:CD138)</f>
        <v>0</v>
      </c>
      <c r="CE139" s="131" t="n">
        <f aca="false">SUM(CE137:CE138)</f>
        <v>0</v>
      </c>
      <c r="CF139" s="131" t="n">
        <f aca="false">SUM(CF137:CF138)</f>
        <v>0</v>
      </c>
      <c r="CG139" s="131" t="n">
        <f aca="false">SUM(CG137:CG138)</f>
        <v>0</v>
      </c>
      <c r="CI139" s="131" t="n">
        <f aca="false">CC139=L139</f>
        <v>1</v>
      </c>
      <c r="CJ139" s="131" t="n">
        <f aca="false">CD139=M139</f>
        <v>1</v>
      </c>
      <c r="CK139" s="131" t="n">
        <f aca="false">CE139=N139</f>
        <v>1</v>
      </c>
      <c r="CL139" s="131" t="n">
        <f aca="false">CF139=O139</f>
        <v>1</v>
      </c>
      <c r="CM139" s="131" t="n">
        <f aca="false">CG139=P139</f>
        <v>1</v>
      </c>
    </row>
    <row r="140" s="14" customFormat="true" ht="16.5" hidden="false" customHeight="true" outlineLevel="0" collapsed="false">
      <c r="E140" s="96"/>
      <c r="L140" s="82"/>
      <c r="M140" s="82"/>
      <c r="N140" s="82"/>
      <c r="O140" s="82"/>
      <c r="P140" s="82"/>
      <c r="Q140" s="16"/>
      <c r="R140" s="16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</row>
    <row r="141" s="14" customFormat="true" ht="16.5" hidden="false" customHeight="true" outlineLevel="0" collapsed="false">
      <c r="E141" s="109" t="s">
        <v>147</v>
      </c>
      <c r="F141" s="109"/>
      <c r="G141" s="109"/>
      <c r="H141" s="109"/>
      <c r="I141" s="132"/>
      <c r="J141" s="132"/>
      <c r="K141" s="132"/>
      <c r="L141" s="120" t="n">
        <f aca="false">L139</f>
        <v>0</v>
      </c>
      <c r="M141" s="120" t="n">
        <f aca="false">M139</f>
        <v>0</v>
      </c>
      <c r="N141" s="120" t="n">
        <f aca="false">N139</f>
        <v>0</v>
      </c>
      <c r="O141" s="120" t="n">
        <f aca="false">O139</f>
        <v>0</v>
      </c>
      <c r="P141" s="120" t="n">
        <f aca="false">P139</f>
        <v>0</v>
      </c>
      <c r="Q141" s="16"/>
      <c r="R141" s="16"/>
      <c r="T141" s="120" t="n">
        <f aca="false">T139</f>
        <v>0</v>
      </c>
      <c r="U141" s="120" t="n">
        <f aca="false">U139</f>
        <v>0</v>
      </c>
      <c r="V141" s="120" t="n">
        <f aca="false">V139</f>
        <v>0</v>
      </c>
      <c r="W141" s="120" t="n">
        <f aca="false">W139</f>
        <v>0</v>
      </c>
      <c r="X141" s="120" t="n">
        <f aca="false">X139</f>
        <v>0</v>
      </c>
      <c r="Y141" s="120" t="n">
        <f aca="false">Y139</f>
        <v>0</v>
      </c>
      <c r="Z141" s="120" t="n">
        <f aca="false">Z139</f>
        <v>0</v>
      </c>
      <c r="AA141" s="120" t="n">
        <f aca="false">AA139</f>
        <v>0</v>
      </c>
      <c r="AB141" s="120" t="n">
        <f aca="false">AB139</f>
        <v>0</v>
      </c>
      <c r="AC141" s="120" t="n">
        <f aca="false">AC139</f>
        <v>0</v>
      </c>
      <c r="AD141" s="120" t="n">
        <f aca="false">AD139</f>
        <v>0</v>
      </c>
      <c r="AE141" s="120" t="n">
        <f aca="false">AE139</f>
        <v>0</v>
      </c>
      <c r="AF141" s="120" t="n">
        <f aca="false">AF139</f>
        <v>0</v>
      </c>
      <c r="AG141" s="120" t="n">
        <f aca="false">AG139</f>
        <v>0</v>
      </c>
      <c r="AH141" s="120" t="n">
        <f aca="false">AH139</f>
        <v>0</v>
      </c>
      <c r="AI141" s="120" t="n">
        <f aca="false">AI139</f>
        <v>0</v>
      </c>
      <c r="AJ141" s="120" t="n">
        <f aca="false">AJ139</f>
        <v>0</v>
      </c>
      <c r="AK141" s="120" t="n">
        <f aca="false">AK139</f>
        <v>0</v>
      </c>
      <c r="AL141" s="120" t="n">
        <f aca="false">AL139</f>
        <v>0</v>
      </c>
      <c r="AM141" s="120" t="n">
        <f aca="false">AM139</f>
        <v>0</v>
      </c>
      <c r="AN141" s="120" t="n">
        <f aca="false">AN139</f>
        <v>0</v>
      </c>
      <c r="AO141" s="120" t="n">
        <f aca="false">AO139</f>
        <v>0</v>
      </c>
      <c r="AP141" s="120" t="n">
        <f aca="false">AP139</f>
        <v>0</v>
      </c>
      <c r="AQ141" s="120" t="n">
        <f aca="false">AQ139</f>
        <v>0</v>
      </c>
      <c r="AR141" s="120" t="n">
        <f aca="false">AR139</f>
        <v>0</v>
      </c>
      <c r="AS141" s="120" t="n">
        <f aca="false">AS139</f>
        <v>0</v>
      </c>
      <c r="AT141" s="120" t="n">
        <f aca="false">AT139</f>
        <v>0</v>
      </c>
      <c r="AU141" s="120" t="n">
        <f aca="false">AU139</f>
        <v>0</v>
      </c>
      <c r="AV141" s="120" t="n">
        <f aca="false">AV139</f>
        <v>0</v>
      </c>
      <c r="AW141" s="120" t="n">
        <f aca="false">AW139</f>
        <v>0</v>
      </c>
      <c r="AX141" s="120" t="n">
        <f aca="false">AX139</f>
        <v>0</v>
      </c>
      <c r="AY141" s="120" t="n">
        <f aca="false">AY139</f>
        <v>0</v>
      </c>
      <c r="AZ141" s="120" t="n">
        <f aca="false">AZ139</f>
        <v>0</v>
      </c>
      <c r="BA141" s="120" t="n">
        <f aca="false">BA139</f>
        <v>0</v>
      </c>
      <c r="BB141" s="120" t="n">
        <f aca="false">BB139</f>
        <v>0</v>
      </c>
      <c r="BC141" s="120" t="n">
        <f aca="false">BC139</f>
        <v>0</v>
      </c>
      <c r="BD141" s="120" t="n">
        <f aca="false">BD139</f>
        <v>0</v>
      </c>
      <c r="BE141" s="120" t="n">
        <f aca="false">BE139</f>
        <v>0</v>
      </c>
      <c r="BF141" s="120" t="n">
        <f aca="false">BF139</f>
        <v>0</v>
      </c>
      <c r="BG141" s="120" t="n">
        <f aca="false">BG139</f>
        <v>0</v>
      </c>
      <c r="BH141" s="120" t="n">
        <f aca="false">BH139</f>
        <v>0</v>
      </c>
      <c r="BI141" s="120" t="n">
        <f aca="false">BI139</f>
        <v>0</v>
      </c>
      <c r="BJ141" s="120" t="n">
        <f aca="false">BJ139</f>
        <v>0</v>
      </c>
      <c r="BK141" s="120" t="n">
        <f aca="false">BK139</f>
        <v>0</v>
      </c>
      <c r="BL141" s="120" t="n">
        <f aca="false">BL139</f>
        <v>0</v>
      </c>
      <c r="BM141" s="120" t="n">
        <f aca="false">BM139</f>
        <v>0</v>
      </c>
      <c r="BN141" s="120" t="n">
        <f aca="false">BN139</f>
        <v>0</v>
      </c>
      <c r="BO141" s="120" t="n">
        <f aca="false">BO139</f>
        <v>0</v>
      </c>
      <c r="BP141" s="120" t="n">
        <f aca="false">BP139</f>
        <v>0</v>
      </c>
      <c r="BQ141" s="120" t="n">
        <f aca="false">BQ139</f>
        <v>0</v>
      </c>
      <c r="BR141" s="120" t="n">
        <f aca="false">BR139</f>
        <v>0</v>
      </c>
      <c r="BS141" s="120" t="n">
        <f aca="false">BS139</f>
        <v>0</v>
      </c>
      <c r="BT141" s="120" t="n">
        <f aca="false">BT139</f>
        <v>0</v>
      </c>
      <c r="BU141" s="120" t="n">
        <f aca="false">BU139</f>
        <v>0</v>
      </c>
      <c r="BV141" s="120" t="n">
        <f aca="false">BV139</f>
        <v>0</v>
      </c>
      <c r="BW141" s="120" t="n">
        <f aca="false">BW139</f>
        <v>0</v>
      </c>
      <c r="BX141" s="120" t="n">
        <f aca="false">BX139</f>
        <v>0</v>
      </c>
      <c r="BY141" s="120" t="n">
        <f aca="false">BY139</f>
        <v>0</v>
      </c>
      <c r="BZ141" s="120" t="n">
        <f aca="false">BZ139</f>
        <v>0</v>
      </c>
      <c r="CA141" s="120" t="n">
        <f aca="false">CA139</f>
        <v>0</v>
      </c>
      <c r="CC141" s="132" t="n">
        <f aca="false">CC139</f>
        <v>0</v>
      </c>
      <c r="CD141" s="132" t="n">
        <f aca="false">CD139</f>
        <v>0</v>
      </c>
      <c r="CE141" s="132" t="n">
        <f aca="false">CE139</f>
        <v>0</v>
      </c>
      <c r="CF141" s="132" t="n">
        <f aca="false">CF139</f>
        <v>0</v>
      </c>
      <c r="CG141" s="132" t="n">
        <f aca="false">CG139</f>
        <v>0</v>
      </c>
      <c r="CI141" s="133" t="n">
        <f aca="false">CI139</f>
        <v>1</v>
      </c>
      <c r="CJ141" s="133" t="n">
        <f aca="false">CJ139</f>
        <v>1</v>
      </c>
      <c r="CK141" s="133" t="n">
        <f aca="false">CK139</f>
        <v>1</v>
      </c>
      <c r="CL141" s="133" t="n">
        <f aca="false">CL139</f>
        <v>1</v>
      </c>
      <c r="CM141" s="133" t="n">
        <f aca="false">CM139</f>
        <v>1</v>
      </c>
    </row>
    <row r="142" s="14" customFormat="true" ht="16.5" hidden="false" customHeight="true" outlineLevel="0" collapsed="false"/>
    <row r="143" s="14" customFormat="true" ht="16.5" hidden="false" customHeight="true" outlineLevel="0" collapsed="false">
      <c r="E143" s="85"/>
      <c r="Q143" s="16"/>
      <c r="R143" s="16"/>
      <c r="T143" s="62" t="n">
        <v>2026</v>
      </c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62" t="n">
        <v>2027</v>
      </c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62" t="n">
        <v>2028</v>
      </c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62" t="n">
        <v>2029</v>
      </c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62" t="n">
        <v>2030</v>
      </c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</row>
    <row r="144" s="14" customFormat="true" ht="16.5" hidden="false" customHeight="true" outlineLevel="0" collapsed="false">
      <c r="D144" s="30" t="s">
        <v>148</v>
      </c>
      <c r="E144" s="31"/>
      <c r="F144" s="31"/>
      <c r="G144" s="31"/>
      <c r="H144" s="31"/>
      <c r="I144" s="31"/>
      <c r="J144" s="31"/>
      <c r="K144" s="31" t="s">
        <v>121</v>
      </c>
      <c r="L144" s="31" t="n">
        <v>2026</v>
      </c>
      <c r="M144" s="31" t="n">
        <f aca="false">L144+1</f>
        <v>2027</v>
      </c>
      <c r="N144" s="31" t="n">
        <f aca="false">M144+1</f>
        <v>2028</v>
      </c>
      <c r="O144" s="31" t="n">
        <f aca="false">N144+1</f>
        <v>2029</v>
      </c>
      <c r="P144" s="31" t="n">
        <f aca="false">O144+1</f>
        <v>2030</v>
      </c>
      <c r="Q144" s="16"/>
      <c r="R144" s="16"/>
      <c r="T144" s="59" t="n">
        <v>46023</v>
      </c>
      <c r="U144" s="60" t="n">
        <f aca="false">EOMONTH(T144, 1)</f>
        <v>46081</v>
      </c>
      <c r="V144" s="60" t="n">
        <f aca="false">EOMONTH(U144, 1)</f>
        <v>46112</v>
      </c>
      <c r="W144" s="60" t="n">
        <f aca="false">EOMONTH(V144, 1)</f>
        <v>46142</v>
      </c>
      <c r="X144" s="60" t="n">
        <f aca="false">EOMONTH(W144, 1)</f>
        <v>46173</v>
      </c>
      <c r="Y144" s="60" t="n">
        <f aca="false">EOMONTH(X144, 1)</f>
        <v>46203</v>
      </c>
      <c r="Z144" s="60" t="n">
        <f aca="false">EOMONTH(Y144, 1)</f>
        <v>46234</v>
      </c>
      <c r="AA144" s="60" t="n">
        <f aca="false">EOMONTH(Z144, 1)</f>
        <v>46265</v>
      </c>
      <c r="AB144" s="60" t="n">
        <f aca="false">EOMONTH(AA144, 1)</f>
        <v>46295</v>
      </c>
      <c r="AC144" s="60" t="n">
        <f aca="false">EOMONTH(AB144, 1)</f>
        <v>46326</v>
      </c>
      <c r="AD144" s="60" t="n">
        <f aca="false">EOMONTH(AC144, 1)</f>
        <v>46356</v>
      </c>
      <c r="AE144" s="61" t="n">
        <f aca="false">EOMONTH(AD144, 1)</f>
        <v>46387</v>
      </c>
      <c r="AF144" s="59" t="n">
        <f aca="false">EOMONTH(AE144, 1)</f>
        <v>46418</v>
      </c>
      <c r="AG144" s="60" t="n">
        <f aca="false">EOMONTH(AF144, 1)</f>
        <v>46446</v>
      </c>
      <c r="AH144" s="60" t="n">
        <f aca="false">EOMONTH(AG144, 1)</f>
        <v>46477</v>
      </c>
      <c r="AI144" s="60" t="n">
        <f aca="false">EOMONTH(AH144, 1)</f>
        <v>46507</v>
      </c>
      <c r="AJ144" s="60" t="n">
        <f aca="false">EOMONTH(AI144, 1)</f>
        <v>46538</v>
      </c>
      <c r="AK144" s="60" t="n">
        <f aca="false">EOMONTH(AJ144, 1)</f>
        <v>46568</v>
      </c>
      <c r="AL144" s="60" t="n">
        <f aca="false">EOMONTH(AK144, 1)</f>
        <v>46599</v>
      </c>
      <c r="AM144" s="60" t="n">
        <f aca="false">EOMONTH(AL144, 1)</f>
        <v>46630</v>
      </c>
      <c r="AN144" s="60" t="n">
        <f aca="false">EOMONTH(AM144, 1)</f>
        <v>46660</v>
      </c>
      <c r="AO144" s="60" t="n">
        <f aca="false">EOMONTH(AN144, 1)</f>
        <v>46691</v>
      </c>
      <c r="AP144" s="60" t="n">
        <f aca="false">EOMONTH(AO144, 1)</f>
        <v>46721</v>
      </c>
      <c r="AQ144" s="61" t="n">
        <f aca="false">EOMONTH(AP144, 1)</f>
        <v>46752</v>
      </c>
      <c r="AR144" s="59" t="n">
        <f aca="false">EOMONTH(AQ144, 1)</f>
        <v>46783</v>
      </c>
      <c r="AS144" s="60" t="n">
        <f aca="false">EOMONTH(AR144, 1)</f>
        <v>46812</v>
      </c>
      <c r="AT144" s="60" t="n">
        <f aca="false">EOMONTH(AS144, 1)</f>
        <v>46843</v>
      </c>
      <c r="AU144" s="60" t="n">
        <f aca="false">EOMONTH(AT144, 1)</f>
        <v>46873</v>
      </c>
      <c r="AV144" s="60" t="n">
        <f aca="false">EOMONTH(AU144, 1)</f>
        <v>46904</v>
      </c>
      <c r="AW144" s="60" t="n">
        <f aca="false">EOMONTH(AV144, 1)</f>
        <v>46934</v>
      </c>
      <c r="AX144" s="60" t="n">
        <f aca="false">EOMONTH(AW144, 1)</f>
        <v>46965</v>
      </c>
      <c r="AY144" s="60" t="n">
        <f aca="false">EOMONTH(AX144, 1)</f>
        <v>46996</v>
      </c>
      <c r="AZ144" s="60" t="n">
        <f aca="false">EOMONTH(AY144, 1)</f>
        <v>47026</v>
      </c>
      <c r="BA144" s="60" t="n">
        <f aca="false">EOMONTH(AZ144, 1)</f>
        <v>47057</v>
      </c>
      <c r="BB144" s="60" t="n">
        <f aca="false">EOMONTH(BA144, 1)</f>
        <v>47087</v>
      </c>
      <c r="BC144" s="61" t="n">
        <f aca="false">EOMONTH(BB144, 1)</f>
        <v>47118</v>
      </c>
      <c r="BD144" s="59" t="n">
        <f aca="false">EOMONTH(BC144, 1)</f>
        <v>47149</v>
      </c>
      <c r="BE144" s="60" t="n">
        <f aca="false">EOMONTH(BD144, 1)</f>
        <v>47177</v>
      </c>
      <c r="BF144" s="60" t="n">
        <f aca="false">EOMONTH(BE144, 1)</f>
        <v>47208</v>
      </c>
      <c r="BG144" s="60" t="n">
        <f aca="false">EOMONTH(BF144, 1)</f>
        <v>47238</v>
      </c>
      <c r="BH144" s="60" t="n">
        <f aca="false">EOMONTH(BG144, 1)</f>
        <v>47269</v>
      </c>
      <c r="BI144" s="60" t="n">
        <f aca="false">EOMONTH(BH144, 1)</f>
        <v>47299</v>
      </c>
      <c r="BJ144" s="60" t="n">
        <f aca="false">EOMONTH(BI144, 1)</f>
        <v>47330</v>
      </c>
      <c r="BK144" s="60" t="n">
        <f aca="false">EOMONTH(BJ144, 1)</f>
        <v>47361</v>
      </c>
      <c r="BL144" s="60" t="n">
        <f aca="false">EOMONTH(BK144, 1)</f>
        <v>47391</v>
      </c>
      <c r="BM144" s="60" t="n">
        <f aca="false">EOMONTH(BL144, 1)</f>
        <v>47422</v>
      </c>
      <c r="BN144" s="60" t="n">
        <f aca="false">EOMONTH(BM144, 1)</f>
        <v>47452</v>
      </c>
      <c r="BO144" s="61" t="n">
        <f aca="false">EOMONTH(BN144, 1)</f>
        <v>47483</v>
      </c>
      <c r="BP144" s="59" t="n">
        <f aca="false">EOMONTH(BO144, 1)</f>
        <v>47514</v>
      </c>
      <c r="BQ144" s="60" t="n">
        <f aca="false">EOMONTH(BP144, 1)</f>
        <v>47542</v>
      </c>
      <c r="BR144" s="60" t="n">
        <f aca="false">EOMONTH(BQ144, 1)</f>
        <v>47573</v>
      </c>
      <c r="BS144" s="60" t="n">
        <f aca="false">EOMONTH(BR144, 1)</f>
        <v>47603</v>
      </c>
      <c r="BT144" s="60" t="n">
        <f aca="false">EOMONTH(BS144, 1)</f>
        <v>47634</v>
      </c>
      <c r="BU144" s="60" t="n">
        <f aca="false">EOMONTH(BT144, 1)</f>
        <v>47664</v>
      </c>
      <c r="BV144" s="60" t="n">
        <f aca="false">EOMONTH(BU144, 1)</f>
        <v>47695</v>
      </c>
      <c r="BW144" s="60" t="n">
        <f aca="false">EOMONTH(BV144, 1)</f>
        <v>47726</v>
      </c>
      <c r="BX144" s="60" t="n">
        <f aca="false">EOMONTH(BW144, 1)</f>
        <v>47756</v>
      </c>
      <c r="BY144" s="60" t="n">
        <f aca="false">EOMONTH(BX144, 1)</f>
        <v>47787</v>
      </c>
      <c r="BZ144" s="60" t="n">
        <f aca="false">EOMONTH(BY144, 1)</f>
        <v>47817</v>
      </c>
      <c r="CA144" s="60" t="n">
        <f aca="false">EOMONTH(BZ144, 1)</f>
        <v>47848</v>
      </c>
      <c r="CC144" s="62" t="n">
        <v>2026</v>
      </c>
      <c r="CD144" s="62" t="n">
        <f aca="false">CC144+1</f>
        <v>2027</v>
      </c>
      <c r="CE144" s="62" t="n">
        <f aca="false">CD144+1</f>
        <v>2028</v>
      </c>
      <c r="CF144" s="62" t="n">
        <f aca="false">CE144+1</f>
        <v>2029</v>
      </c>
      <c r="CG144" s="62" t="n">
        <f aca="false">CF144+1</f>
        <v>2030</v>
      </c>
      <c r="CI144" s="62" t="n">
        <v>2026</v>
      </c>
      <c r="CJ144" s="62" t="n">
        <f aca="false">CI144+1</f>
        <v>2027</v>
      </c>
      <c r="CK144" s="62" t="n">
        <f aca="false">CJ144+1</f>
        <v>2028</v>
      </c>
      <c r="CL144" s="62" t="n">
        <f aca="false">CK144+1</f>
        <v>2029</v>
      </c>
      <c r="CM144" s="62" t="n">
        <f aca="false">CL144+1</f>
        <v>2030</v>
      </c>
    </row>
    <row r="145" s="14" customFormat="true" ht="16.5" hidden="false" customHeight="true" outlineLevel="0" collapsed="false">
      <c r="F145" s="21"/>
      <c r="G145" s="21"/>
      <c r="Q145" s="16"/>
      <c r="R145" s="16"/>
    </row>
    <row r="146" s="14" customFormat="true" ht="16.5" hidden="false" customHeight="true" outlineLevel="0" collapsed="false">
      <c r="E146" s="21" t="s">
        <v>149</v>
      </c>
      <c r="Q146" s="16"/>
      <c r="R146" s="16"/>
    </row>
    <row r="147" s="14" customFormat="true" ht="16.5" hidden="false" customHeight="true" outlineLevel="0" collapsed="false">
      <c r="D147" s="134"/>
      <c r="E147" s="91" t="s">
        <v>150</v>
      </c>
      <c r="L147" s="91"/>
      <c r="M147" s="91" t="n">
        <v>5</v>
      </c>
      <c r="N147" s="91"/>
      <c r="O147" s="91"/>
      <c r="P147" s="91"/>
      <c r="Q147" s="93"/>
      <c r="R147" s="16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 t="n">
        <f aca="false">3/12</f>
        <v>0.25</v>
      </c>
      <c r="AG147" s="135" t="n">
        <f aca="false">3/12</f>
        <v>0.25</v>
      </c>
      <c r="AH147" s="135" t="n">
        <f aca="false">3/12</f>
        <v>0.25</v>
      </c>
      <c r="AI147" s="135" t="n">
        <f aca="false">3/12</f>
        <v>0.25</v>
      </c>
      <c r="AJ147" s="135" t="n">
        <f aca="false">3/12</f>
        <v>0.25</v>
      </c>
      <c r="AK147" s="135" t="n">
        <f aca="false">3/12</f>
        <v>0.25</v>
      </c>
      <c r="AL147" s="135" t="n">
        <f aca="false">3/12</f>
        <v>0.25</v>
      </c>
      <c r="AM147" s="135" t="n">
        <f aca="false">3/12</f>
        <v>0.25</v>
      </c>
      <c r="AN147" s="135" t="n">
        <f aca="false">3/12</f>
        <v>0.25</v>
      </c>
      <c r="AO147" s="135" t="n">
        <f aca="false">3/12</f>
        <v>0.25</v>
      </c>
      <c r="AP147" s="135" t="n">
        <f aca="false">3/12</f>
        <v>0.25</v>
      </c>
      <c r="AQ147" s="135" t="n">
        <f aca="false">3/12</f>
        <v>0.25</v>
      </c>
      <c r="AR147" s="135" t="n">
        <f aca="false">3/12</f>
        <v>0.25</v>
      </c>
      <c r="AS147" s="135" t="n">
        <f aca="false">3/12</f>
        <v>0.25</v>
      </c>
      <c r="AT147" s="135" t="n">
        <f aca="false">3/12</f>
        <v>0.25</v>
      </c>
      <c r="AU147" s="135" t="n">
        <f aca="false">3/12</f>
        <v>0.25</v>
      </c>
      <c r="AV147" s="135" t="n">
        <f aca="false">3/12</f>
        <v>0.25</v>
      </c>
      <c r="AW147" s="135" t="n">
        <f aca="false">3/12</f>
        <v>0.25</v>
      </c>
      <c r="AX147" s="135" t="n">
        <f aca="false">3/12</f>
        <v>0.25</v>
      </c>
      <c r="AY147" s="135" t="n">
        <f aca="false">3/12</f>
        <v>0.25</v>
      </c>
      <c r="AZ147" s="135" t="n">
        <f aca="false">3/12</f>
        <v>0.25</v>
      </c>
      <c r="BA147" s="135" t="n">
        <f aca="false">3/12</f>
        <v>0.25</v>
      </c>
      <c r="BB147" s="135" t="n">
        <f aca="false">3/12</f>
        <v>0.25</v>
      </c>
      <c r="BC147" s="135" t="n">
        <f aca="false">3/12</f>
        <v>0.25</v>
      </c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19"/>
      <c r="CA147" s="119"/>
      <c r="CC147" s="79" t="n">
        <f aca="false">SUMIFS($T147:$CA147, $T$1:$CA$1, CC$75)</f>
        <v>0</v>
      </c>
      <c r="CD147" s="79" t="n">
        <f aca="false">SUMIFS($T147:$CA147, $T$1:$CA$1, CD$75)</f>
        <v>3</v>
      </c>
      <c r="CE147" s="79" t="n">
        <f aca="false">SUMIFS($T147:$CA147, $T$1:$CA$1, CE$75)</f>
        <v>3</v>
      </c>
      <c r="CF147" s="79" t="n">
        <f aca="false">SUMIFS($T147:$CA147, $T$1:$CA$1, CF$75)</f>
        <v>0</v>
      </c>
      <c r="CG147" s="79" t="n">
        <f aca="false">SUMIFS($T147:$CA147, $T$1:$CA$1, CG$75)</f>
        <v>0</v>
      </c>
      <c r="CI147" s="79" t="n">
        <f aca="false">CC147=L147</f>
        <v>1</v>
      </c>
      <c r="CJ147" s="79" t="n">
        <f aca="false">CD147=M147</f>
        <v>0</v>
      </c>
      <c r="CK147" s="79" t="n">
        <f aca="false">CE147=N147</f>
        <v>0</v>
      </c>
      <c r="CL147" s="79" t="n">
        <f aca="false">CF147=O147</f>
        <v>1</v>
      </c>
      <c r="CM147" s="79" t="n">
        <f aca="false">CG147=P147</f>
        <v>1</v>
      </c>
    </row>
    <row r="148" s="14" customFormat="true" ht="16.5" hidden="false" customHeight="true" outlineLevel="0" collapsed="false">
      <c r="D148" s="134"/>
      <c r="E148" s="91"/>
      <c r="L148" s="91"/>
      <c r="M148" s="91"/>
      <c r="N148" s="91"/>
      <c r="O148" s="91"/>
      <c r="P148" s="91"/>
      <c r="Q148" s="93"/>
      <c r="R148" s="16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19"/>
      <c r="CA148" s="119"/>
      <c r="CC148" s="79" t="n">
        <f aca="false">SUMIFS($T148:$CA148, $T$1:$CA$1, CC$75)</f>
        <v>0</v>
      </c>
      <c r="CD148" s="79" t="n">
        <f aca="false">SUMIFS($T148:$CA148, $T$1:$CA$1, CD$75)</f>
        <v>0</v>
      </c>
      <c r="CE148" s="79" t="n">
        <f aca="false">SUMIFS($T148:$CA148, $T$1:$CA$1, CE$75)</f>
        <v>0</v>
      </c>
      <c r="CF148" s="79" t="n">
        <f aca="false">SUMIFS($T148:$CA148, $T$1:$CA$1, CF$75)</f>
        <v>0</v>
      </c>
      <c r="CG148" s="79" t="n">
        <f aca="false">SUMIFS($T148:$CA148, $T$1:$CA$1, CG$75)</f>
        <v>0</v>
      </c>
      <c r="CI148" s="79" t="n">
        <f aca="false">CC148=L148</f>
        <v>1</v>
      </c>
      <c r="CJ148" s="79" t="n">
        <f aca="false">CD148=M148</f>
        <v>1</v>
      </c>
      <c r="CK148" s="79" t="n">
        <f aca="false">CE148=N148</f>
        <v>1</v>
      </c>
      <c r="CL148" s="79" t="n">
        <f aca="false">CF148=O148</f>
        <v>1</v>
      </c>
      <c r="CM148" s="79" t="n">
        <f aca="false">CG148=P148</f>
        <v>1</v>
      </c>
    </row>
    <row r="149" s="14" customFormat="true" ht="16.5" hidden="false" customHeight="true" outlineLevel="0" collapsed="false">
      <c r="E149" s="96" t="s">
        <v>151</v>
      </c>
      <c r="L149" s="82" t="n">
        <f aca="false">SUM(L147:L148)</f>
        <v>0</v>
      </c>
      <c r="M149" s="82" t="n">
        <f aca="false">SUM(M147:M148)</f>
        <v>5</v>
      </c>
      <c r="N149" s="82" t="n">
        <f aca="false">SUM(N147:N148)</f>
        <v>0</v>
      </c>
      <c r="O149" s="82" t="n">
        <f aca="false">SUM(O147:O148)</f>
        <v>0</v>
      </c>
      <c r="P149" s="82" t="n">
        <f aca="false">SUM(P147:P148)</f>
        <v>0</v>
      </c>
      <c r="Q149" s="16"/>
      <c r="R149" s="16"/>
      <c r="T149" s="131" t="n">
        <f aca="false">SUM(T147:T148)</f>
        <v>0</v>
      </c>
      <c r="U149" s="131" t="n">
        <f aca="false">SUM(U147:U148)</f>
        <v>0</v>
      </c>
      <c r="V149" s="131" t="n">
        <f aca="false">SUM(V147:V148)</f>
        <v>0</v>
      </c>
      <c r="W149" s="131" t="n">
        <f aca="false">SUM(W147:W148)</f>
        <v>0</v>
      </c>
      <c r="X149" s="131" t="n">
        <f aca="false">SUM(X147:X148)</f>
        <v>0</v>
      </c>
      <c r="Y149" s="131" t="n">
        <f aca="false">SUM(Y147:Y148)</f>
        <v>0</v>
      </c>
      <c r="Z149" s="131" t="n">
        <f aca="false">SUM(Z147:Z148)</f>
        <v>0</v>
      </c>
      <c r="AA149" s="131" t="n">
        <f aca="false">SUM(AA147:AA148)</f>
        <v>0</v>
      </c>
      <c r="AB149" s="131" t="n">
        <f aca="false">SUM(AB147:AB148)</f>
        <v>0</v>
      </c>
      <c r="AC149" s="131" t="n">
        <f aca="false">SUM(AC147:AC148)</f>
        <v>0</v>
      </c>
      <c r="AD149" s="131" t="n">
        <f aca="false">SUM(AD147:AD148)</f>
        <v>0</v>
      </c>
      <c r="AE149" s="131" t="n">
        <f aca="false">SUM(AE147:AE148)</f>
        <v>0</v>
      </c>
      <c r="AF149" s="131" t="n">
        <f aca="false">SUM(AF147:AF148)</f>
        <v>0.25</v>
      </c>
      <c r="AG149" s="131" t="n">
        <f aca="false">SUM(AG147:AG148)</f>
        <v>0.25</v>
      </c>
      <c r="AH149" s="131" t="n">
        <f aca="false">SUM(AH147:AH148)</f>
        <v>0.25</v>
      </c>
      <c r="AI149" s="131" t="n">
        <f aca="false">SUM(AI147:AI148)</f>
        <v>0.25</v>
      </c>
      <c r="AJ149" s="131" t="n">
        <f aca="false">SUM(AJ147:AJ148)</f>
        <v>0.25</v>
      </c>
      <c r="AK149" s="131" t="n">
        <f aca="false">SUM(AK147:AK148)</f>
        <v>0.25</v>
      </c>
      <c r="AL149" s="131" t="n">
        <f aca="false">SUM(AL147:AL148)</f>
        <v>0.25</v>
      </c>
      <c r="AM149" s="131" t="n">
        <f aca="false">SUM(AM147:AM148)</f>
        <v>0.25</v>
      </c>
      <c r="AN149" s="131" t="n">
        <f aca="false">SUM(AN147:AN148)</f>
        <v>0.25</v>
      </c>
      <c r="AO149" s="131" t="n">
        <f aca="false">SUM(AO147:AO148)</f>
        <v>0.25</v>
      </c>
      <c r="AP149" s="131" t="n">
        <f aca="false">SUM(AP147:AP148)</f>
        <v>0.25</v>
      </c>
      <c r="AQ149" s="131" t="n">
        <f aca="false">SUM(AQ147:AQ148)</f>
        <v>0.25</v>
      </c>
      <c r="AR149" s="131" t="n">
        <f aca="false">SUM(AR147:AR148)</f>
        <v>0.25</v>
      </c>
      <c r="AS149" s="131" t="n">
        <f aca="false">SUM(AS147:AS148)</f>
        <v>0.25</v>
      </c>
      <c r="AT149" s="131" t="n">
        <f aca="false">SUM(AT147:AT148)</f>
        <v>0.25</v>
      </c>
      <c r="AU149" s="131" t="n">
        <f aca="false">SUM(AU147:AU148)</f>
        <v>0.25</v>
      </c>
      <c r="AV149" s="131" t="n">
        <f aca="false">SUM(AV147:AV148)</f>
        <v>0.25</v>
      </c>
      <c r="AW149" s="131" t="n">
        <f aca="false">SUM(AW147:AW148)</f>
        <v>0.25</v>
      </c>
      <c r="AX149" s="131" t="n">
        <f aca="false">SUM(AX147:AX148)</f>
        <v>0.25</v>
      </c>
      <c r="AY149" s="131" t="n">
        <f aca="false">SUM(AY147:AY148)</f>
        <v>0.25</v>
      </c>
      <c r="AZ149" s="131" t="n">
        <f aca="false">SUM(AZ147:AZ148)</f>
        <v>0.25</v>
      </c>
      <c r="BA149" s="131" t="n">
        <f aca="false">SUM(BA147:BA148)</f>
        <v>0.25</v>
      </c>
      <c r="BB149" s="131" t="n">
        <f aca="false">SUM(BB147:BB148)</f>
        <v>0.25</v>
      </c>
      <c r="BC149" s="131" t="n">
        <f aca="false">SUM(BC147:BC148)</f>
        <v>0.25</v>
      </c>
      <c r="BD149" s="131" t="n">
        <f aca="false">SUM(BD147:BD148)</f>
        <v>0</v>
      </c>
      <c r="BE149" s="131" t="n">
        <f aca="false">SUM(BE147:BE148)</f>
        <v>0</v>
      </c>
      <c r="BF149" s="131" t="n">
        <f aca="false">SUM(BF147:BF148)</f>
        <v>0</v>
      </c>
      <c r="BG149" s="131" t="n">
        <f aca="false">SUM(BG147:BG148)</f>
        <v>0</v>
      </c>
      <c r="BH149" s="131" t="n">
        <f aca="false">SUM(BH147:BH148)</f>
        <v>0</v>
      </c>
      <c r="BI149" s="131" t="n">
        <f aca="false">SUM(BI147:BI148)</f>
        <v>0</v>
      </c>
      <c r="BJ149" s="131" t="n">
        <f aca="false">SUM(BJ147:BJ148)</f>
        <v>0</v>
      </c>
      <c r="BK149" s="131" t="n">
        <f aca="false">SUM(BK147:BK148)</f>
        <v>0</v>
      </c>
      <c r="BL149" s="131" t="n">
        <f aca="false">SUM(BL147:BL148)</f>
        <v>0</v>
      </c>
      <c r="BM149" s="131" t="n">
        <f aca="false">SUM(BM147:BM148)</f>
        <v>0</v>
      </c>
      <c r="BN149" s="131" t="n">
        <f aca="false">SUM(BN147:BN148)</f>
        <v>0</v>
      </c>
      <c r="BO149" s="131" t="n">
        <f aca="false">SUM(BO147:BO148)</f>
        <v>0</v>
      </c>
      <c r="BP149" s="131" t="n">
        <f aca="false">SUM(BP147:BP148)</f>
        <v>0</v>
      </c>
      <c r="BQ149" s="131" t="n">
        <f aca="false">SUM(BQ147:BQ148)</f>
        <v>0</v>
      </c>
      <c r="BR149" s="131" t="n">
        <f aca="false">SUM(BR147:BR148)</f>
        <v>0</v>
      </c>
      <c r="BS149" s="131" t="n">
        <f aca="false">SUM(BS147:BS148)</f>
        <v>0</v>
      </c>
      <c r="BT149" s="131" t="n">
        <f aca="false">SUM(BT147:BT148)</f>
        <v>0</v>
      </c>
      <c r="BU149" s="131" t="n">
        <f aca="false">SUM(BU147:BU148)</f>
        <v>0</v>
      </c>
      <c r="BV149" s="131" t="n">
        <f aca="false">SUM(BV147:BV148)</f>
        <v>0</v>
      </c>
      <c r="BW149" s="131" t="n">
        <f aca="false">SUM(BW147:BW148)</f>
        <v>0</v>
      </c>
      <c r="BX149" s="131" t="n">
        <f aca="false">SUM(BX147:BX148)</f>
        <v>0</v>
      </c>
      <c r="BY149" s="131" t="n">
        <f aca="false">SUM(BY147:BY148)</f>
        <v>0</v>
      </c>
      <c r="BZ149" s="136" t="n">
        <f aca="false">SUM(BZ147:BZ148)</f>
        <v>0</v>
      </c>
      <c r="CA149" s="136" t="n">
        <f aca="false">SUM(CA147:CA148)</f>
        <v>0</v>
      </c>
      <c r="CC149" s="136" t="n">
        <f aca="false">SUM(CC147:CC148)</f>
        <v>0</v>
      </c>
      <c r="CD149" s="136" t="n">
        <f aca="false">SUM(CD147:CD148)</f>
        <v>3</v>
      </c>
      <c r="CE149" s="136" t="n">
        <f aca="false">SUM(CE147:CE148)</f>
        <v>3</v>
      </c>
      <c r="CF149" s="136" t="n">
        <f aca="false">SUM(CF147:CF148)</f>
        <v>0</v>
      </c>
      <c r="CG149" s="136" t="n">
        <f aca="false">SUM(CG147:CG148)</f>
        <v>0</v>
      </c>
      <c r="CI149" s="136" t="n">
        <f aca="false">CC149=L149</f>
        <v>1</v>
      </c>
      <c r="CJ149" s="136" t="n">
        <f aca="false">CD149=M149</f>
        <v>0</v>
      </c>
      <c r="CK149" s="136" t="n">
        <f aca="false">CE149=N149</f>
        <v>0</v>
      </c>
      <c r="CL149" s="136" t="n">
        <f aca="false">CF149=O149</f>
        <v>1</v>
      </c>
      <c r="CM149" s="136" t="n">
        <f aca="false">CG149=P149</f>
        <v>1</v>
      </c>
    </row>
    <row r="150" s="14" customFormat="true" ht="16.5" hidden="false" customHeight="true" outlineLevel="0" collapsed="false">
      <c r="L150" s="88"/>
      <c r="M150" s="88"/>
      <c r="N150" s="88"/>
      <c r="O150" s="88"/>
      <c r="P150" s="88"/>
      <c r="Q150" s="16"/>
      <c r="R150" s="16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21"/>
      <c r="CA150" s="121"/>
    </row>
    <row r="151" s="14" customFormat="true" ht="16.5" hidden="false" customHeight="true" outlineLevel="0" collapsed="false">
      <c r="E151" s="21" t="s">
        <v>152</v>
      </c>
      <c r="L151" s="88"/>
      <c r="M151" s="88"/>
      <c r="N151" s="88"/>
      <c r="O151" s="88"/>
      <c r="P151" s="88"/>
      <c r="Q151" s="16"/>
      <c r="R151" s="16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21"/>
      <c r="CA151" s="121"/>
    </row>
    <row r="152" s="14" customFormat="true" ht="16.5" hidden="false" customHeight="true" outlineLevel="0" collapsed="false">
      <c r="E152" s="91"/>
      <c r="L152" s="91"/>
      <c r="M152" s="91"/>
      <c r="N152" s="91"/>
      <c r="O152" s="91"/>
      <c r="P152" s="91"/>
      <c r="Q152" s="93"/>
      <c r="R152" s="16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8"/>
      <c r="CA152" s="138"/>
      <c r="CC152" s="79" t="n">
        <f aca="false">SUMIFS($T152:$CA152, $T$1:$CA$1, CC$75)</f>
        <v>0</v>
      </c>
      <c r="CD152" s="79" t="n">
        <f aca="false">SUMIFS($T152:$CA152, $T$1:$CA$1, CD$75)</f>
        <v>0</v>
      </c>
      <c r="CE152" s="79" t="n">
        <f aca="false">SUMIFS($T152:$CA152, $T$1:$CA$1, CE$75)</f>
        <v>0</v>
      </c>
      <c r="CF152" s="79" t="n">
        <f aca="false">SUMIFS($T152:$CA152, $T$1:$CA$1, CF$75)</f>
        <v>0</v>
      </c>
      <c r="CG152" s="79" t="n">
        <f aca="false">SUMIFS($T152:$CA152, $T$1:$CA$1, CG$75)</f>
        <v>0</v>
      </c>
      <c r="CI152" s="79" t="n">
        <f aca="false">CC152=L152</f>
        <v>1</v>
      </c>
      <c r="CJ152" s="79" t="n">
        <f aca="false">CD152=M152</f>
        <v>1</v>
      </c>
      <c r="CK152" s="79" t="n">
        <f aca="false">CE152=N152</f>
        <v>1</v>
      </c>
      <c r="CL152" s="79" t="n">
        <f aca="false">CF152=O152</f>
        <v>1</v>
      </c>
      <c r="CM152" s="79" t="n">
        <f aca="false">CG152=P152</f>
        <v>1</v>
      </c>
    </row>
    <row r="153" s="14" customFormat="true" ht="16.5" hidden="false" customHeight="true" outlineLevel="0" collapsed="false">
      <c r="E153" s="91"/>
      <c r="L153" s="91"/>
      <c r="M153" s="91"/>
      <c r="N153" s="91"/>
      <c r="O153" s="91"/>
      <c r="P153" s="91"/>
      <c r="Q153" s="93"/>
      <c r="R153" s="16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8"/>
      <c r="CA153" s="138"/>
      <c r="CC153" s="79" t="n">
        <f aca="false">SUMIFS($T153:$CA153, $T$1:$CA$1, CC$75)</f>
        <v>0</v>
      </c>
      <c r="CD153" s="79" t="n">
        <f aca="false">SUMIFS($T153:$CA153, $T$1:$CA$1, CD$75)</f>
        <v>0</v>
      </c>
      <c r="CE153" s="79" t="n">
        <f aca="false">SUMIFS($T153:$CA153, $T$1:$CA$1, CE$75)</f>
        <v>0</v>
      </c>
      <c r="CF153" s="79" t="n">
        <f aca="false">SUMIFS($T153:$CA153, $T$1:$CA$1, CF$75)</f>
        <v>0</v>
      </c>
      <c r="CG153" s="79" t="n">
        <f aca="false">SUMIFS($T153:$CA153, $T$1:$CA$1, CG$75)</f>
        <v>0</v>
      </c>
      <c r="CI153" s="79" t="n">
        <f aca="false">CC153=L153</f>
        <v>1</v>
      </c>
      <c r="CJ153" s="79" t="n">
        <f aca="false">CD153=M153</f>
        <v>1</v>
      </c>
      <c r="CK153" s="79" t="n">
        <f aca="false">CE153=N153</f>
        <v>1</v>
      </c>
      <c r="CL153" s="79" t="n">
        <f aca="false">CF153=O153</f>
        <v>1</v>
      </c>
      <c r="CM153" s="79" t="n">
        <f aca="false">CG153=P153</f>
        <v>1</v>
      </c>
    </row>
    <row r="154" s="14" customFormat="true" ht="16.5" hidden="false" customHeight="true" outlineLevel="0" collapsed="false">
      <c r="E154" s="91"/>
      <c r="L154" s="91"/>
      <c r="M154" s="91"/>
      <c r="N154" s="91"/>
      <c r="O154" s="91"/>
      <c r="P154" s="91"/>
      <c r="Q154" s="93"/>
      <c r="R154" s="16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8"/>
      <c r="CA154" s="138"/>
      <c r="CC154" s="79" t="n">
        <f aca="false">SUMIFS($T154:$CA154, $T$1:$CA$1, CC$75)</f>
        <v>0</v>
      </c>
      <c r="CD154" s="79" t="n">
        <f aca="false">SUMIFS($T154:$CA154, $T$1:$CA$1, CD$75)</f>
        <v>0</v>
      </c>
      <c r="CE154" s="79" t="n">
        <f aca="false">SUMIFS($T154:$CA154, $T$1:$CA$1, CE$75)</f>
        <v>0</v>
      </c>
      <c r="CF154" s="79" t="n">
        <f aca="false">SUMIFS($T154:$CA154, $T$1:$CA$1, CF$75)</f>
        <v>0</v>
      </c>
      <c r="CG154" s="79" t="n">
        <f aca="false">SUMIFS($T154:$CA154, $T$1:$CA$1, CG$75)</f>
        <v>0</v>
      </c>
      <c r="CI154" s="79" t="n">
        <f aca="false">CC154=L154</f>
        <v>1</v>
      </c>
      <c r="CJ154" s="79" t="n">
        <f aca="false">CD154=M154</f>
        <v>1</v>
      </c>
      <c r="CK154" s="79" t="n">
        <f aca="false">CE154=N154</f>
        <v>1</v>
      </c>
      <c r="CL154" s="79" t="n">
        <f aca="false">CF154=O154</f>
        <v>1</v>
      </c>
      <c r="CM154" s="79" t="n">
        <f aca="false">CG154=P154</f>
        <v>1</v>
      </c>
    </row>
    <row r="155" s="14" customFormat="true" ht="16.5" hidden="false" customHeight="true" outlineLevel="0" collapsed="false">
      <c r="E155" s="96" t="s">
        <v>153</v>
      </c>
      <c r="L155" s="82" t="n">
        <f aca="false">SUM(L152:L154)</f>
        <v>0</v>
      </c>
      <c r="M155" s="82" t="n">
        <f aca="false">SUM(M152:M154)</f>
        <v>0</v>
      </c>
      <c r="N155" s="82" t="n">
        <f aca="false">SUM(N152:N154)</f>
        <v>0</v>
      </c>
      <c r="O155" s="82" t="n">
        <f aca="false">SUM(O152:O154)</f>
        <v>0</v>
      </c>
      <c r="P155" s="82" t="n">
        <f aca="false">SUM(P152:P154)</f>
        <v>0</v>
      </c>
      <c r="Q155" s="16"/>
      <c r="R155" s="16"/>
      <c r="T155" s="131" t="n">
        <f aca="false">SUM(T152:T154)</f>
        <v>0</v>
      </c>
      <c r="U155" s="131" t="n">
        <f aca="false">SUM(U152:U154)</f>
        <v>0</v>
      </c>
      <c r="V155" s="131" t="n">
        <f aca="false">SUM(V152:V154)</f>
        <v>0</v>
      </c>
      <c r="W155" s="131" t="n">
        <f aca="false">SUM(W152:W154)</f>
        <v>0</v>
      </c>
      <c r="X155" s="131" t="n">
        <f aca="false">SUM(X152:X154)</f>
        <v>0</v>
      </c>
      <c r="Y155" s="131" t="n">
        <f aca="false">SUM(Y152:Y154)</f>
        <v>0</v>
      </c>
      <c r="Z155" s="131" t="n">
        <f aca="false">SUM(Z152:Z154)</f>
        <v>0</v>
      </c>
      <c r="AA155" s="131" t="n">
        <f aca="false">SUM(AA152:AA154)</f>
        <v>0</v>
      </c>
      <c r="AB155" s="131" t="n">
        <f aca="false">SUM(AB152:AB154)</f>
        <v>0</v>
      </c>
      <c r="AC155" s="131" t="n">
        <f aca="false">SUM(AC152:AC154)</f>
        <v>0</v>
      </c>
      <c r="AD155" s="131" t="n">
        <f aca="false">SUM(AD152:AD154)</f>
        <v>0</v>
      </c>
      <c r="AE155" s="131" t="n">
        <f aca="false">SUM(AE152:AE154)</f>
        <v>0</v>
      </c>
      <c r="AF155" s="131" t="n">
        <f aca="false">SUM(AF152:AF154)</f>
        <v>0</v>
      </c>
      <c r="AG155" s="131" t="n">
        <f aca="false">SUM(AG152:AG154)</f>
        <v>0</v>
      </c>
      <c r="AH155" s="131" t="n">
        <f aca="false">SUM(AH152:AH154)</f>
        <v>0</v>
      </c>
      <c r="AI155" s="131" t="n">
        <f aca="false">SUM(AI152:AI154)</f>
        <v>0</v>
      </c>
      <c r="AJ155" s="131" t="n">
        <f aca="false">SUM(AJ152:AJ154)</f>
        <v>0</v>
      </c>
      <c r="AK155" s="131" t="n">
        <f aca="false">SUM(AK152:AK154)</f>
        <v>0</v>
      </c>
      <c r="AL155" s="131" t="n">
        <f aca="false">SUM(AL152:AL154)</f>
        <v>0</v>
      </c>
      <c r="AM155" s="131" t="n">
        <f aca="false">SUM(AM152:AM154)</f>
        <v>0</v>
      </c>
      <c r="AN155" s="131" t="n">
        <f aca="false">SUM(AN152:AN154)</f>
        <v>0</v>
      </c>
      <c r="AO155" s="131" t="n">
        <f aca="false">SUM(AO152:AO154)</f>
        <v>0</v>
      </c>
      <c r="AP155" s="131" t="n">
        <f aca="false">SUM(AP152:AP154)</f>
        <v>0</v>
      </c>
      <c r="AQ155" s="131" t="n">
        <f aca="false">SUM(AQ152:AQ154)</f>
        <v>0</v>
      </c>
      <c r="AR155" s="131" t="n">
        <f aca="false">SUM(AR152:AR154)</f>
        <v>0</v>
      </c>
      <c r="AS155" s="131" t="n">
        <f aca="false">SUM(AS152:AS154)</f>
        <v>0</v>
      </c>
      <c r="AT155" s="131" t="n">
        <f aca="false">SUM(AT152:AT154)</f>
        <v>0</v>
      </c>
      <c r="AU155" s="131" t="n">
        <f aca="false">SUM(AU152:AU154)</f>
        <v>0</v>
      </c>
      <c r="AV155" s="131" t="n">
        <f aca="false">SUM(AV152:AV154)</f>
        <v>0</v>
      </c>
      <c r="AW155" s="131" t="n">
        <f aca="false">SUM(AW152:AW154)</f>
        <v>0</v>
      </c>
      <c r="AX155" s="131" t="n">
        <f aca="false">SUM(AX152:AX154)</f>
        <v>0</v>
      </c>
      <c r="AY155" s="131" t="n">
        <f aca="false">SUM(AY152:AY154)</f>
        <v>0</v>
      </c>
      <c r="AZ155" s="131" t="n">
        <f aca="false">SUM(AZ152:AZ154)</f>
        <v>0</v>
      </c>
      <c r="BA155" s="131" t="n">
        <f aca="false">SUM(BA152:BA154)</f>
        <v>0</v>
      </c>
      <c r="BB155" s="131" t="n">
        <f aca="false">SUM(BB152:BB154)</f>
        <v>0</v>
      </c>
      <c r="BC155" s="131" t="n">
        <f aca="false">SUM(BC152:BC154)</f>
        <v>0</v>
      </c>
      <c r="BD155" s="131" t="n">
        <f aca="false">SUM(BD152:BD154)</f>
        <v>0</v>
      </c>
      <c r="BE155" s="131" t="n">
        <f aca="false">SUM(BE152:BE154)</f>
        <v>0</v>
      </c>
      <c r="BF155" s="131" t="n">
        <f aca="false">SUM(BF152:BF154)</f>
        <v>0</v>
      </c>
      <c r="BG155" s="131" t="n">
        <f aca="false">SUM(BG152:BG154)</f>
        <v>0</v>
      </c>
      <c r="BH155" s="131" t="n">
        <f aca="false">SUM(BH152:BH154)</f>
        <v>0</v>
      </c>
      <c r="BI155" s="131" t="n">
        <f aca="false">SUM(BI152:BI154)</f>
        <v>0</v>
      </c>
      <c r="BJ155" s="131" t="n">
        <f aca="false">SUM(BJ152:BJ154)</f>
        <v>0</v>
      </c>
      <c r="BK155" s="131" t="n">
        <f aca="false">SUM(BK152:BK154)</f>
        <v>0</v>
      </c>
      <c r="BL155" s="131" t="n">
        <f aca="false">SUM(BL152:BL154)</f>
        <v>0</v>
      </c>
      <c r="BM155" s="131" t="n">
        <f aca="false">SUM(BM152:BM154)</f>
        <v>0</v>
      </c>
      <c r="BN155" s="131" t="n">
        <f aca="false">SUM(BN152:BN154)</f>
        <v>0</v>
      </c>
      <c r="BO155" s="131" t="n">
        <f aca="false">SUM(BO152:BO154)</f>
        <v>0</v>
      </c>
      <c r="BP155" s="131" t="n">
        <f aca="false">SUM(BP152:BP154)</f>
        <v>0</v>
      </c>
      <c r="BQ155" s="131" t="n">
        <f aca="false">SUM(BQ152:BQ154)</f>
        <v>0</v>
      </c>
      <c r="BR155" s="131" t="n">
        <f aca="false">SUM(BR152:BR154)</f>
        <v>0</v>
      </c>
      <c r="BS155" s="131" t="n">
        <f aca="false">SUM(BS152:BS154)</f>
        <v>0</v>
      </c>
      <c r="BT155" s="131" t="n">
        <f aca="false">SUM(BT152:BT154)</f>
        <v>0</v>
      </c>
      <c r="BU155" s="131" t="n">
        <f aca="false">SUM(BU152:BU154)</f>
        <v>0</v>
      </c>
      <c r="BV155" s="131" t="n">
        <f aca="false">SUM(BV152:BV154)</f>
        <v>0</v>
      </c>
      <c r="BW155" s="131" t="n">
        <f aca="false">SUM(BW152:BW154)</f>
        <v>0</v>
      </c>
      <c r="BX155" s="131" t="n">
        <f aca="false">SUM(BX152:BX154)</f>
        <v>0</v>
      </c>
      <c r="BY155" s="131" t="n">
        <f aca="false">SUM(BY152:BY154)</f>
        <v>0</v>
      </c>
      <c r="BZ155" s="136" t="n">
        <f aca="false">SUM(BZ152:BZ154)</f>
        <v>0</v>
      </c>
      <c r="CA155" s="136" t="n">
        <f aca="false">SUM(CA152:CA154)</f>
        <v>0</v>
      </c>
      <c r="CC155" s="136" t="n">
        <f aca="false">SUM(CC152:CC154)</f>
        <v>0</v>
      </c>
      <c r="CD155" s="136" t="n">
        <f aca="false">SUM(CD152:CD154)</f>
        <v>0</v>
      </c>
      <c r="CE155" s="136" t="n">
        <f aca="false">SUM(CE152:CE154)</f>
        <v>0</v>
      </c>
      <c r="CF155" s="136" t="n">
        <f aca="false">SUM(CF152:CF154)</f>
        <v>0</v>
      </c>
      <c r="CG155" s="136" t="n">
        <f aca="false">SUM(CG152:CG154)</f>
        <v>0</v>
      </c>
      <c r="CI155" s="136" t="n">
        <f aca="false">CC155=L155</f>
        <v>1</v>
      </c>
      <c r="CJ155" s="136" t="n">
        <f aca="false">CD155=M155</f>
        <v>1</v>
      </c>
      <c r="CK155" s="136" t="n">
        <f aca="false">CE155=N155</f>
        <v>1</v>
      </c>
      <c r="CL155" s="136" t="n">
        <f aca="false">CF155=O155</f>
        <v>1</v>
      </c>
      <c r="CM155" s="136" t="n">
        <f aca="false">CG155=P155</f>
        <v>1</v>
      </c>
    </row>
    <row r="156" s="14" customFormat="true" ht="16.5" hidden="false" customHeight="true" outlineLevel="0" collapsed="false">
      <c r="E156" s="96"/>
      <c r="L156" s="82"/>
      <c r="M156" s="82"/>
      <c r="N156" s="82"/>
      <c r="O156" s="82"/>
      <c r="P156" s="82"/>
      <c r="Q156" s="16"/>
      <c r="R156" s="16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  <c r="BT156" s="131"/>
      <c r="BU156" s="131"/>
      <c r="BV156" s="131"/>
      <c r="BW156" s="131"/>
      <c r="BX156" s="131"/>
      <c r="BY156" s="131"/>
      <c r="BZ156" s="136"/>
      <c r="CA156" s="136"/>
    </row>
    <row r="157" s="14" customFormat="true" ht="16.5" hidden="false" customHeight="true" outlineLevel="0" collapsed="false">
      <c r="E157" s="109" t="s">
        <v>154</v>
      </c>
      <c r="F157" s="109"/>
      <c r="G157" s="109"/>
      <c r="H157" s="109"/>
      <c r="I157" s="132"/>
      <c r="J157" s="132"/>
      <c r="K157" s="132"/>
      <c r="L157" s="120" t="n">
        <f aca="false">SUM(L149, L155)</f>
        <v>0</v>
      </c>
      <c r="M157" s="120" t="n">
        <f aca="false">SUM(M149, M155)</f>
        <v>5</v>
      </c>
      <c r="N157" s="120" t="n">
        <f aca="false">SUM(N149, N155)</f>
        <v>0</v>
      </c>
      <c r="O157" s="120" t="n">
        <f aca="false">SUM(O149, O155)</f>
        <v>0</v>
      </c>
      <c r="P157" s="120" t="n">
        <f aca="false">SUM(P149, P155)</f>
        <v>0</v>
      </c>
      <c r="Q157" s="139"/>
      <c r="R157" s="139"/>
      <c r="T157" s="120" t="n">
        <f aca="false">SUM(T149, T155)</f>
        <v>0</v>
      </c>
      <c r="U157" s="120" t="n">
        <f aca="false">SUM(U149, U155)</f>
        <v>0</v>
      </c>
      <c r="V157" s="120" t="n">
        <f aca="false">SUM(V149, V155)</f>
        <v>0</v>
      </c>
      <c r="W157" s="120" t="n">
        <f aca="false">SUM(W149, W155)</f>
        <v>0</v>
      </c>
      <c r="X157" s="120" t="n">
        <f aca="false">SUM(X149, X155)</f>
        <v>0</v>
      </c>
      <c r="Y157" s="120" t="n">
        <f aca="false">SUM(Y149, Y155)</f>
        <v>0</v>
      </c>
      <c r="Z157" s="120" t="n">
        <f aca="false">SUM(Z149, Z155)</f>
        <v>0</v>
      </c>
      <c r="AA157" s="120" t="n">
        <f aca="false">SUM(AA149, AA155)</f>
        <v>0</v>
      </c>
      <c r="AB157" s="120" t="n">
        <f aca="false">SUM(AB149, AB155)</f>
        <v>0</v>
      </c>
      <c r="AC157" s="120" t="n">
        <f aca="false">SUM(AC149, AC155)</f>
        <v>0</v>
      </c>
      <c r="AD157" s="120" t="n">
        <f aca="false">SUM(AD149, AD155)</f>
        <v>0</v>
      </c>
      <c r="AE157" s="120" t="n">
        <f aca="false">SUM(AE149, AE155)</f>
        <v>0</v>
      </c>
      <c r="AF157" s="120" t="n">
        <f aca="false">SUM(AF149, AF155)</f>
        <v>0.25</v>
      </c>
      <c r="AG157" s="120" t="n">
        <f aca="false">SUM(AG149, AG155)</f>
        <v>0.25</v>
      </c>
      <c r="AH157" s="120" t="n">
        <f aca="false">SUM(AH149, AH155)</f>
        <v>0.25</v>
      </c>
      <c r="AI157" s="120" t="n">
        <f aca="false">SUM(AI149, AI155)</f>
        <v>0.25</v>
      </c>
      <c r="AJ157" s="120" t="n">
        <f aca="false">SUM(AJ149, AJ155)</f>
        <v>0.25</v>
      </c>
      <c r="AK157" s="120" t="n">
        <f aca="false">SUM(AK149, AK155)</f>
        <v>0.25</v>
      </c>
      <c r="AL157" s="120" t="n">
        <f aca="false">SUM(AL149, AL155)</f>
        <v>0.25</v>
      </c>
      <c r="AM157" s="120" t="n">
        <f aca="false">SUM(AM149, AM155)</f>
        <v>0.25</v>
      </c>
      <c r="AN157" s="120" t="n">
        <f aca="false">SUM(AN149, AN155)</f>
        <v>0.25</v>
      </c>
      <c r="AO157" s="120" t="n">
        <f aca="false">SUM(AO149, AO155)</f>
        <v>0.25</v>
      </c>
      <c r="AP157" s="120" t="n">
        <f aca="false">SUM(AP149, AP155)</f>
        <v>0.25</v>
      </c>
      <c r="AQ157" s="120" t="n">
        <f aca="false">SUM(AQ149, AQ155)</f>
        <v>0.25</v>
      </c>
      <c r="AR157" s="120" t="n">
        <f aca="false">SUM(AR149, AR155)</f>
        <v>0.25</v>
      </c>
      <c r="AS157" s="120" t="n">
        <f aca="false">SUM(AS149, AS155)</f>
        <v>0.25</v>
      </c>
      <c r="AT157" s="120" t="n">
        <f aca="false">SUM(AT149, AT155)</f>
        <v>0.25</v>
      </c>
      <c r="AU157" s="120" t="n">
        <f aca="false">SUM(AU149, AU155)</f>
        <v>0.25</v>
      </c>
      <c r="AV157" s="120" t="n">
        <f aca="false">SUM(AV149, AV155)</f>
        <v>0.25</v>
      </c>
      <c r="AW157" s="120" t="n">
        <f aca="false">SUM(AW149, AW155)</f>
        <v>0.25</v>
      </c>
      <c r="AX157" s="120" t="n">
        <f aca="false">SUM(AX149, AX155)</f>
        <v>0.25</v>
      </c>
      <c r="AY157" s="120" t="n">
        <f aca="false">SUM(AY149, AY155)</f>
        <v>0.25</v>
      </c>
      <c r="AZ157" s="120" t="n">
        <f aca="false">SUM(AZ149, AZ155)</f>
        <v>0.25</v>
      </c>
      <c r="BA157" s="120" t="n">
        <f aca="false">SUM(BA149, BA155)</f>
        <v>0.25</v>
      </c>
      <c r="BB157" s="120" t="n">
        <f aca="false">SUM(BB149, BB155)</f>
        <v>0.25</v>
      </c>
      <c r="BC157" s="120" t="n">
        <f aca="false">SUM(BC149, BC155)</f>
        <v>0.25</v>
      </c>
      <c r="BD157" s="120" t="n">
        <f aca="false">SUM(BD149, BD155)</f>
        <v>0</v>
      </c>
      <c r="BE157" s="120" t="n">
        <f aca="false">SUM(BE149, BE155)</f>
        <v>0</v>
      </c>
      <c r="BF157" s="120" t="n">
        <f aca="false">SUM(BF149, BF155)</f>
        <v>0</v>
      </c>
      <c r="BG157" s="120" t="n">
        <f aca="false">SUM(BG149, BG155)</f>
        <v>0</v>
      </c>
      <c r="BH157" s="120" t="n">
        <f aca="false">SUM(BH149, BH155)</f>
        <v>0</v>
      </c>
      <c r="BI157" s="120" t="n">
        <f aca="false">SUM(BI149, BI155)</f>
        <v>0</v>
      </c>
      <c r="BJ157" s="120" t="n">
        <f aca="false">SUM(BJ149, BJ155)</f>
        <v>0</v>
      </c>
      <c r="BK157" s="120" t="n">
        <f aca="false">SUM(BK149, BK155)</f>
        <v>0</v>
      </c>
      <c r="BL157" s="120" t="n">
        <f aca="false">SUM(BL149, BL155)</f>
        <v>0</v>
      </c>
      <c r="BM157" s="120" t="n">
        <f aca="false">SUM(BM149, BM155)</f>
        <v>0</v>
      </c>
      <c r="BN157" s="120" t="n">
        <f aca="false">SUM(BN149, BN155)</f>
        <v>0</v>
      </c>
      <c r="BO157" s="120" t="n">
        <f aca="false">SUM(BO149, BO155)</f>
        <v>0</v>
      </c>
      <c r="BP157" s="120" t="n">
        <f aca="false">SUM(BP149, BP155)</f>
        <v>0</v>
      </c>
      <c r="BQ157" s="120" t="n">
        <f aca="false">SUM(BQ149, BQ155)</f>
        <v>0</v>
      </c>
      <c r="BR157" s="120" t="n">
        <f aca="false">SUM(BR149, BR155)</f>
        <v>0</v>
      </c>
      <c r="BS157" s="120" t="n">
        <f aca="false">SUM(BS149, BS155)</f>
        <v>0</v>
      </c>
      <c r="BT157" s="120" t="n">
        <f aca="false">SUM(BT149, BT155)</f>
        <v>0</v>
      </c>
      <c r="BU157" s="120" t="n">
        <f aca="false">SUM(BU149, BU155)</f>
        <v>0</v>
      </c>
      <c r="BV157" s="120" t="n">
        <f aca="false">SUM(BV149, BV155)</f>
        <v>0</v>
      </c>
      <c r="BW157" s="120" t="n">
        <f aca="false">SUM(BW149, BW155)</f>
        <v>0</v>
      </c>
      <c r="BX157" s="120" t="n">
        <f aca="false">SUM(BX149, BX155)</f>
        <v>0</v>
      </c>
      <c r="BY157" s="120" t="n">
        <f aca="false">SUM(BY149, BY155)</f>
        <v>0</v>
      </c>
      <c r="BZ157" s="120" t="n">
        <f aca="false">SUM(BZ149, BZ155)</f>
        <v>0</v>
      </c>
      <c r="CA157" s="120" t="n">
        <f aca="false">SUM(CA149, CA155)</f>
        <v>0</v>
      </c>
      <c r="CC157" s="120" t="n">
        <f aca="false">SUM(CC149, CC155)</f>
        <v>0</v>
      </c>
      <c r="CD157" s="120" t="n">
        <f aca="false">SUM(CD149, CD155)</f>
        <v>3</v>
      </c>
      <c r="CE157" s="120" t="n">
        <f aca="false">SUM(CE149, CE155)</f>
        <v>3</v>
      </c>
      <c r="CF157" s="120" t="n">
        <f aca="false">SUM(CF149, CF155)</f>
        <v>0</v>
      </c>
      <c r="CG157" s="120" t="n">
        <f aca="false">SUM(CG149, CG155)</f>
        <v>0</v>
      </c>
      <c r="CI157" s="140" t="n">
        <f aca="false">CC157=L157</f>
        <v>1</v>
      </c>
      <c r="CJ157" s="140" t="n">
        <f aca="false">CD157=M157</f>
        <v>0</v>
      </c>
      <c r="CK157" s="140" t="n">
        <f aca="false">CE157=N157</f>
        <v>0</v>
      </c>
      <c r="CL157" s="140" t="n">
        <f aca="false">CF157=O157</f>
        <v>1</v>
      </c>
      <c r="CM157" s="140" t="n">
        <f aca="false">CG157=P157</f>
        <v>1</v>
      </c>
    </row>
    <row r="158" s="14" customFormat="true" ht="16.5" hidden="false" customHeight="true" outlineLevel="0" collapsed="false">
      <c r="E158" s="21"/>
      <c r="L158" s="88"/>
      <c r="M158" s="88"/>
      <c r="N158" s="88"/>
      <c r="O158" s="88"/>
      <c r="P158" s="88"/>
      <c r="Q158" s="121"/>
      <c r="R158" s="121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21"/>
      <c r="CA158" s="121"/>
    </row>
    <row r="159" s="14" customFormat="true" ht="16.5" hidden="false" customHeight="true" outlineLevel="0" collapsed="false">
      <c r="E159" s="141" t="s">
        <v>155</v>
      </c>
      <c r="F159" s="123"/>
      <c r="G159" s="123"/>
      <c r="H159" s="123"/>
      <c r="I159" s="126"/>
      <c r="J159" s="126"/>
      <c r="K159" s="142"/>
      <c r="L159" s="125" t="n">
        <f aca="false">SUM(L141, -L157)</f>
        <v>0</v>
      </c>
      <c r="M159" s="125" t="n">
        <f aca="false">SUM(M141, -M157)</f>
        <v>-5</v>
      </c>
      <c r="N159" s="125" t="n">
        <f aca="false">SUM(N141, -N157)</f>
        <v>0</v>
      </c>
      <c r="O159" s="125" t="n">
        <f aca="false">SUM(O141, -O157)</f>
        <v>0</v>
      </c>
      <c r="P159" s="125" t="n">
        <f aca="false">SUM(P141, -P157)</f>
        <v>0</v>
      </c>
      <c r="Q159" s="143"/>
      <c r="R159" s="143"/>
      <c r="T159" s="144" t="n">
        <f aca="false">SUM(T141, -T157)</f>
        <v>0</v>
      </c>
      <c r="U159" s="144" t="n">
        <f aca="false">SUM(U141, -U157)</f>
        <v>0</v>
      </c>
      <c r="V159" s="144" t="n">
        <f aca="false">SUM(V141, -V157)</f>
        <v>0</v>
      </c>
      <c r="W159" s="144" t="n">
        <f aca="false">SUM(W141, -W157)</f>
        <v>0</v>
      </c>
      <c r="X159" s="144" t="n">
        <f aca="false">SUM(X141, -X157)</f>
        <v>0</v>
      </c>
      <c r="Y159" s="144" t="n">
        <f aca="false">SUM(Y141, -Y157)</f>
        <v>0</v>
      </c>
      <c r="Z159" s="144" t="n">
        <f aca="false">SUM(Z141, -Z157)</f>
        <v>0</v>
      </c>
      <c r="AA159" s="144" t="n">
        <f aca="false">SUM(AA141, -AA157)</f>
        <v>0</v>
      </c>
      <c r="AB159" s="144" t="n">
        <f aca="false">SUM(AB141, -AB157)</f>
        <v>0</v>
      </c>
      <c r="AC159" s="144" t="n">
        <f aca="false">SUM(AC141, -AC157)</f>
        <v>0</v>
      </c>
      <c r="AD159" s="144" t="n">
        <f aca="false">SUM(AD141, -AD157)</f>
        <v>0</v>
      </c>
      <c r="AE159" s="144" t="n">
        <f aca="false">SUM(AE141, -AE157)</f>
        <v>0</v>
      </c>
      <c r="AF159" s="144" t="n">
        <f aca="false">SUM(AF141, -AF157)</f>
        <v>-0.25</v>
      </c>
      <c r="AG159" s="144" t="n">
        <f aca="false">SUM(AG141, -AG157)</f>
        <v>-0.25</v>
      </c>
      <c r="AH159" s="144" t="n">
        <f aca="false">SUM(AH141, -AH157)</f>
        <v>-0.25</v>
      </c>
      <c r="AI159" s="144" t="n">
        <f aca="false">SUM(AI141, -AI157)</f>
        <v>-0.25</v>
      </c>
      <c r="AJ159" s="144" t="n">
        <f aca="false">SUM(AJ141, -AJ157)</f>
        <v>-0.25</v>
      </c>
      <c r="AK159" s="144" t="n">
        <f aca="false">SUM(AK141, -AK157)</f>
        <v>-0.25</v>
      </c>
      <c r="AL159" s="144" t="n">
        <f aca="false">SUM(AL141, -AL157)</f>
        <v>-0.25</v>
      </c>
      <c r="AM159" s="144" t="n">
        <f aca="false">SUM(AM141, -AM157)</f>
        <v>-0.25</v>
      </c>
      <c r="AN159" s="144" t="n">
        <f aca="false">SUM(AN141, -AN157)</f>
        <v>-0.25</v>
      </c>
      <c r="AO159" s="144" t="n">
        <f aca="false">SUM(AO141, -AO157)</f>
        <v>-0.25</v>
      </c>
      <c r="AP159" s="144" t="n">
        <f aca="false">SUM(AP141, -AP157)</f>
        <v>-0.25</v>
      </c>
      <c r="AQ159" s="144" t="n">
        <f aca="false">SUM(AQ141, -AQ157)</f>
        <v>-0.25</v>
      </c>
      <c r="AR159" s="144" t="n">
        <f aca="false">SUM(AR141, -AR157)</f>
        <v>-0.25</v>
      </c>
      <c r="AS159" s="144" t="n">
        <f aca="false">SUM(AS141, -AS157)</f>
        <v>-0.25</v>
      </c>
      <c r="AT159" s="144" t="n">
        <f aca="false">SUM(AT141, -AT157)</f>
        <v>-0.25</v>
      </c>
      <c r="AU159" s="144" t="n">
        <f aca="false">SUM(AU141, -AU157)</f>
        <v>-0.25</v>
      </c>
      <c r="AV159" s="144" t="n">
        <f aca="false">SUM(AV141, -AV157)</f>
        <v>-0.25</v>
      </c>
      <c r="AW159" s="144" t="n">
        <f aca="false">SUM(AW141, -AW157)</f>
        <v>-0.25</v>
      </c>
      <c r="AX159" s="144" t="n">
        <f aca="false">SUM(AX141, -AX157)</f>
        <v>-0.25</v>
      </c>
      <c r="AY159" s="144" t="n">
        <f aca="false">SUM(AY141, -AY157)</f>
        <v>-0.25</v>
      </c>
      <c r="AZ159" s="144" t="n">
        <f aca="false">SUM(AZ141, -AZ157)</f>
        <v>-0.25</v>
      </c>
      <c r="BA159" s="144" t="n">
        <f aca="false">SUM(BA141, -BA157)</f>
        <v>-0.25</v>
      </c>
      <c r="BB159" s="144" t="n">
        <f aca="false">SUM(BB141, -BB157)</f>
        <v>-0.25</v>
      </c>
      <c r="BC159" s="144" t="n">
        <f aca="false">SUM(BC141, -BC157)</f>
        <v>-0.25</v>
      </c>
      <c r="BD159" s="144" t="n">
        <f aca="false">SUM(BD141, -BD157)</f>
        <v>0</v>
      </c>
      <c r="BE159" s="144" t="n">
        <f aca="false">SUM(BE141, -BE157)</f>
        <v>0</v>
      </c>
      <c r="BF159" s="144" t="n">
        <f aca="false">SUM(BF141, -BF157)</f>
        <v>0</v>
      </c>
      <c r="BG159" s="144" t="n">
        <f aca="false">SUM(BG141, -BG157)</f>
        <v>0</v>
      </c>
      <c r="BH159" s="144" t="n">
        <f aca="false">SUM(BH141, -BH157)</f>
        <v>0</v>
      </c>
      <c r="BI159" s="144" t="n">
        <f aca="false">SUM(BI141, -BI157)</f>
        <v>0</v>
      </c>
      <c r="BJ159" s="144" t="n">
        <f aca="false">SUM(BJ141, -BJ157)</f>
        <v>0</v>
      </c>
      <c r="BK159" s="144" t="n">
        <f aca="false">SUM(BK141, -BK157)</f>
        <v>0</v>
      </c>
      <c r="BL159" s="144" t="n">
        <f aca="false">SUM(BL141, -BL157)</f>
        <v>0</v>
      </c>
      <c r="BM159" s="144" t="n">
        <f aca="false">SUM(BM141, -BM157)</f>
        <v>0</v>
      </c>
      <c r="BN159" s="144" t="n">
        <f aca="false">SUM(BN141, -BN157)</f>
        <v>0</v>
      </c>
      <c r="BO159" s="144" t="n">
        <f aca="false">SUM(BO141, -BO157)</f>
        <v>0</v>
      </c>
      <c r="BP159" s="144" t="n">
        <f aca="false">SUM(BP141, -BP157)</f>
        <v>0</v>
      </c>
      <c r="BQ159" s="144" t="n">
        <f aca="false">SUM(BQ141, -BQ157)</f>
        <v>0</v>
      </c>
      <c r="BR159" s="144" t="n">
        <f aca="false">SUM(BR141, -BR157)</f>
        <v>0</v>
      </c>
      <c r="BS159" s="144" t="n">
        <f aca="false">SUM(BS141, -BS157)</f>
        <v>0</v>
      </c>
      <c r="BT159" s="144" t="n">
        <f aca="false">SUM(BT141, -BT157)</f>
        <v>0</v>
      </c>
      <c r="BU159" s="144" t="n">
        <f aca="false">SUM(BU141, -BU157)</f>
        <v>0</v>
      </c>
      <c r="BV159" s="144" t="n">
        <f aca="false">SUM(BV141, -BV157)</f>
        <v>0</v>
      </c>
      <c r="BW159" s="144" t="n">
        <f aca="false">SUM(BW141, -BW157)</f>
        <v>0</v>
      </c>
      <c r="BX159" s="144" t="n">
        <f aca="false">SUM(BX141, -BX157)</f>
        <v>0</v>
      </c>
      <c r="BY159" s="144" t="n">
        <f aca="false">SUM(BY141, -BY157)</f>
        <v>0</v>
      </c>
      <c r="BZ159" s="143" t="n">
        <f aca="false">SUM(BZ141, -BZ157)</f>
        <v>0</v>
      </c>
      <c r="CA159" s="143" t="n">
        <f aca="false">SUM(CA141, -CA157)</f>
        <v>0</v>
      </c>
      <c r="CC159" s="143" t="n">
        <f aca="false">SUM(CC141, -CC157)</f>
        <v>0</v>
      </c>
      <c r="CD159" s="143" t="n">
        <f aca="false">SUM(CD141, -CD157)</f>
        <v>-3</v>
      </c>
      <c r="CE159" s="143" t="n">
        <f aca="false">SUM(CE141, -CE157)</f>
        <v>-3</v>
      </c>
      <c r="CF159" s="143" t="n">
        <f aca="false">SUM(CF141, -CF157)</f>
        <v>0</v>
      </c>
      <c r="CG159" s="143" t="n">
        <f aca="false">SUM(CG141, -CG157)</f>
        <v>0</v>
      </c>
      <c r="CI159" s="143" t="n">
        <f aca="false">CC159=L159</f>
        <v>1</v>
      </c>
      <c r="CJ159" s="143" t="n">
        <f aca="false">CD159=M159</f>
        <v>0</v>
      </c>
      <c r="CK159" s="143" t="n">
        <f aca="false">CE159=N159</f>
        <v>0</v>
      </c>
      <c r="CL159" s="143" t="n">
        <f aca="false">CF159=O159</f>
        <v>1</v>
      </c>
      <c r="CM159" s="143" t="n">
        <f aca="false">CG159=P159</f>
        <v>1</v>
      </c>
    </row>
    <row r="160" s="14" customFormat="true" ht="16.5" hidden="false" customHeight="true" outlineLevel="0" collapsed="false">
      <c r="E160" s="21"/>
      <c r="H160" s="21"/>
      <c r="I160" s="21"/>
      <c r="J160" s="21"/>
      <c r="K160" s="21"/>
      <c r="L160" s="21"/>
      <c r="M160" s="21"/>
      <c r="N160" s="21"/>
      <c r="O160" s="21"/>
      <c r="P160" s="21"/>
      <c r="Q160" s="145"/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false" customHeight="true" outlineLevel="0" collapsed="false">
      <c r="E161" s="21"/>
      <c r="H161" s="21"/>
      <c r="I161" s="21"/>
      <c r="J161" s="21"/>
      <c r="K161" s="21"/>
      <c r="L161" s="21"/>
      <c r="M161" s="21"/>
      <c r="N161" s="21"/>
      <c r="O161" s="21"/>
      <c r="P161" s="21"/>
      <c r="Q161" s="145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C162" s="19" t="s">
        <v>156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0"/>
      <c r="R162" s="20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C162" s="19" t="s">
        <v>118</v>
      </c>
      <c r="CD162" s="19"/>
      <c r="CE162" s="19"/>
      <c r="CF162" s="19"/>
      <c r="CG162" s="19"/>
      <c r="CI162" s="19" t="s">
        <v>119</v>
      </c>
      <c r="CJ162" s="19"/>
      <c r="CK162" s="19"/>
      <c r="CL162" s="19"/>
      <c r="CM162" s="19"/>
    </row>
    <row r="163" s="14" customFormat="true" ht="16.5" hidden="true" customHeight="true" outlineLevel="1" collapsed="false">
      <c r="E163" s="21"/>
      <c r="H163" s="21"/>
      <c r="I163" s="21"/>
      <c r="J163" s="21"/>
      <c r="K163" s="21"/>
      <c r="L163" s="21"/>
      <c r="M163" s="21"/>
      <c r="N163" s="21"/>
      <c r="O163" s="21"/>
      <c r="P163" s="21"/>
      <c r="Q163" s="145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/>
      <c r="H164" s="21"/>
      <c r="I164" s="21"/>
      <c r="J164" s="21"/>
      <c r="K164" s="21"/>
      <c r="Q164" s="145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30" t="s">
        <v>157</v>
      </c>
      <c r="F165" s="31"/>
      <c r="G165" s="31"/>
      <c r="H165" s="31"/>
      <c r="I165" s="31"/>
      <c r="J165" s="31"/>
      <c r="K165" s="31"/>
      <c r="L165" s="31" t="n">
        <v>2026</v>
      </c>
      <c r="M165" s="31" t="n">
        <f aca="false">L165+1</f>
        <v>2027</v>
      </c>
      <c r="N165" s="31" t="n">
        <f aca="false">M165+1</f>
        <v>2028</v>
      </c>
      <c r="O165" s="31" t="n">
        <f aca="false">N165+1</f>
        <v>2029</v>
      </c>
      <c r="P165" s="31" t="n">
        <f aca="false">O165+1</f>
        <v>2030</v>
      </c>
      <c r="Q165" s="31" t="s">
        <v>158</v>
      </c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Q166" s="145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14" t="s">
        <v>159</v>
      </c>
      <c r="H167" s="21"/>
      <c r="I167" s="21"/>
      <c r="J167" s="21"/>
      <c r="K167" s="21"/>
      <c r="L167" s="90" t="n">
        <f aca="false">L128</f>
        <v>0</v>
      </c>
      <c r="M167" s="90" t="n">
        <f aca="false">M128</f>
        <v>-1.2</v>
      </c>
      <c r="N167" s="90" t="n">
        <f aca="false">N128</f>
        <v>7.2</v>
      </c>
      <c r="O167" s="90" t="n">
        <f aca="false">O128</f>
        <v>7.2</v>
      </c>
      <c r="P167" s="90" t="n">
        <f aca="false">P128</f>
        <v>7.2</v>
      </c>
      <c r="Q167" s="146" t="n">
        <f aca="false">SUM(L167:P167)</f>
        <v>20.4</v>
      </c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14" t="s">
        <v>160</v>
      </c>
      <c r="L168" s="90" t="n">
        <f aca="false">L141</f>
        <v>0</v>
      </c>
      <c r="M168" s="90" t="n">
        <f aca="false">M141</f>
        <v>0</v>
      </c>
      <c r="N168" s="90" t="n">
        <f aca="false">N141</f>
        <v>0</v>
      </c>
      <c r="O168" s="90" t="n">
        <f aca="false">O141</f>
        <v>0</v>
      </c>
      <c r="P168" s="90" t="n">
        <f aca="false">P141</f>
        <v>0</v>
      </c>
      <c r="Q168" s="146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E169" s="14" t="s">
        <v>161</v>
      </c>
      <c r="L169" s="90" t="n">
        <f aca="false">-L157</f>
        <v>-0</v>
      </c>
      <c r="M169" s="90" t="n">
        <f aca="false">-M157</f>
        <v>-5</v>
      </c>
      <c r="N169" s="90" t="n">
        <f aca="false">-N157</f>
        <v>-0</v>
      </c>
      <c r="O169" s="90" t="n">
        <f aca="false">-O157</f>
        <v>-0</v>
      </c>
      <c r="P169" s="90" t="n">
        <f aca="false">-P157</f>
        <v>-0</v>
      </c>
      <c r="Q169" s="146" t="n">
        <f aca="false">SUM(L169:P169)</f>
        <v>-5</v>
      </c>
      <c r="R169" s="145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</row>
    <row r="170" s="14" customFormat="true" ht="16.5" hidden="true" customHeight="true" outlineLevel="1" collapsed="false">
      <c r="E170" s="21" t="s">
        <v>157</v>
      </c>
      <c r="F170" s="21"/>
      <c r="G170" s="21"/>
      <c r="H170" s="21"/>
      <c r="I170" s="21"/>
      <c r="J170" s="21"/>
      <c r="K170" s="21"/>
      <c r="L170" s="84" t="n">
        <f aca="false">SUM(L167:L169)</f>
        <v>0</v>
      </c>
      <c r="M170" s="84" t="n">
        <f aca="false">SUM(M167:M169)</f>
        <v>-6.2</v>
      </c>
      <c r="N170" s="84" t="n">
        <f aca="false">SUM(N167:N169)</f>
        <v>7.2</v>
      </c>
      <c r="O170" s="84" t="n">
        <f aca="false">SUM(O167:O169)</f>
        <v>7.2</v>
      </c>
      <c r="P170" s="84" t="n">
        <f aca="false">SUM(P167:P169)</f>
        <v>7.2</v>
      </c>
      <c r="Q170" s="147" t="n">
        <f aca="false">SUM(L170:P170)</f>
        <v>15.4</v>
      </c>
      <c r="R170" s="145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</row>
    <row r="171" s="14" customFormat="true" ht="16.5" hidden="true" customHeight="true" outlineLevel="1" collapsed="false">
      <c r="E171" s="14" t="s">
        <v>162</v>
      </c>
      <c r="H171" s="21"/>
      <c r="I171" s="21"/>
      <c r="J171" s="21"/>
      <c r="K171" s="21"/>
      <c r="L171" s="90" t="n">
        <f aca="false">L170</f>
        <v>0</v>
      </c>
      <c r="M171" s="90" t="n">
        <f aca="false">L171+M170</f>
        <v>-6.2</v>
      </c>
      <c r="N171" s="90" t="n">
        <f aca="false">M171+N170</f>
        <v>1</v>
      </c>
      <c r="O171" s="90" t="n">
        <f aca="false">N171+O170</f>
        <v>8.2</v>
      </c>
      <c r="P171" s="90" t="n">
        <f aca="false">O171+P170</f>
        <v>15.4</v>
      </c>
      <c r="Q171" s="146" t="n">
        <f aca="false">SUM(L171:P171)</f>
        <v>18.4</v>
      </c>
      <c r="R171" s="145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</row>
    <row r="172" s="14" customFormat="true" ht="16.5" hidden="true" customHeight="true" outlineLevel="1" collapsed="false">
      <c r="E172" s="14" t="s">
        <v>163</v>
      </c>
      <c r="H172" s="21"/>
      <c r="I172" s="21"/>
      <c r="J172" s="21"/>
      <c r="K172" s="21"/>
      <c r="L172" s="148" t="n">
        <f aca="false">IF(L171&lt;0,1,0)</f>
        <v>0</v>
      </c>
      <c r="M172" s="148" t="n">
        <f aca="false">IF(L172&lt;1,0,IF(M171&lt;0,1,-L171/M170))</f>
        <v>0</v>
      </c>
      <c r="N172" s="148" t="n">
        <f aca="false">IF(M172&lt;1,0,IF(N171&lt;0,1,-M171/N170))</f>
        <v>0</v>
      </c>
      <c r="O172" s="148" t="n">
        <f aca="false">IF(N172&lt;1,0,IF(O171&lt;0,1,-N171/O170))</f>
        <v>0</v>
      </c>
      <c r="P172" s="148" t="n">
        <f aca="false">IF(O172&lt;1,0,IF(P171&lt;0,1,-O171/P170))</f>
        <v>0</v>
      </c>
      <c r="Q172" s="90"/>
      <c r="R172" s="145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</row>
    <row r="173" s="14" customFormat="true" ht="16.5" hidden="true" customHeight="true" outlineLevel="1" collapsed="false">
      <c r="E173" s="21"/>
      <c r="H173" s="21"/>
      <c r="I173" s="21"/>
      <c r="J173" s="21"/>
      <c r="K173" s="21"/>
      <c r="R173" s="145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</row>
    <row r="174" s="14" customFormat="true" ht="16.5" hidden="true" customHeight="true" outlineLevel="1" collapsed="false">
      <c r="E174" s="21" t="s">
        <v>164</v>
      </c>
      <c r="G174" s="149" t="n">
        <v>0.095</v>
      </c>
      <c r="H174" s="21"/>
      <c r="I174" s="21"/>
      <c r="J174" s="21"/>
      <c r="K174" s="21"/>
      <c r="R174" s="145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</row>
    <row r="175" s="14" customFormat="true" ht="16.5" hidden="true" customHeight="true" outlineLevel="1" collapsed="false">
      <c r="E175" s="21" t="s">
        <v>165</v>
      </c>
      <c r="F175" s="150" t="s">
        <v>166</v>
      </c>
      <c r="G175" s="90" t="n">
        <f aca="false">SUM(L175:P175)</f>
        <v>9.89481383602244</v>
      </c>
      <c r="H175" s="21"/>
      <c r="I175" s="21"/>
      <c r="J175" s="21"/>
      <c r="K175" s="21"/>
      <c r="L175" s="90" t="n">
        <f aca="false">L170/(1+$G$174)^L$1</f>
        <v>0</v>
      </c>
      <c r="M175" s="90" t="n">
        <f aca="false">M170/(1+$G$174)^M$1</f>
        <v>-5.17086799691416</v>
      </c>
      <c r="N175" s="90" t="n">
        <f aca="false">N170/(1+$G$174)^N$1</f>
        <v>5.483907729825</v>
      </c>
      <c r="O175" s="90" t="n">
        <f aca="false">O170/(1+$G$174)^O$1</f>
        <v>5.0081349130822</v>
      </c>
      <c r="P175" s="90" t="n">
        <f aca="false">P170/(1+$G$174)^P$1</f>
        <v>4.5736391900294</v>
      </c>
      <c r="Q175" s="90" t="n">
        <f aca="false">SUM(L175:P175)</f>
        <v>9.89481383602244</v>
      </c>
      <c r="R175" s="145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</row>
    <row r="176" s="14" customFormat="true" ht="16.5" hidden="true" customHeight="true" outlineLevel="1" collapsed="false">
      <c r="E176" s="21" t="s">
        <v>163</v>
      </c>
      <c r="F176" s="150" t="s">
        <v>167</v>
      </c>
      <c r="G176" s="148" t="n">
        <f aca="false">SUM(L172:P172)</f>
        <v>0</v>
      </c>
      <c r="H176" s="21"/>
      <c r="I176" s="21"/>
      <c r="J176" s="21"/>
      <c r="K176" s="21"/>
      <c r="L176" s="90"/>
      <c r="M176" s="90"/>
      <c r="N176" s="90"/>
      <c r="O176" s="90"/>
      <c r="P176" s="90"/>
      <c r="Q176" s="90"/>
      <c r="R176" s="145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</row>
    <row r="177" s="14" customFormat="true" ht="16.5" hidden="true" customHeight="true" outlineLevel="1" collapsed="false">
      <c r="H177" s="21"/>
      <c r="I177" s="21"/>
      <c r="J177" s="21"/>
      <c r="K177" s="21"/>
      <c r="L177" s="90"/>
      <c r="M177" s="90"/>
      <c r="N177" s="90"/>
      <c r="O177" s="90"/>
      <c r="P177" s="90"/>
      <c r="Q177" s="90"/>
      <c r="R177" s="145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</row>
    <row r="178" s="14" customFormat="true" ht="16.5" hidden="true" customHeight="true" outlineLevel="1" collapsed="false">
      <c r="E178" s="21"/>
      <c r="H178" s="21"/>
      <c r="I178" s="21"/>
      <c r="J178" s="21"/>
      <c r="K178" s="21"/>
      <c r="L178" s="90"/>
      <c r="M178" s="90"/>
      <c r="N178" s="90"/>
      <c r="O178" s="90"/>
      <c r="P178" s="90"/>
      <c r="Q178" s="151"/>
      <c r="R178" s="145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</row>
    <row r="179" s="14" customFormat="true" ht="16.5" hidden="true" customHeight="true" outlineLevel="1" collapsed="false">
      <c r="Q179" s="16"/>
      <c r="R179" s="16"/>
    </row>
    <row r="180" s="14" customFormat="true" ht="16.5" hidden="false" customHeight="true" outlineLevel="0" collapsed="false">
      <c r="Q180" s="16"/>
      <c r="R180" s="16"/>
    </row>
    <row r="181" s="14" customFormat="true" ht="16.5" hidden="true" customHeight="true" outlineLevel="1" collapsed="false">
      <c r="E181" s="152" t="s">
        <v>168</v>
      </c>
      <c r="Q181" s="16"/>
      <c r="R181" s="16"/>
    </row>
    <row r="182" s="14" customFormat="true" ht="16.5" hidden="true" customHeight="true" outlineLevel="1" collapsed="false">
      <c r="E182" s="88" t="n">
        <f aca="false">E78</f>
        <v>0</v>
      </c>
      <c r="Q182" s="16"/>
      <c r="R182" s="16"/>
    </row>
    <row r="183" s="14" customFormat="true" ht="16.5" hidden="true" customHeight="true" outlineLevel="1" collapsed="false">
      <c r="E183" s="88" t="n">
        <f aca="false">E79</f>
        <v>0</v>
      </c>
      <c r="Q183" s="16"/>
      <c r="R183" s="16"/>
    </row>
    <row r="184" s="14" customFormat="true" ht="16.5" hidden="true" customHeight="true" outlineLevel="1" collapsed="false">
      <c r="Q184" s="16"/>
      <c r="R184" s="16"/>
    </row>
    <row r="185" s="14" customFormat="true" ht="16.5" hidden="true" customHeight="true" outlineLevel="1" collapsed="false">
      <c r="E185" s="88" t="n">
        <f aca="false">E83</f>
        <v>0</v>
      </c>
      <c r="Q185" s="16"/>
      <c r="R185" s="16"/>
    </row>
    <row r="186" s="14" customFormat="true" ht="16.5" hidden="true" customHeight="true" outlineLevel="1" collapsed="false">
      <c r="E186" s="88" t="n">
        <f aca="false">E84</f>
        <v>0</v>
      </c>
      <c r="Q186" s="16"/>
      <c r="R186" s="16"/>
    </row>
    <row r="187" s="14" customFormat="true" ht="16.5" hidden="true" customHeight="true" outlineLevel="1" collapsed="false">
      <c r="E187" s="88" t="n">
        <f aca="false">E85</f>
        <v>0</v>
      </c>
      <c r="Q187" s="16"/>
      <c r="R187" s="16"/>
    </row>
    <row r="188" s="14" customFormat="true" ht="16.5" hidden="true" customHeight="true" outlineLevel="1" collapsed="false">
      <c r="E188" s="88" t="n">
        <f aca="false">E86</f>
        <v>0</v>
      </c>
      <c r="Q188" s="16"/>
      <c r="R188" s="16"/>
    </row>
    <row r="189" s="14" customFormat="true" ht="16.5" hidden="true" customHeight="true" outlineLevel="1" collapsed="false">
      <c r="E189" s="88" t="n">
        <f aca="false">E87</f>
        <v>0</v>
      </c>
      <c r="Q189" s="16"/>
      <c r="R189" s="16"/>
    </row>
    <row r="190" s="14" customFormat="true" ht="16.5" hidden="true" customHeight="true" outlineLevel="1" collapsed="false">
      <c r="Q190" s="16"/>
      <c r="R190" s="16"/>
    </row>
    <row r="191" s="14" customFormat="true" ht="16.5" hidden="true" customHeight="true" outlineLevel="1" collapsed="false">
      <c r="Q191" s="16"/>
      <c r="R191" s="16"/>
    </row>
    <row r="192" s="14" customFormat="true" ht="16.5" hidden="true" customHeight="true" outlineLevel="1" collapsed="false">
      <c r="Q192" s="16"/>
      <c r="R192" s="16"/>
    </row>
    <row r="193" s="14" customFormat="true" ht="16.5" hidden="true" customHeight="true" outlineLevel="1" collapsed="false">
      <c r="E193" s="14" t="str">
        <f aca="false">E91</f>
        <v>OPEX - Temporary Workers</v>
      </c>
      <c r="Q193" s="16"/>
      <c r="R193" s="16"/>
    </row>
    <row r="194" s="14" customFormat="true" ht="16.5" hidden="true" customHeight="true" outlineLevel="1" collapsed="false">
      <c r="E194" s="88" t="n">
        <f aca="false">E92</f>
        <v>0</v>
      </c>
      <c r="Q194" s="16"/>
      <c r="R194" s="16"/>
    </row>
    <row r="195" s="14" customFormat="true" ht="16.5" hidden="true" customHeight="true" outlineLevel="1" collapsed="false">
      <c r="E195" s="88" t="n">
        <f aca="false">E93</f>
        <v>0</v>
      </c>
      <c r="Q195" s="16"/>
      <c r="R195" s="16"/>
    </row>
    <row r="196" s="14" customFormat="true" ht="16.5" hidden="true" customHeight="true" outlineLevel="1" collapsed="false">
      <c r="E196" s="88" t="n">
        <f aca="false">E94</f>
        <v>0</v>
      </c>
      <c r="Q196" s="16"/>
      <c r="R196" s="16"/>
    </row>
    <row r="197" s="14" customFormat="true" ht="16.5" hidden="true" customHeight="true" outlineLevel="1" collapsed="false">
      <c r="E197" s="88" t="n">
        <f aca="false">E95</f>
        <v>0</v>
      </c>
      <c r="Q197" s="16"/>
      <c r="R197" s="16"/>
    </row>
    <row r="198" s="14" customFormat="true" ht="16.5" hidden="true" customHeight="true" outlineLevel="1" collapsed="false">
      <c r="Q198" s="16"/>
      <c r="R198" s="16"/>
    </row>
    <row r="199" s="14" customFormat="true" ht="16.5" hidden="true" customHeight="true" outlineLevel="1" collapsed="false">
      <c r="Q199" s="16"/>
      <c r="R199" s="16"/>
    </row>
    <row r="200" s="14" customFormat="true" ht="16.5" hidden="true" customHeight="true" outlineLevel="1" collapsed="false">
      <c r="Q200" s="16"/>
      <c r="R200" s="16"/>
    </row>
    <row r="201" s="14" customFormat="true" ht="16.5" hidden="true" customHeight="true" outlineLevel="1" collapsed="false">
      <c r="Q201" s="16"/>
      <c r="R201" s="16"/>
    </row>
    <row r="202" s="14" customFormat="true" ht="16.5" hidden="true" customHeight="true" outlineLevel="1" collapsed="false">
      <c r="Q202" s="16"/>
      <c r="R202" s="16"/>
    </row>
    <row r="203" s="14" customFormat="true" ht="16.5" hidden="true" customHeight="true" outlineLevel="1" collapsed="false">
      <c r="Q203" s="16"/>
      <c r="R203" s="16"/>
    </row>
    <row r="204" s="14" customFormat="true" ht="16.5" hidden="true" customHeight="true" outlineLevel="1" collapsed="false">
      <c r="Q204" s="16"/>
      <c r="R204" s="16"/>
    </row>
    <row r="205" s="14" customFormat="true" ht="16.5" hidden="true" customHeight="true" outlineLevel="1" collapsed="false">
      <c r="Q205" s="16"/>
      <c r="R205" s="16"/>
    </row>
    <row r="206" s="14" customFormat="true" ht="16.5" hidden="true" customHeight="true" outlineLevel="1" collapsed="false">
      <c r="Q206" s="16"/>
      <c r="R206" s="16"/>
    </row>
    <row r="207" s="14" customFormat="true" ht="16.5" hidden="true" customHeight="true" outlineLevel="1" collapsed="false">
      <c r="Q207" s="16"/>
      <c r="R207" s="16"/>
    </row>
    <row r="208" s="14" customFormat="true" ht="16.5" hidden="true" customHeight="true" outlineLevel="1" collapsed="false">
      <c r="Q208" s="16"/>
      <c r="R208" s="16"/>
    </row>
    <row r="209" s="14" customFormat="true" ht="16.5" hidden="true" customHeight="true" outlineLevel="1" collapsed="false">
      <c r="Q209" s="16"/>
      <c r="R209" s="16"/>
    </row>
    <row r="210" s="14" customFormat="true" ht="16.5" hidden="true" customHeight="true" outlineLevel="1" collapsed="false">
      <c r="Q210" s="16"/>
      <c r="R210" s="16"/>
    </row>
    <row r="211" s="14" customFormat="true" ht="16.5" hidden="false" customHeight="true" outlineLevel="0" collapsed="false">
      <c r="C211" s="19" t="s">
        <v>169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0"/>
      <c r="R211" s="20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</row>
  </sheetData>
  <mergeCells count="1">
    <mergeCell ref="F15:G17"/>
  </mergeCells>
  <conditionalFormatting sqref="I88:P88">
    <cfRule type="expression" priority="2" aboveAverage="0" equalAverage="0" bottom="0" percent="0" rank="0" text="" dxfId="0">
      <formula>AND($F88="Yes")</formula>
    </cfRule>
    <cfRule type="expression" priority="3" aboveAverage="0" equalAverage="0" bottom="0" percent="0" rank="0" text="" dxfId="1">
      <formula>AND($F88="No")</formula>
    </cfRule>
  </conditionalFormatting>
  <conditionalFormatting sqref="J34">
    <cfRule type="expression" priority="4" aboveAverage="0" equalAverage="0" bottom="0" percent="0" rank="0" text="" dxfId="0">
      <formula>AND($F34="Yes")</formula>
    </cfRule>
    <cfRule type="expression" priority="5" aboveAverage="0" equalAverage="0" bottom="0" percent="0" rank="0" text="" dxfId="1">
      <formula>AND($F34="No")</formula>
    </cfRule>
  </conditionalFormatting>
  <conditionalFormatting sqref="E105:E106">
    <cfRule type="expression" priority="6" aboveAverage="0" equalAverage="0" bottom="0" percent="0" rank="0" text="" dxfId="0">
      <formula>AND($F105="Yes")</formula>
    </cfRule>
    <cfRule type="expression" priority="7" aboveAverage="0" equalAverage="0" bottom="0" percent="0" rank="0" text="" dxfId="1">
      <formula>AND($F105="No")</formula>
    </cfRule>
  </conditionalFormatting>
  <conditionalFormatting sqref="E118:E122">
    <cfRule type="expression" priority="8" aboveAverage="0" equalAverage="0" bottom="0" percent="0" rank="0" text="" dxfId="0">
      <formula>AND($F118="Yes")</formula>
    </cfRule>
    <cfRule type="expression" priority="9" aboveAverage="0" equalAverage="0" bottom="0" percent="0" rank="0" text="" dxfId="1">
      <formula>AND($F118="No")</formula>
    </cfRule>
  </conditionalFormatting>
  <conditionalFormatting sqref="E152:E154">
    <cfRule type="expression" priority="10" aboveAverage="0" equalAverage="0" bottom="0" percent="0" rank="0" text="" dxfId="0">
      <formula>AND($F152="Yes")</formula>
    </cfRule>
    <cfRule type="expression" priority="11" aboveAverage="0" equalAverage="0" bottom="0" percent="0" rank="0" text="" dxfId="1">
      <formula>AND($F152="No")</formula>
    </cfRule>
  </conditionalFormatting>
  <conditionalFormatting sqref="E147:E148">
    <cfRule type="expression" priority="12" aboveAverage="0" equalAverage="0" bottom="0" percent="0" rank="0" text="" dxfId="0">
      <formula>AND($F147="Yes")</formula>
    </cfRule>
    <cfRule type="expression" priority="13" aboveAverage="0" equalAverage="0" bottom="0" percent="0" rank="0" text="" dxfId="1">
      <formula>AND($F147="No")</formula>
    </cfRule>
  </conditionalFormatting>
  <conditionalFormatting sqref="E137:E138">
    <cfRule type="expression" priority="14" aboveAverage="0" equalAverage="0" bottom="0" percent="0" rank="0" text="" dxfId="0">
      <formula>AND($F137="Yes")</formula>
    </cfRule>
    <cfRule type="expression" priority="15" aboveAverage="0" equalAverage="0" bottom="0" percent="0" rank="0" text="" dxfId="1">
      <formula>AND($F137="No")</formula>
    </cfRule>
  </conditionalFormatting>
  <conditionalFormatting sqref="E78:E79 T152:CA156">
    <cfRule type="expression" priority="16" aboveAverage="0" equalAverage="0" bottom="0" percent="0" rank="0" text="" dxfId="0">
      <formula>AND($F78="Yes")</formula>
    </cfRule>
    <cfRule type="expression" priority="17" aboveAverage="0" equalAverage="0" bottom="0" percent="0" rank="0" text="" dxfId="1">
      <formula>AND($F78="No")</formula>
    </cfRule>
  </conditionalFormatting>
  <conditionalFormatting sqref="CJ162:CM162">
    <cfRule type="containsText" priority="18" operator="containsText" aboveAverage="0" equalAverage="0" bottom="0" percent="0" rank="0" text="FALSE" dxfId="2">
      <formula>NOT(ISERROR(SEARCH("FALSE",CJ162)))</formula>
    </cfRule>
  </conditionalFormatting>
  <conditionalFormatting sqref="Q152:Q154">
    <cfRule type="containsText" priority="19" operator="containsText" aboveAverage="0" equalAverage="0" bottom="0" percent="0" rank="0" text="Error" dxfId="2">
      <formula>NOT(ISERROR(SEARCH("Error",Q152)))</formula>
    </cfRule>
    <cfRule type="containsText" priority="20" operator="containsText" aboveAverage="0" equalAverage="0" bottom="0" percent="0" rank="0" text="FALSE" dxfId="2">
      <formula>NOT(ISERROR(SEARCH("FALSE",Q152)))</formula>
    </cfRule>
  </conditionalFormatting>
  <conditionalFormatting sqref="Q147:Q148">
    <cfRule type="containsText" priority="21" operator="containsText" aboveAverage="0" equalAverage="0" bottom="0" percent="0" rank="0" text="Error" dxfId="2">
      <formula>NOT(ISERROR(SEARCH("Error",Q147)))</formula>
    </cfRule>
    <cfRule type="containsText" priority="22" operator="containsText" aboveAverage="0" equalAverage="0" bottom="0" percent="0" rank="0" text="FALSE" dxfId="2">
      <formula>NOT(ISERROR(SEARCH("FALSE",Q147)))</formula>
    </cfRule>
  </conditionalFormatting>
  <conditionalFormatting sqref="Q137:Q138">
    <cfRule type="containsText" priority="23" operator="containsText" aboveAverage="0" equalAverage="0" bottom="0" percent="0" rank="0" text="Error" dxfId="2">
      <formula>NOT(ISERROR(SEARCH("Error",Q137)))</formula>
    </cfRule>
    <cfRule type="containsText" priority="24" operator="containsText" aboveAverage="0" equalAverage="0" bottom="0" percent="0" rank="0" text="FALSE" dxfId="2">
      <formula>NOT(ISERROR(SEARCH("FALSE",Q137)))</formula>
    </cfRule>
  </conditionalFormatting>
  <conditionalFormatting sqref="J69:J70">
    <cfRule type="expression" priority="25" aboveAverage="0" equalAverage="0" bottom="0" percent="0" rank="0" text="" dxfId="0">
      <formula>AND($F69="Yes")</formula>
    </cfRule>
    <cfRule type="expression" priority="26" aboveAverage="0" equalAverage="0" bottom="0" percent="0" rank="0" text="" dxfId="1">
      <formula>AND($F69="No")</formula>
    </cfRule>
  </conditionalFormatting>
  <conditionalFormatting sqref="J59:J60 J64">
    <cfRule type="expression" priority="27" aboveAverage="0" equalAverage="0" bottom="0" percent="0" rank="0" text="" dxfId="0">
      <formula>AND($F59="Yes")</formula>
    </cfRule>
    <cfRule type="expression" priority="28" aboveAverage="0" equalAverage="0" bottom="0" percent="0" rank="0" text="" dxfId="1">
      <formula>AND($F59="No")</formula>
    </cfRule>
  </conditionalFormatting>
  <conditionalFormatting sqref="J65">
    <cfRule type="expression" priority="29" aboveAverage="0" equalAverage="0" bottom="0" percent="0" rank="0" text="" dxfId="0">
      <formula>AND(#ref!="Yes")</formula>
    </cfRule>
    <cfRule type="expression" priority="30" aboveAverage="0" equalAverage="0" bottom="0" percent="0" rank="0" text="" dxfId="1">
      <formula>AND(#ref!="No")</formula>
    </cfRule>
  </conditionalFormatting>
  <conditionalFormatting sqref="J54:J55">
    <cfRule type="expression" priority="31" aboveAverage="0" equalAverage="0" bottom="0" percent="0" rank="0" text="" dxfId="0">
      <formula>AND($F54="Yes")</formula>
    </cfRule>
    <cfRule type="expression" priority="32" aboveAverage="0" equalAverage="0" bottom="0" percent="0" rank="0" text="" dxfId="1">
      <formula>AND($F54="No")</formula>
    </cfRule>
  </conditionalFormatting>
  <conditionalFormatting sqref="J44:J45 J49">
    <cfRule type="expression" priority="33" aboveAverage="0" equalAverage="0" bottom="0" percent="0" rank="0" text="" dxfId="0">
      <formula>AND($F44="Yes")</formula>
    </cfRule>
    <cfRule type="expression" priority="34" aboveAverage="0" equalAverage="0" bottom="0" percent="0" rank="0" text="" dxfId="1">
      <formula>AND($F44="No")</formula>
    </cfRule>
  </conditionalFormatting>
  <conditionalFormatting sqref="J50">
    <cfRule type="expression" priority="35" aboveAverage="0" equalAverage="0" bottom="0" percent="0" rank="0" text="" dxfId="0">
      <formula>AND(#ref!="Yes")</formula>
    </cfRule>
    <cfRule type="expression" priority="36" aboveAverage="0" equalAverage="0" bottom="0" percent="0" rank="0" text="" dxfId="1">
      <formula>AND(#ref!="No")</formula>
    </cfRule>
  </conditionalFormatting>
  <conditionalFormatting sqref="CJ211:CM211">
    <cfRule type="containsText" priority="37" operator="containsText" aboveAverage="0" equalAverage="0" bottom="0" percent="0" rank="0" text="FALSE" dxfId="2">
      <formula>NOT(ISERROR(SEARCH("FALSE",CJ211)))</formula>
    </cfRule>
  </conditionalFormatting>
  <conditionalFormatting sqref="CJ131:CM131">
    <cfRule type="containsText" priority="38" operator="containsText" aboveAverage="0" equalAverage="0" bottom="0" percent="0" rank="0" text="FALSE" dxfId="2">
      <formula>NOT(ISERROR(SEARCH("FALSE",CJ131)))</formula>
    </cfRule>
  </conditionalFormatting>
  <conditionalFormatting sqref="P24:P29">
    <cfRule type="containsText" priority="39" operator="containsText" aboveAverage="0" equalAverage="0" bottom="0" percent="0" rank="0" text="PASS" dxfId="3">
      <formula>NOT(ISERROR(SEARCH("PASS",P24)))</formula>
    </cfRule>
  </conditionalFormatting>
  <conditionalFormatting sqref="CI152:CM155">
    <cfRule type="expression" priority="40" aboveAverage="0" equalAverage="0" bottom="0" percent="0" rank="0" text="" dxfId="0">
      <formula>AND($F152="Yes")</formula>
    </cfRule>
    <cfRule type="expression" priority="41" aboveAverage="0" equalAverage="0" bottom="0" percent="0" rank="0" text="" dxfId="1">
      <formula>AND($F152="No")</formula>
    </cfRule>
  </conditionalFormatting>
  <conditionalFormatting sqref="CI147:CM149">
    <cfRule type="expression" priority="42" aboveAverage="0" equalAverage="0" bottom="0" percent="0" rank="0" text="" dxfId="0">
      <formula>AND($F147="Yes")</formula>
    </cfRule>
    <cfRule type="expression" priority="43" aboveAverage="0" equalAverage="0" bottom="0" percent="0" rank="0" text="" dxfId="1">
      <formula>AND($F147="No")</formula>
    </cfRule>
  </conditionalFormatting>
  <conditionalFormatting sqref="CC152:CG155">
    <cfRule type="expression" priority="44" aboveAverage="0" equalAverage="0" bottom="0" percent="0" rank="0" text="" dxfId="0">
      <formula>AND($F152="Yes")</formula>
    </cfRule>
    <cfRule type="expression" priority="45" aboveAverage="0" equalAverage="0" bottom="0" percent="0" rank="0" text="" dxfId="1">
      <formula>AND($F152="No")</formula>
    </cfRule>
  </conditionalFormatting>
  <conditionalFormatting sqref="CC147:CG149">
    <cfRule type="expression" priority="46" aboveAverage="0" equalAverage="0" bottom="0" percent="0" rank="0" text="" dxfId="0">
      <formula>AND($F147="Yes")</formula>
    </cfRule>
    <cfRule type="expression" priority="47" aboveAverage="0" equalAverage="0" bottom="0" percent="0" rank="0" text="" dxfId="1">
      <formula>AND($F147="No")</formula>
    </cfRule>
  </conditionalFormatting>
  <conditionalFormatting sqref="V123:CA124">
    <cfRule type="expression" priority="48" aboveAverage="0" equalAverage="0" bottom="0" percent="0" rank="0" text="" dxfId="0">
      <formula>AND($F123="Yes")</formula>
    </cfRule>
    <cfRule type="expression" priority="49" aboveAverage="0" equalAverage="0" bottom="0" percent="0" rank="0" text="" dxfId="1">
      <formula>AND($F123="No")</formula>
    </cfRule>
  </conditionalFormatting>
  <conditionalFormatting sqref="T147:CA149">
    <cfRule type="expression" priority="50" aboveAverage="0" equalAverage="0" bottom="0" percent="0" rank="0" text="" dxfId="0">
      <formula>AND($F147="Yes")</formula>
    </cfRule>
    <cfRule type="expression" priority="51" aboveAverage="0" equalAverage="0" bottom="0" percent="0" rank="0" text="" dxfId="1">
      <formula>AND($F147="No")</formula>
    </cfRule>
  </conditionalFormatting>
  <conditionalFormatting sqref="V96:CA97">
    <cfRule type="expression" priority="52" aboveAverage="0" equalAverage="0" bottom="0" percent="0" rank="0" text="" dxfId="0">
      <formula>AND($F96="Yes")</formula>
    </cfRule>
    <cfRule type="expression" priority="53" aboveAverage="0" equalAverage="0" bottom="0" percent="0" rank="0" text="" dxfId="1">
      <formula>AND($F96="No")</formula>
    </cfRule>
  </conditionalFormatting>
  <conditionalFormatting sqref="Q75:R124 Q134">
    <cfRule type="containsText" priority="54" operator="containsText" aboveAverage="0" equalAverage="0" bottom="0" percent="0" rank="0" text="Error" dxfId="2">
      <formula>NOT(ISERROR(SEARCH("Error",Q75)))</formula>
    </cfRule>
  </conditionalFormatting>
  <conditionalFormatting sqref="Q78:R101 Q103:R124 CI78:CM130 CI132:CM159">
    <cfRule type="containsText" priority="55" operator="containsText" aboveAverage="0" equalAverage="0" bottom="0" percent="0" rank="0" text="FALSE" dxfId="2">
      <formula>NOT(ISERROR(SEARCH("FALSE",Q78)))</formula>
    </cfRule>
  </conditionalFormatting>
  <conditionalFormatting sqref="L147:P149">
    <cfRule type="expression" priority="56" aboveAverage="0" equalAverage="0" bottom="0" percent="0" rank="0" text="" dxfId="0">
      <formula>AND($F147="Yes")</formula>
    </cfRule>
    <cfRule type="expression" priority="57" aboveAverage="0" equalAverage="0" bottom="0" percent="0" rank="0" text="" dxfId="1">
      <formula>AND($F147="No")</formula>
    </cfRule>
  </conditionalFormatting>
  <conditionalFormatting sqref="Q128:R128">
    <cfRule type="containsText" priority="58" operator="containsText" aboveAverage="0" equalAverage="0" bottom="0" percent="0" rank="0" text="Error" dxfId="2">
      <formula>NOT(ISERROR(SEARCH("Error",Q128)))</formula>
    </cfRule>
    <cfRule type="containsText" priority="59" operator="containsText" aboveAverage="0" equalAverage="0" bottom="0" percent="0" rank="0" text="FALSE" dxfId="2">
      <formula>NOT(ISERROR(SEARCH("FALSE",Q128)))</formula>
    </cfRule>
  </conditionalFormatting>
  <conditionalFormatting sqref="I107:K107">
    <cfRule type="expression" priority="60" aboveAverage="0" equalAverage="0" bottom="0" percent="0" rank="0" text="" dxfId="0">
      <formula>AND($F107="Yes")</formula>
    </cfRule>
    <cfRule type="expression" priority="61" aboveAverage="0" equalAverage="0" bottom="0" percent="0" rank="0" text="" dxfId="1">
      <formula>AND($F107="No")</formula>
    </cfRule>
  </conditionalFormatting>
  <conditionalFormatting sqref="I123:K124">
    <cfRule type="expression" priority="62" aboveAverage="0" equalAverage="0" bottom="0" percent="0" rank="0" text="" dxfId="0">
      <formula>AND($F123="Yes")</formula>
    </cfRule>
    <cfRule type="expression" priority="63" aboveAverage="0" equalAverage="0" bottom="0" percent="0" rank="0" text="" dxfId="1">
      <formula>AND($F123="No")</formula>
    </cfRule>
  </conditionalFormatting>
  <conditionalFormatting sqref="I115:K115">
    <cfRule type="expression" priority="64" aboveAverage="0" equalAverage="0" bottom="0" percent="0" rank="0" text="" dxfId="0">
      <formula>AND($F115="Yes")</formula>
    </cfRule>
    <cfRule type="expression" priority="65" aboveAverage="0" equalAverage="0" bottom="0" percent="0" rank="0" text="" dxfId="1">
      <formula>AND($F115="No")</formula>
    </cfRule>
  </conditionalFormatting>
  <conditionalFormatting sqref="E83:E87 E91:E95 E110:E114 F13:G13 I78:J79 I83:J87 I91:J95 I96:P98 I105:J106 I110:J114 I118:J122 J25:J28 J39:J42 L78:P79 L83:P87 L91:P95 L105:P107 L110:P115 L118:P124 L137:P140 L152:P156 T78:CA80 T83:CA88 T91:CB91 T92:CA98 T105:CA107 T110:CA115 T118:CA124 T137:CA140 CC78:CG80 CC83:CG88 CC91:CG98 CC105:CG107 CC110:CG115 CC118:CG124 CC137:CG139 CI78:CM80 CI83:CM88 CI91:CM98 CI105:CM107 CI110:CM115 CI118:CM124 CI137:CM139">
    <cfRule type="expression" priority="66" aboveAverage="0" equalAverage="0" bottom="0" percent="0" rank="0" text="" dxfId="0">
      <formula>AND($F13="Yes")</formula>
    </cfRule>
    <cfRule type="expression" priority="67" aboveAverage="0" equalAverage="0" bottom="0" percent="0" rank="0" text="" dxfId="1">
      <formula>AND($F13="No")</formula>
    </cfRule>
  </conditionalFormatting>
  <conditionalFormatting sqref="E108">
    <cfRule type="expression" priority="68" aboveAverage="0" equalAverage="0" bottom="0" percent="0" rank="0" text="" dxfId="4">
      <formula>AND($F108="Yes")</formula>
    </cfRule>
    <cfRule type="expression" priority="69" aboveAverage="0" equalAverage="0" bottom="0" percent="0" rank="0" text="" dxfId="5">
      <formula>AND($F108="No")</formula>
    </cfRule>
  </conditionalFormatting>
  <conditionalFormatting sqref="E125">
    <cfRule type="expression" priority="70" aboveAverage="0" equalAverage="0" bottom="0" percent="0" rank="0" text="" dxfId="4">
      <formula>AND($F125="Yes")</formula>
    </cfRule>
    <cfRule type="expression" priority="71" aboveAverage="0" equalAverage="0" bottom="0" percent="0" rank="0" text="" dxfId="5">
      <formula>AND($F125="No")</formula>
    </cfRule>
  </conditionalFormatting>
  <conditionalFormatting sqref="I80:P80">
    <cfRule type="expression" priority="72" aboveAverage="0" equalAverage="0" bottom="0" percent="0" rank="0" text="" dxfId="0">
      <formula>AND($F80="Yes")</formula>
    </cfRule>
    <cfRule type="expression" priority="73" aboveAverage="0" equalAverage="0" bottom="0" percent="0" rank="0" text="" dxfId="1">
      <formula>AND($F80="No")</formula>
    </cfRule>
  </conditionalFormatting>
  <conditionalFormatting sqref="D147:D148 E81 E143">
    <cfRule type="expression" priority="74" aboveAverage="0" equalAverage="0" bottom="0" percent="0" rank="0" text="" dxfId="4">
      <formula>AND($F81="Yes")</formula>
    </cfRule>
    <cfRule type="expression" priority="75" aboveAverage="0" equalAverage="0" bottom="0" percent="0" rank="0" text="" dxfId="5">
      <formula>AND($F81="No")</formula>
    </cfRule>
  </conditionalFormatting>
  <conditionalFormatting sqref="E99">
    <cfRule type="expression" priority="76" aboveAverage="0" equalAverage="0" bottom="0" percent="0" rank="0" text="" dxfId="4">
      <formula>AND($F99="Yes")</formula>
    </cfRule>
    <cfRule type="expression" priority="77" aboveAverage="0" equalAverage="0" bottom="0" percent="0" rank="0" text="" dxfId="5">
      <formula>AND($F99="No")</formula>
    </cfRule>
  </conditionalFormatting>
  <conditionalFormatting sqref="G174 J32:J33 J35">
    <cfRule type="expression" priority="78" aboveAverage="0" equalAverage="0" bottom="0" percent="0" rank="0" text="" dxfId="0">
      <formula>AND(#ref!="Yes")</formula>
    </cfRule>
    <cfRule type="expression" priority="79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2" manualBreakCount="2">
    <brk id="143" man="true" max="16383" min="0"/>
    <brk id="194" man="true" max="16383" min="0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60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170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154" t="s">
        <v>171</v>
      </c>
    </row>
    <row r="6" customFormat="false" ht="18" hidden="false" customHeight="true" outlineLevel="0" collapsed="false">
      <c r="B6" s="5" t="s">
        <v>172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8" customFormat="false" ht="158.2" hidden="false" customHeight="false" outlineLevel="0" collapsed="false">
      <c r="B8" s="3" t="s">
        <v>173</v>
      </c>
      <c r="D8" s="9" t="s">
        <v>174</v>
      </c>
      <c r="F8" s="155" t="s">
        <v>175</v>
      </c>
    </row>
    <row r="10" customFormat="false" ht="22.35" hidden="false" customHeight="false" outlineLevel="0" collapsed="false">
      <c r="B10" s="10" t="s">
        <v>176</v>
      </c>
      <c r="D10" s="156" t="n">
        <v>8</v>
      </c>
      <c r="F10" s="155" t="s">
        <v>177</v>
      </c>
    </row>
    <row r="11" customFormat="false" ht="15" hidden="false" customHeight="false" outlineLevel="0" collapsed="false">
      <c r="B11" s="10" t="s">
        <v>178</v>
      </c>
      <c r="D11" s="156" t="n">
        <v>21</v>
      </c>
    </row>
    <row r="12" customFormat="false" ht="15" hidden="false" customHeight="false" outlineLevel="0" collapsed="false">
      <c r="B12" s="10" t="s">
        <v>179</v>
      </c>
      <c r="D12" s="156" t="n">
        <v>12</v>
      </c>
    </row>
    <row r="14" customFormat="false" ht="18" hidden="false" customHeight="true" outlineLevel="0" collapsed="false">
      <c r="B14" s="5" t="s">
        <v>180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6" customFormat="false" ht="23.85" hidden="false" customHeight="false" outlineLevel="0" collapsed="false">
      <c r="B16" s="157" t="s">
        <v>181</v>
      </c>
      <c r="C16" s="157" t="s">
        <v>182</v>
      </c>
      <c r="D16" s="157" t="s">
        <v>183</v>
      </c>
      <c r="E16" s="157" t="s">
        <v>184</v>
      </c>
      <c r="F16" s="157" t="s">
        <v>185</v>
      </c>
      <c r="G16" s="157" t="s">
        <v>186</v>
      </c>
      <c r="H16" s="157" t="s">
        <v>187</v>
      </c>
      <c r="I16" s="157" t="s">
        <v>188</v>
      </c>
    </row>
    <row r="17" customFormat="false" ht="15" hidden="false" customHeight="false" outlineLevel="0" collapsed="false">
      <c r="B17" s="9" t="s">
        <v>189</v>
      </c>
      <c r="C17" s="156" t="n">
        <v>3</v>
      </c>
      <c r="D17" s="158" t="n">
        <v>180000</v>
      </c>
      <c r="E17" s="159" t="n">
        <f aca="false">IF(D17="",0,D17/$D$12)</f>
        <v>15000</v>
      </c>
      <c r="F17" s="160" t="n">
        <f aca="false">IF(D17="",0,E17/($D$10*$D$11))</f>
        <v>89.2857142857143</v>
      </c>
      <c r="G17" s="159" t="n">
        <f aca="false">IF($D$8="Hourly",F17*$D$10*$D$11,IF($D$8="Monthly",E17,IF(D17="",0,D17/$D$12)))</f>
        <v>15000</v>
      </c>
      <c r="H17" s="159" t="n">
        <f aca="false">IF(C17="",0,C17*G17)</f>
        <v>45000</v>
      </c>
    </row>
    <row r="18" customFormat="false" ht="15" hidden="false" customHeight="false" outlineLevel="0" collapsed="false">
      <c r="B18" s="9" t="s">
        <v>190</v>
      </c>
      <c r="C18" s="156" t="n">
        <v>2</v>
      </c>
      <c r="D18" s="158" t="n">
        <v>140000</v>
      </c>
      <c r="E18" s="159" t="n">
        <f aca="false">IF(D18="",0,D18/$D$12)</f>
        <v>11666.6666666667</v>
      </c>
      <c r="F18" s="160" t="n">
        <f aca="false">IF(D18="",0,E18/($D$10*$D$11))</f>
        <v>69.4444444444444</v>
      </c>
      <c r="G18" s="159" t="n">
        <f aca="false">IF($D$8="Hourly",F18*$D$10*$D$11,IF($D$8="Monthly",E18,IF(D18="",0,D18/$D$12)))</f>
        <v>11666.6666666667</v>
      </c>
      <c r="H18" s="159" t="n">
        <f aca="false">IF(C18="",0,C18*G18)</f>
        <v>23333.3333333333</v>
      </c>
    </row>
    <row r="19" customFormat="false" ht="15" hidden="false" customHeight="false" outlineLevel="0" collapsed="false">
      <c r="B19" s="9" t="s">
        <v>191</v>
      </c>
      <c r="C19" s="156" t="n">
        <v>1</v>
      </c>
      <c r="D19" s="158" t="n">
        <v>220000</v>
      </c>
      <c r="E19" s="159" t="n">
        <f aca="false">IF(D19="",0,D19/$D$12)</f>
        <v>18333.3333333333</v>
      </c>
      <c r="F19" s="160" t="n">
        <f aca="false">IF(D19="",0,E19/($D$10*$D$11))</f>
        <v>109.126984126984</v>
      </c>
      <c r="G19" s="159" t="n">
        <f aca="false">IF($D$8="Hourly",F19*$D$10*$D$11,IF($D$8="Monthly",E19,IF(D19="",0,D19/$D$12)))</f>
        <v>18333.3333333333</v>
      </c>
      <c r="H19" s="159" t="n">
        <f aca="false">IF(C19="",0,C19*G19)</f>
        <v>18333.3333333333</v>
      </c>
    </row>
    <row r="20" customFormat="false" ht="15" hidden="false" customHeight="false" outlineLevel="0" collapsed="false">
      <c r="B20" s="9" t="s">
        <v>192</v>
      </c>
      <c r="C20" s="156" t="n">
        <v>1</v>
      </c>
      <c r="D20" s="158" t="n">
        <v>190000</v>
      </c>
      <c r="E20" s="159" t="n">
        <f aca="false">IF(D20="",0,D20/$D$12)</f>
        <v>15833.3333333333</v>
      </c>
      <c r="F20" s="160" t="n">
        <f aca="false">IF(D20="",0,E20/($D$10*$D$11))</f>
        <v>94.2460317460318</v>
      </c>
      <c r="G20" s="159" t="n">
        <f aca="false">IF($D$8="Hourly",F20*$D$10*$D$11,IF($D$8="Monthly",E20,IF(D20="",0,D20/$D$12)))</f>
        <v>15833.3333333333</v>
      </c>
      <c r="H20" s="159" t="n">
        <f aca="false">IF(C20="",0,C20*G20)</f>
        <v>15833.3333333333</v>
      </c>
    </row>
    <row r="21" customFormat="false" ht="15" hidden="false" customHeight="false" outlineLevel="0" collapsed="false">
      <c r="B21" s="9" t="s">
        <v>193</v>
      </c>
      <c r="C21" s="156" t="n">
        <v>1</v>
      </c>
      <c r="D21" s="158" t="n">
        <v>185000</v>
      </c>
      <c r="E21" s="159" t="n">
        <f aca="false">IF(D21="",0,D21/$D$12)</f>
        <v>15416.6666666667</v>
      </c>
      <c r="F21" s="160" t="n">
        <f aca="false">IF(D21="",0,E21/($D$10*$D$11))</f>
        <v>91.765873015873</v>
      </c>
      <c r="G21" s="159" t="n">
        <f aca="false">IF($D$8="Hourly",F21*$D$10*$D$11,IF($D$8="Monthly",E21,IF(D21="",0,D21/$D$12)))</f>
        <v>15416.6666666667</v>
      </c>
      <c r="H21" s="159" t="n">
        <f aca="false">IF(C21="",0,C21*G21)</f>
        <v>15416.6666666667</v>
      </c>
    </row>
    <row r="22" customFormat="false" ht="15" hidden="false" customHeight="false" outlineLevel="0" collapsed="false">
      <c r="B22" s="9" t="s">
        <v>194</v>
      </c>
      <c r="C22" s="156" t="n">
        <v>1</v>
      </c>
      <c r="D22" s="158" t="n">
        <v>210000</v>
      </c>
      <c r="E22" s="159" t="n">
        <f aca="false">IF(D22="",0,D22/$D$12)</f>
        <v>17500</v>
      </c>
      <c r="F22" s="160" t="n">
        <f aca="false">IF(D22="",0,E22/($D$10*$D$11))</f>
        <v>104.166666666667</v>
      </c>
      <c r="G22" s="159" t="n">
        <f aca="false">IF($D$8="Hourly",F22*$D$10*$D$11,IF($D$8="Monthly",E22,IF(D22="",0,D22/$D$12)))</f>
        <v>17500</v>
      </c>
      <c r="H22" s="159" t="n">
        <f aca="false">IF(C22="",0,C22*G22)</f>
        <v>17500</v>
      </c>
    </row>
    <row r="23" customFormat="false" ht="15" hidden="false" customHeight="false" outlineLevel="0" collapsed="false">
      <c r="B23" s="9" t="s">
        <v>195</v>
      </c>
      <c r="C23" s="156" t="n">
        <v>1</v>
      </c>
      <c r="D23" s="158" t="n">
        <v>170000</v>
      </c>
      <c r="E23" s="159" t="n">
        <f aca="false">IF(D23="",0,D23/$D$12)</f>
        <v>14166.6666666667</v>
      </c>
      <c r="F23" s="160" t="n">
        <f aca="false">IF(D23="",0,E23/($D$10*$D$11))</f>
        <v>84.3253968253968</v>
      </c>
      <c r="G23" s="159" t="n">
        <f aca="false">IF($D$8="Hourly",F23*$D$10*$D$11,IF($D$8="Monthly",E23,IF(D23="",0,D23/$D$12)))</f>
        <v>14166.6666666667</v>
      </c>
      <c r="H23" s="159" t="n">
        <f aca="false">IF(C23="",0,C23*G23)</f>
        <v>14166.6666666667</v>
      </c>
    </row>
    <row r="24" customFormat="false" ht="15" hidden="false" customHeight="false" outlineLevel="0" collapsed="false">
      <c r="B24" s="9"/>
      <c r="C24" s="156"/>
      <c r="D24" s="158"/>
      <c r="E24" s="159" t="n">
        <f aca="false">IF(D24="",0,D24/$D$12)</f>
        <v>0</v>
      </c>
      <c r="F24" s="160" t="n">
        <f aca="false">IF(D24="",0,E24/($D$10*$D$11))</f>
        <v>0</v>
      </c>
      <c r="G24" s="159" t="n">
        <f aca="false">IF($D$8="Hourly",F24*$D$10*$D$11,IF($D$8="Monthly",E24,IF(D24="",0,D24/$D$12)))</f>
        <v>0</v>
      </c>
      <c r="H24" s="159" t="n">
        <f aca="false">IF(C24="",0,C24*G24)</f>
        <v>0</v>
      </c>
      <c r="I24" s="161" t="s">
        <v>196</v>
      </c>
    </row>
    <row r="25" customFormat="false" ht="15" hidden="false" customHeight="false" outlineLevel="0" collapsed="false">
      <c r="B25" s="9"/>
      <c r="C25" s="156"/>
      <c r="D25" s="158"/>
      <c r="E25" s="159" t="n">
        <f aca="false">IF(D25="",0,D25/$D$12)</f>
        <v>0</v>
      </c>
      <c r="F25" s="160" t="n">
        <f aca="false">IF(D25="",0,E25/($D$10*$D$11))</f>
        <v>0</v>
      </c>
      <c r="G25" s="159" t="n">
        <f aca="false">IF($D$8="Hourly",F25*$D$10*$D$11,IF($D$8="Monthly",E25,IF(D25="",0,D25/$D$12)))</f>
        <v>0</v>
      </c>
      <c r="H25" s="159" t="n">
        <f aca="false">IF(C25="",0,C25*G25)</f>
        <v>0</v>
      </c>
      <c r="I25" s="161" t="s">
        <v>196</v>
      </c>
    </row>
    <row r="26" customFormat="false" ht="15" hidden="false" customHeight="false" outlineLevel="0" collapsed="false">
      <c r="B26" s="9"/>
      <c r="C26" s="156"/>
      <c r="D26" s="158"/>
      <c r="E26" s="159" t="n">
        <f aca="false">IF(D26="",0,D26/$D$12)</f>
        <v>0</v>
      </c>
      <c r="F26" s="160" t="n">
        <f aca="false">IF(D26="",0,E26/($D$10*$D$11))</f>
        <v>0</v>
      </c>
      <c r="G26" s="159" t="n">
        <f aca="false">IF($D$8="Hourly",F26*$D$10*$D$11,IF($D$8="Monthly",E26,IF(D26="",0,D26/$D$12)))</f>
        <v>0</v>
      </c>
      <c r="H26" s="159" t="n">
        <f aca="false">IF(C26="",0,C26*G26)</f>
        <v>0</v>
      </c>
      <c r="I26" s="161" t="s">
        <v>196</v>
      </c>
    </row>
    <row r="27" customFormat="false" ht="15" hidden="false" customHeight="false" outlineLevel="0" collapsed="false">
      <c r="B27" s="3" t="s">
        <v>197</v>
      </c>
      <c r="C27" s="162" t="n">
        <f aca="false">SUM(C17:C26)</f>
        <v>10</v>
      </c>
      <c r="H27" s="159" t="n">
        <f aca="false">SUM(H17:H26)</f>
        <v>149583.333333333</v>
      </c>
    </row>
    <row r="29" customFormat="false" ht="22.35" hidden="false" customHeight="false" outlineLevel="0" collapsed="false">
      <c r="B29" s="163" t="s">
        <v>198</v>
      </c>
      <c r="G29" s="159" t="n">
        <f aca="false">IF(C27=0,0,H27/C27)</f>
        <v>14958.3333333333</v>
      </c>
      <c r="H29" s="164" t="s">
        <v>199</v>
      </c>
      <c r="I29" s="155" t="s">
        <v>200</v>
      </c>
    </row>
    <row r="30" customFormat="false" ht="15" hidden="false" customHeight="false" outlineLevel="0" collapsed="false">
      <c r="G30" s="159" t="n">
        <f aca="false">G29*$D$12</f>
        <v>179500</v>
      </c>
      <c r="H30" s="164" t="s">
        <v>201</v>
      </c>
    </row>
    <row r="31" customFormat="false" ht="15" hidden="false" customHeight="false" outlineLevel="0" collapsed="false">
      <c r="G31" s="160" t="n">
        <f aca="false">G29/($D$10*$D$11)</f>
        <v>89.0376984126984</v>
      </c>
      <c r="H31" s="164" t="s">
        <v>202</v>
      </c>
    </row>
    <row r="33" customFormat="false" ht="18" hidden="false" customHeight="true" outlineLevel="0" collapsed="false">
      <c r="B33" s="5" t="s">
        <v>203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5" customFormat="false" ht="15" hidden="false" customHeight="false" outlineLevel="0" collapsed="false">
      <c r="B35" s="165" t="s">
        <v>204</v>
      </c>
      <c r="C35" s="166" t="s">
        <v>205</v>
      </c>
      <c r="F35" s="167" t="s">
        <v>206</v>
      </c>
    </row>
    <row r="36" customFormat="false" ht="15" hidden="false" customHeight="false" outlineLevel="0" collapsed="false">
      <c r="B36" s="10" t="s">
        <v>207</v>
      </c>
      <c r="C36" s="168" t="n">
        <v>0.1</v>
      </c>
    </row>
    <row r="37" customFormat="false" ht="15" hidden="false" customHeight="false" outlineLevel="0" collapsed="false">
      <c r="B37" s="10" t="s">
        <v>208</v>
      </c>
      <c r="C37" s="168" t="n">
        <v>0.15</v>
      </c>
    </row>
    <row r="38" customFormat="false" ht="15" hidden="false" customHeight="false" outlineLevel="0" collapsed="false">
      <c r="B38" s="10" t="s">
        <v>209</v>
      </c>
      <c r="C38" s="168" t="n">
        <v>0.2</v>
      </c>
    </row>
    <row r="39" customFormat="false" ht="15" hidden="false" customHeight="false" outlineLevel="0" collapsed="false">
      <c r="B39" s="10" t="s">
        <v>210</v>
      </c>
      <c r="C39" s="168" t="n">
        <v>0.5</v>
      </c>
    </row>
    <row r="42" customFormat="false" ht="18" hidden="false" customHeight="true" outlineLevel="0" collapsed="false">
      <c r="B42" s="5" t="s">
        <v>211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customFormat="false" ht="45" hidden="false" customHeight="true" outlineLevel="0" collapsed="false">
      <c r="B44" s="165" t="s">
        <v>212</v>
      </c>
      <c r="C44" s="166" t="s">
        <v>213</v>
      </c>
      <c r="F44" s="155" t="s">
        <v>214</v>
      </c>
    </row>
    <row r="45" customFormat="false" ht="15" hidden="false" customHeight="false" outlineLevel="0" collapsed="false">
      <c r="B45" s="10" t="s">
        <v>215</v>
      </c>
      <c r="C45" s="168" t="n">
        <v>0</v>
      </c>
    </row>
    <row r="46" customFormat="false" ht="15" hidden="false" customHeight="false" outlineLevel="0" collapsed="false">
      <c r="B46" s="10" t="s">
        <v>216</v>
      </c>
      <c r="C46" s="168" t="n">
        <v>0.8</v>
      </c>
    </row>
    <row r="47" customFormat="false" ht="15" hidden="false" customHeight="false" outlineLevel="0" collapsed="false">
      <c r="B47" s="10" t="s">
        <v>217</v>
      </c>
      <c r="C47" s="168" t="n">
        <v>0</v>
      </c>
    </row>
    <row r="48" customFormat="false" ht="15" hidden="false" customHeight="false" outlineLevel="0" collapsed="false">
      <c r="B48" s="10" t="s">
        <v>218</v>
      </c>
      <c r="C48" s="168" t="n">
        <v>0</v>
      </c>
    </row>
    <row r="49" customFormat="false" ht="15" hidden="false" customHeight="false" outlineLevel="0" collapsed="false">
      <c r="B49" s="10" t="s">
        <v>219</v>
      </c>
      <c r="C49" s="168" t="n">
        <v>0</v>
      </c>
    </row>
    <row r="51" customFormat="false" ht="18" hidden="false" customHeight="true" outlineLevel="0" collapsed="false">
      <c r="B51" s="5" t="s">
        <v>220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customFormat="false" ht="68.65" hidden="false" customHeight="false" outlineLevel="0" collapsed="false">
      <c r="B52" s="8" t="s">
        <v>221</v>
      </c>
    </row>
    <row r="53" customFormat="false" ht="57.45" hidden="false" customHeight="false" outlineLevel="0" collapsed="false">
      <c r="B53" s="8" t="s">
        <v>222</v>
      </c>
    </row>
    <row r="54" customFormat="false" ht="57.45" hidden="false" customHeight="false" outlineLevel="0" collapsed="false">
      <c r="B54" s="8" t="s">
        <v>223</v>
      </c>
    </row>
  </sheetData>
  <dataValidations count="1">
    <dataValidation allowBlank="false" errorStyle="stop" operator="between" showDropDown="false" showErrorMessage="false" showInputMessage="false" sqref="D8" type="list">
      <formula1>"Yearly,Monthly,Hourly"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2" min="3" style="0" width="13"/>
  </cols>
  <sheetData>
    <row r="2" customFormat="false" ht="24" hidden="false" customHeight="true" outlineLevel="0" collapsed="false">
      <c r="B2" s="153" t="s">
        <v>224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67" t="s">
        <v>225</v>
      </c>
    </row>
    <row r="5" customFormat="false" ht="22.35" hidden="false" customHeight="false" outlineLevel="0" collapsed="false">
      <c r="B5" s="169" t="s">
        <v>226</v>
      </c>
      <c r="C5" s="169" t="s">
        <v>227</v>
      </c>
      <c r="D5" s="169" t="s">
        <v>228</v>
      </c>
      <c r="E5" s="169" t="s">
        <v>229</v>
      </c>
      <c r="F5" s="169" t="s">
        <v>230</v>
      </c>
      <c r="G5" s="169" t="s">
        <v>231</v>
      </c>
      <c r="H5" s="169" t="s">
        <v>232</v>
      </c>
      <c r="I5" s="169" t="s">
        <v>233</v>
      </c>
      <c r="J5" s="169" t="s">
        <v>234</v>
      </c>
      <c r="K5" s="169" t="s">
        <v>235</v>
      </c>
      <c r="L5" s="169" t="s">
        <v>236</v>
      </c>
    </row>
    <row r="6" customFormat="false" ht="15" hidden="false" customHeight="false" outlineLevel="0" collapsed="false">
      <c r="B6" s="3" t="s">
        <v>237</v>
      </c>
      <c r="C6" s="170" t="n">
        <f aca="false">'SALES-1 WAVE'!$K$117</f>
        <v>0</v>
      </c>
      <c r="D6" s="170" t="n">
        <f aca="false">'SALES-1 WAVE'!$L$117</f>
        <v>0</v>
      </c>
      <c r="E6" s="170" t="n">
        <f aca="false">'SALES-1 WAVE'!$M$117</f>
        <v>0</v>
      </c>
      <c r="F6" s="170" t="n">
        <f aca="false">'SALES-1 WAVE'!$N$117</f>
        <v>0</v>
      </c>
      <c r="G6" s="170" t="n">
        <f aca="false">'SALES-1 WAVE'!$O$117</f>
        <v>0</v>
      </c>
      <c r="H6" s="170" t="n">
        <f aca="false">'SALES-1 WAVE'!$P$117</f>
        <v>0</v>
      </c>
      <c r="I6" s="170" t="n">
        <f aca="false">SUM('SALES-1 WAVE'!$L$147:$P$147)</f>
        <v>1.5247089</v>
      </c>
      <c r="J6" s="170" t="n">
        <f aca="false">'SALES-1 WAVE'!$P$115</f>
        <v>0</v>
      </c>
      <c r="K6" s="170" t="n">
        <f aca="false">'SALES-1 WAVE'!$G$168</f>
        <v>-1.29885522834525</v>
      </c>
      <c r="L6" s="171" t="str">
        <f aca="false">'SALES-1 WAVE'!$G$165</f>
        <v>&gt;5</v>
      </c>
    </row>
    <row r="7" customFormat="false" ht="15" hidden="false" customHeight="false" outlineLevel="0" collapsed="false">
      <c r="B7" s="3" t="s">
        <v>238</v>
      </c>
      <c r="C7" s="170" t="n">
        <f aca="false">'SALES-2 WAVE'!$K$117</f>
        <v>0</v>
      </c>
      <c r="D7" s="170" t="n">
        <f aca="false">'SALES-2 WAVE'!$L$117</f>
        <v>0</v>
      </c>
      <c r="E7" s="170" t="n">
        <f aca="false">'SALES-2 WAVE'!$M$117</f>
        <v>0</v>
      </c>
      <c r="F7" s="170" t="n">
        <f aca="false">'SALES-2 WAVE'!$N$117</f>
        <v>0</v>
      </c>
      <c r="G7" s="170" t="n">
        <f aca="false">'SALES-2 WAVE'!$O$117</f>
        <v>0</v>
      </c>
      <c r="H7" s="170" t="n">
        <f aca="false">'SALES-2 WAVE'!$P$117</f>
        <v>0</v>
      </c>
      <c r="I7" s="170" t="n">
        <f aca="false">SUM('SALES-2 WAVE'!$L$147:$P$147)</f>
        <v>1.5247089</v>
      </c>
      <c r="J7" s="170" t="n">
        <f aca="false">'SALES-2 WAVE'!$P$115</f>
        <v>0</v>
      </c>
      <c r="K7" s="170" t="n">
        <f aca="false">'SALES-2 WAVE'!$G$168</f>
        <v>-1.29885522834525</v>
      </c>
      <c r="L7" s="171" t="str">
        <f aca="false">'SALES-2 WAVE'!$G$165</f>
        <v>&gt;5</v>
      </c>
    </row>
    <row r="8" customFormat="false" ht="15" hidden="false" customHeight="false" outlineLevel="0" collapsed="false">
      <c r="B8" s="172" t="s">
        <v>239</v>
      </c>
      <c r="C8" s="173" t="n">
        <f aca="false">SUM(C6:C7)</f>
        <v>0</v>
      </c>
      <c r="D8" s="173" t="n">
        <f aca="false">SUM(D6:D7)</f>
        <v>0</v>
      </c>
      <c r="E8" s="173" t="n">
        <f aca="false">SUM(E6:E7)</f>
        <v>0</v>
      </c>
      <c r="F8" s="173" t="n">
        <f aca="false">SUM(F6:F7)</f>
        <v>0</v>
      </c>
      <c r="G8" s="173" t="n">
        <f aca="false">SUM(G6:G7)</f>
        <v>0</v>
      </c>
      <c r="H8" s="173" t="n">
        <f aca="false">SUM(H6:H7)</f>
        <v>0</v>
      </c>
      <c r="I8" s="173" t="n">
        <f aca="false">SUM(I6:I7)</f>
        <v>3.0494178</v>
      </c>
      <c r="J8" s="173" t="n">
        <f aca="false">SUM(J6:J7)</f>
        <v>0</v>
      </c>
    </row>
    <row r="10" customFormat="false" ht="15" hidden="false" customHeight="false" outlineLevel="0" collapsed="false">
      <c r="B10" s="167" t="s">
        <v>240</v>
      </c>
    </row>
    <row r="11" customFormat="false" ht="15" hidden="false" customHeight="false" outlineLevel="0" collapsed="false">
      <c r="B11" s="174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CA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242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243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244</v>
      </c>
      <c r="K6" s="176" t="s">
        <v>245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247</v>
      </c>
      <c r="D10" s="9" t="s">
        <v>248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249</v>
      </c>
      <c r="D11" s="9" t="s">
        <v>250</v>
      </c>
      <c r="E11" s="9"/>
      <c r="F11" s="9"/>
      <c r="G11" s="9"/>
      <c r="H11" s="9"/>
      <c r="I11" s="155" t="s">
        <v>251</v>
      </c>
    </row>
    <row r="12" customFormat="false" ht="15" hidden="false" customHeight="false" outlineLevel="0" collapsed="false">
      <c r="B12" s="10" t="s">
        <v>123</v>
      </c>
      <c r="D12" s="9" t="s">
        <v>252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253</v>
      </c>
      <c r="D13" s="178" t="n">
        <f aca="false">DATE(2027,4,1)</f>
        <v>46478</v>
      </c>
      <c r="I13" s="155" t="s">
        <v>254</v>
      </c>
    </row>
    <row r="15" customFormat="false" ht="15" hidden="false" customHeight="false" outlineLevel="0" collapsed="false">
      <c r="B15" s="167" t="s">
        <v>255</v>
      </c>
    </row>
    <row r="16" customFormat="false" ht="15" hidden="false" customHeight="false" outlineLevel="0" collapsed="false">
      <c r="B16" s="167" t="s">
        <v>256</v>
      </c>
    </row>
    <row r="17" customFormat="false" ht="15" hidden="false" customHeight="false" outlineLevel="0" collapsed="false">
      <c r="B17" s="179" t="s">
        <v>257</v>
      </c>
    </row>
    <row r="18" customFormat="false" ht="15" hidden="false" customHeight="false" outlineLevel="0" collapsed="false">
      <c r="B18" s="180" t="s">
        <v>258</v>
      </c>
    </row>
    <row r="19" customFormat="false" ht="15" hidden="false" customHeight="false" outlineLevel="0" collapsed="false">
      <c r="B19" s="180" t="s">
        <v>259</v>
      </c>
    </row>
    <row r="20" customFormat="false" ht="15" hidden="false" customHeight="false" outlineLevel="0" collapsed="false">
      <c r="B20" s="180" t="s">
        <v>260</v>
      </c>
    </row>
    <row r="21" customFormat="false" ht="15" hidden="false" customHeight="false" outlineLevel="0" collapsed="false">
      <c r="B21" s="180" t="s">
        <v>261</v>
      </c>
    </row>
    <row r="23" customFormat="false" ht="18" hidden="false" customHeight="true" outlineLevel="0" collapsed="false">
      <c r="B23" s="5" t="s">
        <v>262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5" customFormat="false" ht="15" hidden="false" customHeight="false" outlineLevel="0" collapsed="false">
      <c r="B25" s="181" t="s">
        <v>263</v>
      </c>
    </row>
    <row r="26" customFormat="false" ht="43.25" hidden="false" customHeight="false" outlineLevel="0" collapsed="false">
      <c r="B26" s="182" t="s">
        <v>264</v>
      </c>
      <c r="D26" s="158" t="n">
        <v>0</v>
      </c>
      <c r="E26" s="167" t="s">
        <v>265</v>
      </c>
      <c r="F26" s="155" t="s">
        <v>266</v>
      </c>
    </row>
    <row r="27" customFormat="false" ht="43.25" hidden="false" customHeight="false" outlineLevel="0" collapsed="false">
      <c r="B27" s="182" t="s">
        <v>267</v>
      </c>
      <c r="D27" s="183" t="n">
        <v>0</v>
      </c>
      <c r="E27" s="167" t="s">
        <v>268</v>
      </c>
      <c r="F27" s="155" t="s">
        <v>269</v>
      </c>
    </row>
    <row r="28" customFormat="false" ht="43.25" hidden="false" customHeight="false" outlineLevel="0" collapsed="false">
      <c r="B28" s="182" t="s">
        <v>270</v>
      </c>
      <c r="D28" s="156" t="n">
        <v>0</v>
      </c>
      <c r="E28" s="167" t="s">
        <v>271</v>
      </c>
      <c r="F28" s="155" t="s">
        <v>272</v>
      </c>
    </row>
    <row r="29" customFormat="false" ht="43.25" hidden="false" customHeight="false" outlineLevel="0" collapsed="false">
      <c r="B29" s="182" t="s">
        <v>273</v>
      </c>
      <c r="D29" s="158" t="n">
        <v>0</v>
      </c>
      <c r="E29" s="167" t="s">
        <v>265</v>
      </c>
      <c r="F29" s="155" t="s">
        <v>274</v>
      </c>
    </row>
    <row r="30" customFormat="false" ht="43.25" hidden="false" customHeight="false" outlineLevel="0" collapsed="false">
      <c r="B30" s="182" t="s">
        <v>275</v>
      </c>
      <c r="D30" s="168" t="n">
        <v>0</v>
      </c>
      <c r="E30" s="167" t="s">
        <v>268</v>
      </c>
      <c r="F30" s="155" t="s">
        <v>276</v>
      </c>
    </row>
    <row r="31" customFormat="false" ht="15" hidden="false" customHeight="false" outlineLevel="0" collapsed="false">
      <c r="B31" s="181" t="s">
        <v>277</v>
      </c>
    </row>
    <row r="32" customFormat="false" ht="15" hidden="false" customHeight="false" outlineLevel="0" collapsed="false">
      <c r="B32" s="182" t="s">
        <v>278</v>
      </c>
      <c r="D32" s="168" t="n">
        <v>0.7</v>
      </c>
      <c r="E32" s="167" t="s">
        <v>268</v>
      </c>
      <c r="F32" s="155" t="s">
        <v>279</v>
      </c>
    </row>
    <row r="33" customFormat="false" ht="22.35" hidden="false" customHeight="false" outlineLevel="0" collapsed="false">
      <c r="B33" s="182" t="s">
        <v>280</v>
      </c>
      <c r="D33" s="168" t="n">
        <v>0.25</v>
      </c>
      <c r="E33" s="167" t="s">
        <v>268</v>
      </c>
      <c r="F33" s="155" t="s">
        <v>281</v>
      </c>
    </row>
    <row r="34" customFormat="false" ht="95.5" hidden="false" customHeight="false" outlineLevel="0" collapsed="false">
      <c r="B34" s="182" t="s">
        <v>282</v>
      </c>
      <c r="D34" s="183" t="n">
        <v>0</v>
      </c>
      <c r="E34" s="167" t="s">
        <v>268</v>
      </c>
      <c r="F34" s="155" t="s">
        <v>283</v>
      </c>
    </row>
    <row r="35" customFormat="false" ht="15" hidden="false" customHeight="false" outlineLevel="0" collapsed="false">
      <c r="B35" s="182" t="s">
        <v>284</v>
      </c>
      <c r="D35" s="168" t="n">
        <v>0.75</v>
      </c>
      <c r="E35" s="167" t="s">
        <v>268</v>
      </c>
      <c r="F35" s="155" t="s">
        <v>285</v>
      </c>
    </row>
    <row r="36" customFormat="false" ht="22.35" hidden="false" customHeight="false" outlineLevel="0" collapsed="false">
      <c r="B36" s="182" t="s">
        <v>286</v>
      </c>
      <c r="D36" s="183" t="n">
        <v>0.025</v>
      </c>
      <c r="E36" s="167" t="s">
        <v>268</v>
      </c>
      <c r="F36" s="155" t="s">
        <v>287</v>
      </c>
    </row>
    <row r="37" customFormat="false" ht="32.8" hidden="false" customHeight="false" outlineLevel="0" collapsed="false">
      <c r="B37" s="182" t="s">
        <v>288</v>
      </c>
      <c r="D37" s="168" t="n">
        <v>0.75</v>
      </c>
      <c r="E37" s="167" t="s">
        <v>268</v>
      </c>
      <c r="F37" s="155" t="s">
        <v>289</v>
      </c>
    </row>
    <row r="38" customFormat="false" ht="22.35" hidden="false" customHeight="false" outlineLevel="0" collapsed="false">
      <c r="B38" s="182" t="s">
        <v>290</v>
      </c>
      <c r="D38" s="168" t="n">
        <v>0.35</v>
      </c>
      <c r="E38" s="167" t="s">
        <v>268</v>
      </c>
      <c r="F38" s="155" t="s">
        <v>291</v>
      </c>
    </row>
    <row r="39" customFormat="false" ht="22.35" hidden="false" customHeight="false" outlineLevel="0" collapsed="false">
      <c r="B39" s="182" t="s">
        <v>292</v>
      </c>
      <c r="D39" s="168" t="n">
        <v>0.3</v>
      </c>
      <c r="E39" s="167" t="s">
        <v>268</v>
      </c>
      <c r="F39" s="155" t="s">
        <v>293</v>
      </c>
    </row>
    <row r="40" customFormat="false" ht="15" hidden="false" customHeight="false" outlineLevel="0" collapsed="false">
      <c r="B40" s="182" t="s">
        <v>294</v>
      </c>
      <c r="D40" s="168" t="n">
        <v>0.65</v>
      </c>
      <c r="E40" s="167" t="s">
        <v>268</v>
      </c>
      <c r="F40" s="155" t="s">
        <v>295</v>
      </c>
    </row>
    <row r="41" customFormat="false" ht="15" hidden="false" customHeight="false" outlineLevel="0" collapsed="false">
      <c r="B41" s="181" t="s">
        <v>296</v>
      </c>
    </row>
    <row r="42" customFormat="false" ht="15" hidden="false" customHeight="false" outlineLevel="0" collapsed="false">
      <c r="B42" s="182" t="s">
        <v>297</v>
      </c>
      <c r="D42" s="168" t="n">
        <v>0.08</v>
      </c>
      <c r="E42" s="167" t="s">
        <v>268</v>
      </c>
    </row>
    <row r="43" customFormat="false" ht="15" hidden="false" customHeight="false" outlineLevel="0" collapsed="false">
      <c r="B43" s="182" t="s">
        <v>298</v>
      </c>
      <c r="D43" s="168" t="n">
        <v>0.1</v>
      </c>
      <c r="E43" s="167" t="s">
        <v>268</v>
      </c>
    </row>
    <row r="44" customFormat="false" ht="15" hidden="false" customHeight="false" outlineLevel="0" collapsed="false">
      <c r="B44" s="182" t="s">
        <v>299</v>
      </c>
      <c r="D44" s="9"/>
    </row>
    <row r="45" customFormat="false" ht="15" hidden="false" customHeight="false" outlineLevel="0" collapsed="false">
      <c r="B45" s="182" t="s">
        <v>299</v>
      </c>
      <c r="D45" s="9"/>
    </row>
    <row r="47" customFormat="false" ht="18" hidden="false" customHeight="true" outlineLevel="0" collapsed="false">
      <c r="B47" s="5" t="s">
        <v>300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9" customFormat="false" ht="15" hidden="false" customHeight="false" outlineLevel="0" collapsed="false">
      <c r="B49" s="182" t="s">
        <v>301</v>
      </c>
      <c r="D49" s="159" t="n">
        <f aca="false">$D$26*$D$27</f>
        <v>0</v>
      </c>
      <c r="E49" s="167" t="s">
        <v>265</v>
      </c>
    </row>
    <row r="50" customFormat="false" ht="116.4" hidden="false" customHeight="false" outlineLevel="0" collapsed="false">
      <c r="B50" s="182" t="s">
        <v>302</v>
      </c>
      <c r="D50" s="159" t="n">
        <f aca="false">$D$26*$D$27*$D$34*$D$35</f>
        <v>0</v>
      </c>
      <c r="E50" s="167" t="s">
        <v>265</v>
      </c>
      <c r="F50" s="155" t="s">
        <v>303</v>
      </c>
    </row>
    <row r="51" customFormat="false" ht="53.7" hidden="false" customHeight="false" outlineLevel="0" collapsed="false">
      <c r="B51" s="182" t="s">
        <v>304</v>
      </c>
      <c r="D51" s="159" t="n">
        <f aca="false">$D$26*$D$27*$D$36*$D$37</f>
        <v>0</v>
      </c>
      <c r="E51" s="167" t="s">
        <v>265</v>
      </c>
      <c r="F51" s="155" t="s">
        <v>305</v>
      </c>
    </row>
    <row r="52" customFormat="false" ht="43.25" hidden="false" customHeight="false" outlineLevel="0" collapsed="false">
      <c r="B52" s="182" t="s">
        <v>306</v>
      </c>
      <c r="D52" s="159" t="n">
        <f aca="false">$D$28*$D$29*$D$30*(($D$38+$D$39)/2)*$D$40</f>
        <v>0</v>
      </c>
      <c r="E52" s="167" t="s">
        <v>265</v>
      </c>
      <c r="F52" s="155" t="s">
        <v>307</v>
      </c>
    </row>
    <row r="54" customFormat="false" ht="18" hidden="false" customHeight="true" outlineLevel="0" collapsed="false">
      <c r="B54" s="5" t="s">
        <v>308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6" customFormat="false" ht="53.7" hidden="false" customHeight="false" outlineLevel="0" collapsed="false">
      <c r="B56" s="3" t="s">
        <v>309</v>
      </c>
      <c r="D56" s="156" t="n">
        <v>9</v>
      </c>
      <c r="F56" s="155" t="s">
        <v>310</v>
      </c>
    </row>
    <row r="57" customFormat="false" ht="15" hidden="false" customHeight="false" outlineLevel="0" collapsed="false">
      <c r="B57" s="10" t="s">
        <v>311</v>
      </c>
      <c r="T57" s="184" t="n">
        <f aca="false">MIN(1,MAX(0,((YEAR(T$6)-YEAR($D$13))*12+MONTH(T$6)-MONTH($D$13)+0.5)/MAX($D$56,0.5)))</f>
        <v>0</v>
      </c>
      <c r="U57" s="184" t="n">
        <f aca="false">MIN(1,MAX(0,((YEAR(U$6)-YEAR($D$13))*12+MONTH(U$6)-MONTH($D$13)+0.5)/MAX($D$56,0.5)))</f>
        <v>0</v>
      </c>
      <c r="V57" s="184" t="n">
        <f aca="false">MIN(1,MAX(0,((YEAR(V$6)-YEAR($D$13))*12+MONTH(V$6)-MONTH($D$13)+0.5)/MAX($D$56,0.5)))</f>
        <v>0</v>
      </c>
      <c r="W57" s="184" t="n">
        <f aca="false">MIN(1,MAX(0,((YEAR(W$6)-YEAR($D$13))*12+MONTH(W$6)-MONTH($D$13)+0.5)/MAX($D$56,0.5)))</f>
        <v>0</v>
      </c>
      <c r="X57" s="184" t="n">
        <f aca="false">MIN(1,MAX(0,((YEAR(X$6)-YEAR($D$13))*12+MONTH(X$6)-MONTH($D$13)+0.5)/MAX($D$56,0.5)))</f>
        <v>0</v>
      </c>
      <c r="Y57" s="184" t="n">
        <f aca="false">MIN(1,MAX(0,((YEAR(Y$6)-YEAR($D$13))*12+MONTH(Y$6)-MONTH($D$13)+0.5)/MAX($D$56,0.5)))</f>
        <v>0</v>
      </c>
      <c r="Z57" s="184" t="n">
        <f aca="false">MIN(1,MAX(0,((YEAR(Z$6)-YEAR($D$13))*12+MONTH(Z$6)-MONTH($D$13)+0.5)/MAX($D$56,0.5)))</f>
        <v>0</v>
      </c>
      <c r="AA57" s="184" t="n">
        <f aca="false">MIN(1,MAX(0,((YEAR(AA$6)-YEAR($D$13))*12+MONTH(AA$6)-MONTH($D$13)+0.5)/MAX($D$56,0.5)))</f>
        <v>0</v>
      </c>
      <c r="AB57" s="184" t="n">
        <f aca="false">MIN(1,MAX(0,((YEAR(AB$6)-YEAR($D$13))*12+MONTH(AB$6)-MONTH($D$13)+0.5)/MAX($D$56,0.5)))</f>
        <v>0</v>
      </c>
      <c r="AC57" s="184" t="n">
        <f aca="false">MIN(1,MAX(0,((YEAR(AC$6)-YEAR($D$13))*12+MONTH(AC$6)-MONTH($D$13)+0.5)/MAX($D$56,0.5)))</f>
        <v>0</v>
      </c>
      <c r="AD57" s="184" t="n">
        <f aca="false">MIN(1,MAX(0,((YEAR(AD$6)-YEAR($D$13))*12+MONTH(AD$6)-MONTH($D$13)+0.5)/MAX($D$56,0.5)))</f>
        <v>0</v>
      </c>
      <c r="AE57" s="184" t="n">
        <f aca="false">MIN(1,MAX(0,((YEAR(AE$6)-YEAR($D$13))*12+MONTH(AE$6)-MONTH($D$13)+0.5)/MAX($D$56,0.5)))</f>
        <v>0</v>
      </c>
      <c r="AF57" s="184" t="n">
        <f aca="false">MIN(1,MAX(0,((YEAR(AF$6)-YEAR($D$13))*12+MONTH(AF$6)-MONTH($D$13)+0.5)/MAX($D$56,0.5)))</f>
        <v>0</v>
      </c>
      <c r="AG57" s="184" t="n">
        <f aca="false">MIN(1,MAX(0,((YEAR(AG$6)-YEAR($D$13))*12+MONTH(AG$6)-MONTH($D$13)+0.5)/MAX($D$56,0.5)))</f>
        <v>0</v>
      </c>
      <c r="AH57" s="184" t="n">
        <f aca="false">MIN(1,MAX(0,((YEAR(AH$6)-YEAR($D$13))*12+MONTH(AH$6)-MONTH($D$13)+0.5)/MAX($D$56,0.5)))</f>
        <v>0</v>
      </c>
      <c r="AI57" s="184" t="n">
        <f aca="false">MIN(1,MAX(0,((YEAR(AI$6)-YEAR($D$13))*12+MONTH(AI$6)-MONTH($D$13)+0.5)/MAX($D$56,0.5)))</f>
        <v>0.0555555555555556</v>
      </c>
      <c r="AJ57" s="184" t="n">
        <f aca="false">MIN(1,MAX(0,((YEAR(AJ$6)-YEAR($D$13))*12+MONTH(AJ$6)-MONTH($D$13)+0.5)/MAX($D$56,0.5)))</f>
        <v>0.166666666666667</v>
      </c>
      <c r="AK57" s="184" t="n">
        <f aca="false">MIN(1,MAX(0,((YEAR(AK$6)-YEAR($D$13))*12+MONTH(AK$6)-MONTH($D$13)+0.5)/MAX($D$56,0.5)))</f>
        <v>0.277777777777778</v>
      </c>
      <c r="AL57" s="184" t="n">
        <f aca="false">MIN(1,MAX(0,((YEAR(AL$6)-YEAR($D$13))*12+MONTH(AL$6)-MONTH($D$13)+0.5)/MAX($D$56,0.5)))</f>
        <v>0.388888888888889</v>
      </c>
      <c r="AM57" s="184" t="n">
        <f aca="false">MIN(1,MAX(0,((YEAR(AM$6)-YEAR($D$13))*12+MONTH(AM$6)-MONTH($D$13)+0.5)/MAX($D$56,0.5)))</f>
        <v>0.5</v>
      </c>
      <c r="AN57" s="184" t="n">
        <f aca="false">MIN(1,MAX(0,((YEAR(AN$6)-YEAR($D$13))*12+MONTH(AN$6)-MONTH($D$13)+0.5)/MAX($D$56,0.5)))</f>
        <v>0.611111111111111</v>
      </c>
      <c r="AO57" s="184" t="n">
        <f aca="false">MIN(1,MAX(0,((YEAR(AO$6)-YEAR($D$13))*12+MONTH(AO$6)-MONTH($D$13)+0.5)/MAX($D$56,0.5)))</f>
        <v>0.722222222222222</v>
      </c>
      <c r="AP57" s="184" t="n">
        <f aca="false">MIN(1,MAX(0,((YEAR(AP$6)-YEAR($D$13))*12+MONTH(AP$6)-MONTH($D$13)+0.5)/MAX($D$56,0.5)))</f>
        <v>0.833333333333333</v>
      </c>
      <c r="AQ57" s="184" t="n">
        <f aca="false">MIN(1,MAX(0,((YEAR(AQ$6)-YEAR($D$13))*12+MONTH(AQ$6)-MONTH($D$13)+0.5)/MAX($D$56,0.5)))</f>
        <v>0.944444444444444</v>
      </c>
      <c r="AR57" s="184" t="n">
        <f aca="false">MIN(1,MAX(0,((YEAR(AR$6)-YEAR($D$13))*12+MONTH(AR$6)-MONTH($D$13)+0.5)/MAX($D$56,0.5)))</f>
        <v>1</v>
      </c>
      <c r="AS57" s="184" t="n">
        <f aca="false">MIN(1,MAX(0,((YEAR(AS$6)-YEAR($D$13))*12+MONTH(AS$6)-MONTH($D$13)+0.5)/MAX($D$56,0.5)))</f>
        <v>1</v>
      </c>
      <c r="AT57" s="184" t="n">
        <f aca="false">MIN(1,MAX(0,((YEAR(AT$6)-YEAR($D$13))*12+MONTH(AT$6)-MONTH($D$13)+0.5)/MAX($D$56,0.5)))</f>
        <v>1</v>
      </c>
      <c r="AU57" s="184" t="n">
        <f aca="false">MIN(1,MAX(0,((YEAR(AU$6)-YEAR($D$13))*12+MONTH(AU$6)-MONTH($D$13)+0.5)/MAX($D$56,0.5)))</f>
        <v>1</v>
      </c>
      <c r="AV57" s="184" t="n">
        <f aca="false">MIN(1,MAX(0,((YEAR(AV$6)-YEAR($D$13))*12+MONTH(AV$6)-MONTH($D$13)+0.5)/MAX($D$56,0.5)))</f>
        <v>1</v>
      </c>
      <c r="AW57" s="184" t="n">
        <f aca="false">MIN(1,MAX(0,((YEAR(AW$6)-YEAR($D$13))*12+MONTH(AW$6)-MONTH($D$13)+0.5)/MAX($D$56,0.5)))</f>
        <v>1</v>
      </c>
      <c r="AX57" s="184" t="n">
        <f aca="false">MIN(1,MAX(0,((YEAR(AX$6)-YEAR($D$13))*12+MONTH(AX$6)-MONTH($D$13)+0.5)/MAX($D$56,0.5)))</f>
        <v>1</v>
      </c>
      <c r="AY57" s="184" t="n">
        <f aca="false">MIN(1,MAX(0,((YEAR(AY$6)-YEAR($D$13))*12+MONTH(AY$6)-MONTH($D$13)+0.5)/MAX($D$56,0.5)))</f>
        <v>1</v>
      </c>
      <c r="AZ57" s="184" t="n">
        <f aca="false">MIN(1,MAX(0,((YEAR(AZ$6)-YEAR($D$13))*12+MONTH(AZ$6)-MONTH($D$13)+0.5)/MAX($D$56,0.5)))</f>
        <v>1</v>
      </c>
      <c r="BA57" s="184" t="n">
        <f aca="false">MIN(1,MAX(0,((YEAR(BA$6)-YEAR($D$13))*12+MONTH(BA$6)-MONTH($D$13)+0.5)/MAX($D$56,0.5)))</f>
        <v>1</v>
      </c>
      <c r="BB57" s="184" t="n">
        <f aca="false">MIN(1,MAX(0,((YEAR(BB$6)-YEAR($D$13))*12+MONTH(BB$6)-MONTH($D$13)+0.5)/MAX($D$56,0.5)))</f>
        <v>1</v>
      </c>
      <c r="BC57" s="184" t="n">
        <f aca="false">MIN(1,MAX(0,((YEAR(BC$6)-YEAR($D$13))*12+MONTH(BC$6)-MONTH($D$13)+0.5)/MAX($D$56,0.5)))</f>
        <v>1</v>
      </c>
      <c r="BD57" s="184" t="n">
        <f aca="false">MIN(1,MAX(0,((YEAR(BD$6)-YEAR($D$13))*12+MONTH(BD$6)-MONTH($D$13)+0.5)/MAX($D$56,0.5)))</f>
        <v>1</v>
      </c>
      <c r="BE57" s="184" t="n">
        <f aca="false">MIN(1,MAX(0,((YEAR(BE$6)-YEAR($D$13))*12+MONTH(BE$6)-MONTH($D$13)+0.5)/MAX($D$56,0.5)))</f>
        <v>1</v>
      </c>
      <c r="BF57" s="184" t="n">
        <f aca="false">MIN(1,MAX(0,((YEAR(BF$6)-YEAR($D$13))*12+MONTH(BF$6)-MONTH($D$13)+0.5)/MAX($D$56,0.5)))</f>
        <v>1</v>
      </c>
      <c r="BG57" s="184" t="n">
        <f aca="false">MIN(1,MAX(0,((YEAR(BG$6)-YEAR($D$13))*12+MONTH(BG$6)-MONTH($D$13)+0.5)/MAX($D$56,0.5)))</f>
        <v>1</v>
      </c>
      <c r="BH57" s="184" t="n">
        <f aca="false">MIN(1,MAX(0,((YEAR(BH$6)-YEAR($D$13))*12+MONTH(BH$6)-MONTH($D$13)+0.5)/MAX($D$56,0.5)))</f>
        <v>1</v>
      </c>
      <c r="BI57" s="184" t="n">
        <f aca="false">MIN(1,MAX(0,((YEAR(BI$6)-YEAR($D$13))*12+MONTH(BI$6)-MONTH($D$13)+0.5)/MAX($D$56,0.5)))</f>
        <v>1</v>
      </c>
      <c r="BJ57" s="184" t="n">
        <f aca="false">MIN(1,MAX(0,((YEAR(BJ$6)-YEAR($D$13))*12+MONTH(BJ$6)-MONTH($D$13)+0.5)/MAX($D$56,0.5)))</f>
        <v>1</v>
      </c>
      <c r="BK57" s="184" t="n">
        <f aca="false">MIN(1,MAX(0,((YEAR(BK$6)-YEAR($D$13))*12+MONTH(BK$6)-MONTH($D$13)+0.5)/MAX($D$56,0.5)))</f>
        <v>1</v>
      </c>
      <c r="BL57" s="184" t="n">
        <f aca="false">MIN(1,MAX(0,((YEAR(BL$6)-YEAR($D$13))*12+MONTH(BL$6)-MONTH($D$13)+0.5)/MAX($D$56,0.5)))</f>
        <v>1</v>
      </c>
      <c r="BM57" s="184" t="n">
        <f aca="false">MIN(1,MAX(0,((YEAR(BM$6)-YEAR($D$13))*12+MONTH(BM$6)-MONTH($D$13)+0.5)/MAX($D$56,0.5)))</f>
        <v>1</v>
      </c>
      <c r="BN57" s="184" t="n">
        <f aca="false">MIN(1,MAX(0,((YEAR(BN$6)-YEAR($D$13))*12+MONTH(BN$6)-MONTH($D$13)+0.5)/MAX($D$56,0.5)))</f>
        <v>1</v>
      </c>
      <c r="BO57" s="184" t="n">
        <f aca="false">MIN(1,MAX(0,((YEAR(BO$6)-YEAR($D$13))*12+MONTH(BO$6)-MONTH($D$13)+0.5)/MAX($D$56,0.5)))</f>
        <v>1</v>
      </c>
      <c r="BP57" s="184" t="n">
        <f aca="false">MIN(1,MAX(0,((YEAR(BP$6)-YEAR($D$13))*12+MONTH(BP$6)-MONTH($D$13)+0.5)/MAX($D$56,0.5)))</f>
        <v>1</v>
      </c>
      <c r="BQ57" s="184" t="n">
        <f aca="false">MIN(1,MAX(0,((YEAR(BQ$6)-YEAR($D$13))*12+MONTH(BQ$6)-MONTH($D$13)+0.5)/MAX($D$56,0.5)))</f>
        <v>1</v>
      </c>
      <c r="BR57" s="184" t="n">
        <f aca="false">MIN(1,MAX(0,((YEAR(BR$6)-YEAR($D$13))*12+MONTH(BR$6)-MONTH($D$13)+0.5)/MAX($D$56,0.5)))</f>
        <v>1</v>
      </c>
      <c r="BS57" s="184" t="n">
        <f aca="false">MIN(1,MAX(0,((YEAR(BS$6)-YEAR($D$13))*12+MONTH(BS$6)-MONTH($D$13)+0.5)/MAX($D$56,0.5)))</f>
        <v>1</v>
      </c>
      <c r="BT57" s="184" t="n">
        <f aca="false">MIN(1,MAX(0,((YEAR(BT$6)-YEAR($D$13))*12+MONTH(BT$6)-MONTH($D$13)+0.5)/MAX($D$56,0.5)))</f>
        <v>1</v>
      </c>
      <c r="BU57" s="184" t="n">
        <f aca="false">MIN(1,MAX(0,((YEAR(BU$6)-YEAR($D$13))*12+MONTH(BU$6)-MONTH($D$13)+0.5)/MAX($D$56,0.5)))</f>
        <v>1</v>
      </c>
      <c r="BV57" s="184" t="n">
        <f aca="false">MIN(1,MAX(0,((YEAR(BV$6)-YEAR($D$13))*12+MONTH(BV$6)-MONTH($D$13)+0.5)/MAX($D$56,0.5)))</f>
        <v>1</v>
      </c>
      <c r="BW57" s="184" t="n">
        <f aca="false">MIN(1,MAX(0,((YEAR(BW$6)-YEAR($D$13))*12+MONTH(BW$6)-MONTH($D$13)+0.5)/MAX($D$56,0.5)))</f>
        <v>1</v>
      </c>
      <c r="BX57" s="184" t="n">
        <f aca="false">MIN(1,MAX(0,((YEAR(BX$6)-YEAR($D$13))*12+MONTH(BX$6)-MONTH($D$13)+0.5)/MAX($D$56,0.5)))</f>
        <v>1</v>
      </c>
      <c r="BY57" s="184" t="n">
        <f aca="false">MIN(1,MAX(0,((YEAR(BY$6)-YEAR($D$13))*12+MONTH(BY$6)-MONTH($D$13)+0.5)/MAX($D$56,0.5)))</f>
        <v>1</v>
      </c>
      <c r="BZ57" s="184" t="n">
        <f aca="false">MIN(1,MAX(0,((YEAR(BZ$6)-YEAR($D$13))*12+MONTH(BZ$6)-MONTH($D$13)+0.5)/MAX($D$56,0.5)))</f>
        <v>1</v>
      </c>
      <c r="CA57" s="184" t="n">
        <f aca="false">MIN(1,MAX(0,((YEAR(CA$6)-YEAR($D$13))*12+MONTH(CA$6)-MONTH($D$13)+0.5)/MAX($D$56,0.5)))</f>
        <v>1</v>
      </c>
    </row>
    <row r="58" customFormat="false" ht="15" hidden="false" customHeight="false" outlineLevel="0" collapsed="false">
      <c r="B58" s="10" t="s">
        <v>312</v>
      </c>
      <c r="L58" s="184" t="n">
        <f aca="false">SUMIFS($T57:$CA57,$T$5:$CA$5,2026)/12</f>
        <v>0</v>
      </c>
      <c r="M58" s="184" t="n">
        <f aca="false">SUMIFS($T57:$CA57,$T$5:$CA$5,2027)/12</f>
        <v>0.375</v>
      </c>
      <c r="N58" s="184" t="n">
        <f aca="false">SUMIFS($T57:$CA57,$T$5:$CA$5,2028)/12</f>
        <v>1</v>
      </c>
      <c r="O58" s="184" t="n">
        <f aca="false">SUMIFS($T57:$CA57,$T$5:$CA$5,2029)/12</f>
        <v>1</v>
      </c>
      <c r="P58" s="184" t="n">
        <f aca="false">SUMIFS($T57:$CA57,$T$5:$CA$5,2030)/12</f>
        <v>1</v>
      </c>
    </row>
    <row r="60" customFormat="false" ht="18" hidden="false" customHeight="true" outlineLevel="0" collapsed="false">
      <c r="B60" s="5" t="s">
        <v>313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2" customFormat="false" ht="15" hidden="false" customHeight="false" outlineLevel="0" collapsed="false">
      <c r="B62" s="185" t="s">
        <v>314</v>
      </c>
      <c r="D62" s="169" t="s">
        <v>315</v>
      </c>
      <c r="K62" s="186" t="s">
        <v>245</v>
      </c>
    </row>
    <row r="63" customFormat="false" ht="15" hidden="false" customHeight="false" outlineLevel="0" collapsed="false">
      <c r="B63" s="10" t="s">
        <v>316</v>
      </c>
      <c r="D63" s="187" t="n">
        <f aca="false">$D$49/1000000</f>
        <v>0</v>
      </c>
      <c r="K63" s="187" t="n">
        <f aca="false">SUMIFS($T63:$CA63,$T$5:$CA$5,2030)</f>
        <v>0</v>
      </c>
      <c r="L63" s="187" t="n">
        <f aca="false">SUMIFS($T63:$CA63,$T$5:$CA$5,2026)</f>
        <v>0</v>
      </c>
      <c r="M63" s="187" t="n">
        <f aca="false">SUMIFS($T63:$CA63,$T$5:$CA$5,2027)</f>
        <v>0</v>
      </c>
      <c r="N63" s="187" t="n">
        <f aca="false">SUMIFS($T63:$CA63,$T$5:$CA$5,2028)</f>
        <v>0</v>
      </c>
      <c r="O63" s="187" t="n">
        <f aca="false">SUMIFS($T63:$CA63,$T$5:$CA$5,2029)</f>
        <v>0</v>
      </c>
      <c r="P63" s="187" t="n">
        <f aca="false">SUMIFS($T63:$CA63,$T$5:$CA$5,2030)</f>
        <v>0</v>
      </c>
      <c r="R63" s="10"/>
      <c r="T63" s="187" t="n">
        <f aca="false">($D$50)/1000000/12*T$57</f>
        <v>0</v>
      </c>
      <c r="U63" s="187" t="n">
        <f aca="false">($D$50)/1000000/12*U$57</f>
        <v>0</v>
      </c>
      <c r="V63" s="187" t="n">
        <f aca="false">($D$50)/1000000/12*V$57</f>
        <v>0</v>
      </c>
      <c r="W63" s="187" t="n">
        <f aca="false">($D$50)/1000000/12*W$57</f>
        <v>0</v>
      </c>
      <c r="X63" s="187" t="n">
        <f aca="false">($D$50)/1000000/12*X$57</f>
        <v>0</v>
      </c>
      <c r="Y63" s="187" t="n">
        <f aca="false">($D$50)/1000000/12*Y$57</f>
        <v>0</v>
      </c>
      <c r="Z63" s="187" t="n">
        <f aca="false">($D$50)/1000000/12*Z$57</f>
        <v>0</v>
      </c>
      <c r="AA63" s="187" t="n">
        <f aca="false">($D$50)/1000000/12*AA$57</f>
        <v>0</v>
      </c>
      <c r="AB63" s="187" t="n">
        <f aca="false">($D$50)/1000000/12*AB$57</f>
        <v>0</v>
      </c>
      <c r="AC63" s="187" t="n">
        <f aca="false">($D$50)/1000000/12*AC$57</f>
        <v>0</v>
      </c>
      <c r="AD63" s="187" t="n">
        <f aca="false">($D$50)/1000000/12*AD$57</f>
        <v>0</v>
      </c>
      <c r="AE63" s="187" t="n">
        <f aca="false">($D$50)/1000000/12*AE$57</f>
        <v>0</v>
      </c>
      <c r="AF63" s="187" t="n">
        <f aca="false">($D$50)/1000000/12*AF$57</f>
        <v>0</v>
      </c>
      <c r="AG63" s="187" t="n">
        <f aca="false">($D$50)/1000000/12*AG$57</f>
        <v>0</v>
      </c>
      <c r="AH63" s="187" t="n">
        <f aca="false">($D$50)/1000000/12*AH$57</f>
        <v>0</v>
      </c>
      <c r="AI63" s="187" t="n">
        <f aca="false">($D$50)/1000000/12*AI$57</f>
        <v>0</v>
      </c>
      <c r="AJ63" s="187" t="n">
        <f aca="false">($D$50)/1000000/12*AJ$57</f>
        <v>0</v>
      </c>
      <c r="AK63" s="187" t="n">
        <f aca="false">($D$50)/1000000/12*AK$57</f>
        <v>0</v>
      </c>
      <c r="AL63" s="187" t="n">
        <f aca="false">($D$50)/1000000/12*AL$57</f>
        <v>0</v>
      </c>
      <c r="AM63" s="187" t="n">
        <f aca="false">($D$50)/1000000/12*AM$57</f>
        <v>0</v>
      </c>
      <c r="AN63" s="187" t="n">
        <f aca="false">($D$50)/1000000/12*AN$57</f>
        <v>0</v>
      </c>
      <c r="AO63" s="187" t="n">
        <f aca="false">($D$50)/1000000/12*AO$57</f>
        <v>0</v>
      </c>
      <c r="AP63" s="187" t="n">
        <f aca="false">($D$50)/1000000/12*AP$57</f>
        <v>0</v>
      </c>
      <c r="AQ63" s="187" t="n">
        <f aca="false">($D$50)/1000000/12*AQ$57</f>
        <v>0</v>
      </c>
      <c r="AR63" s="187" t="n">
        <f aca="false">($D$50)/1000000/12*AR$57</f>
        <v>0</v>
      </c>
      <c r="AS63" s="187" t="n">
        <f aca="false">($D$50)/1000000/12*AS$57</f>
        <v>0</v>
      </c>
      <c r="AT63" s="187" t="n">
        <f aca="false">($D$50)/1000000/12*AT$57</f>
        <v>0</v>
      </c>
      <c r="AU63" s="187" t="n">
        <f aca="false">($D$50)/1000000/12*AU$57</f>
        <v>0</v>
      </c>
      <c r="AV63" s="187" t="n">
        <f aca="false">($D$50)/1000000/12*AV$57</f>
        <v>0</v>
      </c>
      <c r="AW63" s="187" t="n">
        <f aca="false">($D$50)/1000000/12*AW$57</f>
        <v>0</v>
      </c>
      <c r="AX63" s="187" t="n">
        <f aca="false">($D$50)/1000000/12*AX$57</f>
        <v>0</v>
      </c>
      <c r="AY63" s="187" t="n">
        <f aca="false">($D$50)/1000000/12*AY$57</f>
        <v>0</v>
      </c>
      <c r="AZ63" s="187" t="n">
        <f aca="false">($D$50)/1000000/12*AZ$57</f>
        <v>0</v>
      </c>
      <c r="BA63" s="187" t="n">
        <f aca="false">($D$50)/1000000/12*BA$57</f>
        <v>0</v>
      </c>
      <c r="BB63" s="187" t="n">
        <f aca="false">($D$50)/1000000/12*BB$57</f>
        <v>0</v>
      </c>
      <c r="BC63" s="187" t="n">
        <f aca="false">($D$50)/1000000/12*BC$57</f>
        <v>0</v>
      </c>
      <c r="BD63" s="187" t="n">
        <f aca="false">($D$50)/1000000/12*BD$57</f>
        <v>0</v>
      </c>
      <c r="BE63" s="187" t="n">
        <f aca="false">($D$50)/1000000/12*BE$57</f>
        <v>0</v>
      </c>
      <c r="BF63" s="187" t="n">
        <f aca="false">($D$50)/1000000/12*BF$57</f>
        <v>0</v>
      </c>
      <c r="BG63" s="187" t="n">
        <f aca="false">($D$50)/1000000/12*BG$57</f>
        <v>0</v>
      </c>
      <c r="BH63" s="187" t="n">
        <f aca="false">($D$50)/1000000/12*BH$57</f>
        <v>0</v>
      </c>
      <c r="BI63" s="187" t="n">
        <f aca="false">($D$50)/1000000/12*BI$57</f>
        <v>0</v>
      </c>
      <c r="BJ63" s="187" t="n">
        <f aca="false">($D$50)/1000000/12*BJ$57</f>
        <v>0</v>
      </c>
      <c r="BK63" s="187" t="n">
        <f aca="false">($D$50)/1000000/12*BK$57</f>
        <v>0</v>
      </c>
      <c r="BL63" s="187" t="n">
        <f aca="false">($D$50)/1000000/12*BL$57</f>
        <v>0</v>
      </c>
      <c r="BM63" s="187" t="n">
        <f aca="false">($D$50)/1000000/12*BM$57</f>
        <v>0</v>
      </c>
      <c r="BN63" s="187" t="n">
        <f aca="false">($D$50)/1000000/12*BN$57</f>
        <v>0</v>
      </c>
      <c r="BO63" s="187" t="n">
        <f aca="false">($D$50)/1000000/12*BO$57</f>
        <v>0</v>
      </c>
      <c r="BP63" s="187" t="n">
        <f aca="false">($D$50)/1000000/12*BP$57</f>
        <v>0</v>
      </c>
      <c r="BQ63" s="187" t="n">
        <f aca="false">($D$50)/1000000/12*BQ$57</f>
        <v>0</v>
      </c>
      <c r="BR63" s="187" t="n">
        <f aca="false">($D$50)/1000000/12*BR$57</f>
        <v>0</v>
      </c>
      <c r="BS63" s="187" t="n">
        <f aca="false">($D$50)/1000000/12*BS$57</f>
        <v>0</v>
      </c>
      <c r="BT63" s="187" t="n">
        <f aca="false">($D$50)/1000000/12*BT$57</f>
        <v>0</v>
      </c>
      <c r="BU63" s="187" t="n">
        <f aca="false">($D$50)/1000000/12*BU$57</f>
        <v>0</v>
      </c>
      <c r="BV63" s="187" t="n">
        <f aca="false">($D$50)/1000000/12*BV$57</f>
        <v>0</v>
      </c>
      <c r="BW63" s="187" t="n">
        <f aca="false">($D$50)/1000000/12*BW$57</f>
        <v>0</v>
      </c>
      <c r="BX63" s="187" t="n">
        <f aca="false">($D$50)/1000000/12*BX$57</f>
        <v>0</v>
      </c>
      <c r="BY63" s="187" t="n">
        <f aca="false">($D$50)/1000000/12*BY$57</f>
        <v>0</v>
      </c>
      <c r="BZ63" s="187" t="n">
        <f aca="false">($D$50)/1000000/12*BZ$57</f>
        <v>0</v>
      </c>
      <c r="CA63" s="187" t="n">
        <f aca="false">($D$50)/1000000/12*CA$57</f>
        <v>0</v>
      </c>
    </row>
    <row r="64" customFormat="false" ht="15" hidden="false" customHeight="false" outlineLevel="0" collapsed="false">
      <c r="B64" s="10" t="s">
        <v>317</v>
      </c>
      <c r="D64" s="187" t="n">
        <f aca="false">$D$49/1000000</f>
        <v>0</v>
      </c>
      <c r="K64" s="187" t="n">
        <f aca="false">SUMIFS($T64:$CA64,$T$5:$CA$5,2030)</f>
        <v>0</v>
      </c>
      <c r="L64" s="187" t="n">
        <f aca="false">SUMIFS($T64:$CA64,$T$5:$CA$5,2026)</f>
        <v>0</v>
      </c>
      <c r="M64" s="187" t="n">
        <f aca="false">SUMIFS($T64:$CA64,$T$5:$CA$5,2027)</f>
        <v>0</v>
      </c>
      <c r="N64" s="187" t="n">
        <f aca="false">SUMIFS($T64:$CA64,$T$5:$CA$5,2028)</f>
        <v>0</v>
      </c>
      <c r="O64" s="187" t="n">
        <f aca="false">SUMIFS($T64:$CA64,$T$5:$CA$5,2029)</f>
        <v>0</v>
      </c>
      <c r="P64" s="187" t="n">
        <f aca="false">SUMIFS($T64:$CA64,$T$5:$CA$5,2030)</f>
        <v>0</v>
      </c>
      <c r="R64" s="10"/>
      <c r="T64" s="187" t="n">
        <f aca="false">($D$51)/1000000/12*T$57</f>
        <v>0</v>
      </c>
      <c r="U64" s="187" t="n">
        <f aca="false">($D$51)/1000000/12*U$57</f>
        <v>0</v>
      </c>
      <c r="V64" s="187" t="n">
        <f aca="false">($D$51)/1000000/12*V$57</f>
        <v>0</v>
      </c>
      <c r="W64" s="187" t="n">
        <f aca="false">($D$51)/1000000/12*W$57</f>
        <v>0</v>
      </c>
      <c r="X64" s="187" t="n">
        <f aca="false">($D$51)/1000000/12*X$57</f>
        <v>0</v>
      </c>
      <c r="Y64" s="187" t="n">
        <f aca="false">($D$51)/1000000/12*Y$57</f>
        <v>0</v>
      </c>
      <c r="Z64" s="187" t="n">
        <f aca="false">($D$51)/1000000/12*Z$57</f>
        <v>0</v>
      </c>
      <c r="AA64" s="187" t="n">
        <f aca="false">($D$51)/1000000/12*AA$57</f>
        <v>0</v>
      </c>
      <c r="AB64" s="187" t="n">
        <f aca="false">($D$51)/1000000/12*AB$57</f>
        <v>0</v>
      </c>
      <c r="AC64" s="187" t="n">
        <f aca="false">($D$51)/1000000/12*AC$57</f>
        <v>0</v>
      </c>
      <c r="AD64" s="187" t="n">
        <f aca="false">($D$51)/1000000/12*AD$57</f>
        <v>0</v>
      </c>
      <c r="AE64" s="187" t="n">
        <f aca="false">($D$51)/1000000/12*AE$57</f>
        <v>0</v>
      </c>
      <c r="AF64" s="187" t="n">
        <f aca="false">($D$51)/1000000/12*AF$57</f>
        <v>0</v>
      </c>
      <c r="AG64" s="187" t="n">
        <f aca="false">($D$51)/1000000/12*AG$57</f>
        <v>0</v>
      </c>
      <c r="AH64" s="187" t="n">
        <f aca="false">($D$51)/1000000/12*AH$57</f>
        <v>0</v>
      </c>
      <c r="AI64" s="187" t="n">
        <f aca="false">($D$51)/1000000/12*AI$57</f>
        <v>0</v>
      </c>
      <c r="AJ64" s="187" t="n">
        <f aca="false">($D$51)/1000000/12*AJ$57</f>
        <v>0</v>
      </c>
      <c r="AK64" s="187" t="n">
        <f aca="false">($D$51)/1000000/12*AK$57</f>
        <v>0</v>
      </c>
      <c r="AL64" s="187" t="n">
        <f aca="false">($D$51)/1000000/12*AL$57</f>
        <v>0</v>
      </c>
      <c r="AM64" s="187" t="n">
        <f aca="false">($D$51)/1000000/12*AM$57</f>
        <v>0</v>
      </c>
      <c r="AN64" s="187" t="n">
        <f aca="false">($D$51)/1000000/12*AN$57</f>
        <v>0</v>
      </c>
      <c r="AO64" s="187" t="n">
        <f aca="false">($D$51)/1000000/12*AO$57</f>
        <v>0</v>
      </c>
      <c r="AP64" s="187" t="n">
        <f aca="false">($D$51)/1000000/12*AP$57</f>
        <v>0</v>
      </c>
      <c r="AQ64" s="187" t="n">
        <f aca="false">($D$51)/1000000/12*AQ$57</f>
        <v>0</v>
      </c>
      <c r="AR64" s="187" t="n">
        <f aca="false">($D$51)/1000000/12*AR$57</f>
        <v>0</v>
      </c>
      <c r="AS64" s="187" t="n">
        <f aca="false">($D$51)/1000000/12*AS$57</f>
        <v>0</v>
      </c>
      <c r="AT64" s="187" t="n">
        <f aca="false">($D$51)/1000000/12*AT$57</f>
        <v>0</v>
      </c>
      <c r="AU64" s="187" t="n">
        <f aca="false">($D$51)/1000000/12*AU$57</f>
        <v>0</v>
      </c>
      <c r="AV64" s="187" t="n">
        <f aca="false">($D$51)/1000000/12*AV$57</f>
        <v>0</v>
      </c>
      <c r="AW64" s="187" t="n">
        <f aca="false">($D$51)/1000000/12*AW$57</f>
        <v>0</v>
      </c>
      <c r="AX64" s="187" t="n">
        <f aca="false">($D$51)/1000000/12*AX$57</f>
        <v>0</v>
      </c>
      <c r="AY64" s="187" t="n">
        <f aca="false">($D$51)/1000000/12*AY$57</f>
        <v>0</v>
      </c>
      <c r="AZ64" s="187" t="n">
        <f aca="false">($D$51)/1000000/12*AZ$57</f>
        <v>0</v>
      </c>
      <c r="BA64" s="187" t="n">
        <f aca="false">($D$51)/1000000/12*BA$57</f>
        <v>0</v>
      </c>
      <c r="BB64" s="187" t="n">
        <f aca="false">($D$51)/1000000/12*BB$57</f>
        <v>0</v>
      </c>
      <c r="BC64" s="187" t="n">
        <f aca="false">($D$51)/1000000/12*BC$57</f>
        <v>0</v>
      </c>
      <c r="BD64" s="187" t="n">
        <f aca="false">($D$51)/1000000/12*BD$57</f>
        <v>0</v>
      </c>
      <c r="BE64" s="187" t="n">
        <f aca="false">($D$51)/1000000/12*BE$57</f>
        <v>0</v>
      </c>
      <c r="BF64" s="187" t="n">
        <f aca="false">($D$51)/1000000/12*BF$57</f>
        <v>0</v>
      </c>
      <c r="BG64" s="187" t="n">
        <f aca="false">($D$51)/1000000/12*BG$57</f>
        <v>0</v>
      </c>
      <c r="BH64" s="187" t="n">
        <f aca="false">($D$51)/1000000/12*BH$57</f>
        <v>0</v>
      </c>
      <c r="BI64" s="187" t="n">
        <f aca="false">($D$51)/1000000/12*BI$57</f>
        <v>0</v>
      </c>
      <c r="BJ64" s="187" t="n">
        <f aca="false">($D$51)/1000000/12*BJ$57</f>
        <v>0</v>
      </c>
      <c r="BK64" s="187" t="n">
        <f aca="false">($D$51)/1000000/12*BK$57</f>
        <v>0</v>
      </c>
      <c r="BL64" s="187" t="n">
        <f aca="false">($D$51)/1000000/12*BL$57</f>
        <v>0</v>
      </c>
      <c r="BM64" s="187" t="n">
        <f aca="false">($D$51)/1000000/12*BM$57</f>
        <v>0</v>
      </c>
      <c r="BN64" s="187" t="n">
        <f aca="false">($D$51)/1000000/12*BN$57</f>
        <v>0</v>
      </c>
      <c r="BO64" s="187" t="n">
        <f aca="false">($D$51)/1000000/12*BO$57</f>
        <v>0</v>
      </c>
      <c r="BP64" s="187" t="n">
        <f aca="false">($D$51)/1000000/12*BP$57</f>
        <v>0</v>
      </c>
      <c r="BQ64" s="187" t="n">
        <f aca="false">($D$51)/1000000/12*BQ$57</f>
        <v>0</v>
      </c>
      <c r="BR64" s="187" t="n">
        <f aca="false">($D$51)/1000000/12*BR$57</f>
        <v>0</v>
      </c>
      <c r="BS64" s="187" t="n">
        <f aca="false">($D$51)/1000000/12*BS$57</f>
        <v>0</v>
      </c>
      <c r="BT64" s="187" t="n">
        <f aca="false">($D$51)/1000000/12*BT$57</f>
        <v>0</v>
      </c>
      <c r="BU64" s="187" t="n">
        <f aca="false">($D$51)/1000000/12*BU$57</f>
        <v>0</v>
      </c>
      <c r="BV64" s="187" t="n">
        <f aca="false">($D$51)/1000000/12*BV$57</f>
        <v>0</v>
      </c>
      <c r="BW64" s="187" t="n">
        <f aca="false">($D$51)/1000000/12*BW$57</f>
        <v>0</v>
      </c>
      <c r="BX64" s="187" t="n">
        <f aca="false">($D$51)/1000000/12*BX$57</f>
        <v>0</v>
      </c>
      <c r="BY64" s="187" t="n">
        <f aca="false">($D$51)/1000000/12*BY$57</f>
        <v>0</v>
      </c>
      <c r="BZ64" s="187" t="n">
        <f aca="false">($D$51)/1000000/12*BZ$57</f>
        <v>0</v>
      </c>
      <c r="CA64" s="187" t="n">
        <f aca="false">($D$51)/1000000/12*CA$57</f>
        <v>0</v>
      </c>
    </row>
    <row r="65" customFormat="false" ht="15" hidden="false" customHeight="false" outlineLevel="0" collapsed="false">
      <c r="B65" s="10" t="s">
        <v>318</v>
      </c>
      <c r="D65" s="187" t="n">
        <f aca="false">$D$28*$D$29/1000000</f>
        <v>0</v>
      </c>
      <c r="K65" s="187" t="n">
        <f aca="false">SUMIFS($T65:$CA65,$T$5:$CA$5,2030)</f>
        <v>0</v>
      </c>
      <c r="L65" s="187" t="n">
        <f aca="false">SUMIFS($T65:$CA65,$T$5:$CA$5,2026)</f>
        <v>0</v>
      </c>
      <c r="M65" s="187" t="n">
        <f aca="false">SUMIFS($T65:$CA65,$T$5:$CA$5,2027)</f>
        <v>0</v>
      </c>
      <c r="N65" s="187" t="n">
        <f aca="false">SUMIFS($T65:$CA65,$T$5:$CA$5,2028)</f>
        <v>0</v>
      </c>
      <c r="O65" s="187" t="n">
        <f aca="false">SUMIFS($T65:$CA65,$T$5:$CA$5,2029)</f>
        <v>0</v>
      </c>
      <c r="P65" s="187" t="n">
        <f aca="false">SUMIFS($T65:$CA65,$T$5:$CA$5,2030)</f>
        <v>0</v>
      </c>
      <c r="R65" s="10"/>
      <c r="T65" s="187" t="n">
        <f aca="false">($D$52)/1000000/12*T$57</f>
        <v>0</v>
      </c>
      <c r="U65" s="187" t="n">
        <f aca="false">($D$52)/1000000/12*U$57</f>
        <v>0</v>
      </c>
      <c r="V65" s="187" t="n">
        <f aca="false">($D$52)/1000000/12*V$57</f>
        <v>0</v>
      </c>
      <c r="W65" s="187" t="n">
        <f aca="false">($D$52)/1000000/12*W$57</f>
        <v>0</v>
      </c>
      <c r="X65" s="187" t="n">
        <f aca="false">($D$52)/1000000/12*X$57</f>
        <v>0</v>
      </c>
      <c r="Y65" s="187" t="n">
        <f aca="false">($D$52)/1000000/12*Y$57</f>
        <v>0</v>
      </c>
      <c r="Z65" s="187" t="n">
        <f aca="false">($D$52)/1000000/12*Z$57</f>
        <v>0</v>
      </c>
      <c r="AA65" s="187" t="n">
        <f aca="false">($D$52)/1000000/12*AA$57</f>
        <v>0</v>
      </c>
      <c r="AB65" s="187" t="n">
        <f aca="false">($D$52)/1000000/12*AB$57</f>
        <v>0</v>
      </c>
      <c r="AC65" s="187" t="n">
        <f aca="false">($D$52)/1000000/12*AC$57</f>
        <v>0</v>
      </c>
      <c r="AD65" s="187" t="n">
        <f aca="false">($D$52)/1000000/12*AD$57</f>
        <v>0</v>
      </c>
      <c r="AE65" s="187" t="n">
        <f aca="false">($D$52)/1000000/12*AE$57</f>
        <v>0</v>
      </c>
      <c r="AF65" s="187" t="n">
        <f aca="false">($D$52)/1000000/12*AF$57</f>
        <v>0</v>
      </c>
      <c r="AG65" s="187" t="n">
        <f aca="false">($D$52)/1000000/12*AG$57</f>
        <v>0</v>
      </c>
      <c r="AH65" s="187" t="n">
        <f aca="false">($D$52)/1000000/12*AH$57</f>
        <v>0</v>
      </c>
      <c r="AI65" s="187" t="n">
        <f aca="false">($D$52)/1000000/12*AI$57</f>
        <v>0</v>
      </c>
      <c r="AJ65" s="187" t="n">
        <f aca="false">($D$52)/1000000/12*AJ$57</f>
        <v>0</v>
      </c>
      <c r="AK65" s="187" t="n">
        <f aca="false">($D$52)/1000000/12*AK$57</f>
        <v>0</v>
      </c>
      <c r="AL65" s="187" t="n">
        <f aca="false">($D$52)/1000000/12*AL$57</f>
        <v>0</v>
      </c>
      <c r="AM65" s="187" t="n">
        <f aca="false">($D$52)/1000000/12*AM$57</f>
        <v>0</v>
      </c>
      <c r="AN65" s="187" t="n">
        <f aca="false">($D$52)/1000000/12*AN$57</f>
        <v>0</v>
      </c>
      <c r="AO65" s="187" t="n">
        <f aca="false">($D$52)/1000000/12*AO$57</f>
        <v>0</v>
      </c>
      <c r="AP65" s="187" t="n">
        <f aca="false">($D$52)/1000000/12*AP$57</f>
        <v>0</v>
      </c>
      <c r="AQ65" s="187" t="n">
        <f aca="false">($D$52)/1000000/12*AQ$57</f>
        <v>0</v>
      </c>
      <c r="AR65" s="187" t="n">
        <f aca="false">($D$52)/1000000/12*AR$57</f>
        <v>0</v>
      </c>
      <c r="AS65" s="187" t="n">
        <f aca="false">($D$52)/1000000/12*AS$57</f>
        <v>0</v>
      </c>
      <c r="AT65" s="187" t="n">
        <f aca="false">($D$52)/1000000/12*AT$57</f>
        <v>0</v>
      </c>
      <c r="AU65" s="187" t="n">
        <f aca="false">($D$52)/1000000/12*AU$57</f>
        <v>0</v>
      </c>
      <c r="AV65" s="187" t="n">
        <f aca="false">($D$52)/1000000/12*AV$57</f>
        <v>0</v>
      </c>
      <c r="AW65" s="187" t="n">
        <f aca="false">($D$52)/1000000/12*AW$57</f>
        <v>0</v>
      </c>
      <c r="AX65" s="187" t="n">
        <f aca="false">($D$52)/1000000/12*AX$57</f>
        <v>0</v>
      </c>
      <c r="AY65" s="187" t="n">
        <f aca="false">($D$52)/1000000/12*AY$57</f>
        <v>0</v>
      </c>
      <c r="AZ65" s="187" t="n">
        <f aca="false">($D$52)/1000000/12*AZ$57</f>
        <v>0</v>
      </c>
      <c r="BA65" s="187" t="n">
        <f aca="false">($D$52)/1000000/12*BA$57</f>
        <v>0</v>
      </c>
      <c r="BB65" s="187" t="n">
        <f aca="false">($D$52)/1000000/12*BB$57</f>
        <v>0</v>
      </c>
      <c r="BC65" s="187" t="n">
        <f aca="false">($D$52)/1000000/12*BC$57</f>
        <v>0</v>
      </c>
      <c r="BD65" s="187" t="n">
        <f aca="false">($D$52)/1000000/12*BD$57</f>
        <v>0</v>
      </c>
      <c r="BE65" s="187" t="n">
        <f aca="false">($D$52)/1000000/12*BE$57</f>
        <v>0</v>
      </c>
      <c r="BF65" s="187" t="n">
        <f aca="false">($D$52)/1000000/12*BF$57</f>
        <v>0</v>
      </c>
      <c r="BG65" s="187" t="n">
        <f aca="false">($D$52)/1000000/12*BG$57</f>
        <v>0</v>
      </c>
      <c r="BH65" s="187" t="n">
        <f aca="false">($D$52)/1000000/12*BH$57</f>
        <v>0</v>
      </c>
      <c r="BI65" s="187" t="n">
        <f aca="false">($D$52)/1000000/12*BI$57</f>
        <v>0</v>
      </c>
      <c r="BJ65" s="187" t="n">
        <f aca="false">($D$52)/1000000/12*BJ$57</f>
        <v>0</v>
      </c>
      <c r="BK65" s="187" t="n">
        <f aca="false">($D$52)/1000000/12*BK$57</f>
        <v>0</v>
      </c>
      <c r="BL65" s="187" t="n">
        <f aca="false">($D$52)/1000000/12*BL$57</f>
        <v>0</v>
      </c>
      <c r="BM65" s="187" t="n">
        <f aca="false">($D$52)/1000000/12*BM$57</f>
        <v>0</v>
      </c>
      <c r="BN65" s="187" t="n">
        <f aca="false">($D$52)/1000000/12*BN$57</f>
        <v>0</v>
      </c>
      <c r="BO65" s="187" t="n">
        <f aca="false">($D$52)/1000000/12*BO$57</f>
        <v>0</v>
      </c>
      <c r="BP65" s="187" t="n">
        <f aca="false">($D$52)/1000000/12*BP$57</f>
        <v>0</v>
      </c>
      <c r="BQ65" s="187" t="n">
        <f aca="false">($D$52)/1000000/12*BQ$57</f>
        <v>0</v>
      </c>
      <c r="BR65" s="187" t="n">
        <f aca="false">($D$52)/1000000/12*BR$57</f>
        <v>0</v>
      </c>
      <c r="BS65" s="187" t="n">
        <f aca="false">($D$52)/1000000/12*BS$57</f>
        <v>0</v>
      </c>
      <c r="BT65" s="187" t="n">
        <f aca="false">($D$52)/1000000/12*BT$57</f>
        <v>0</v>
      </c>
      <c r="BU65" s="187" t="n">
        <f aca="false">($D$52)/1000000/12*BU$57</f>
        <v>0</v>
      </c>
      <c r="BV65" s="187" t="n">
        <f aca="false">($D$52)/1000000/12*BV$57</f>
        <v>0</v>
      </c>
      <c r="BW65" s="187" t="n">
        <f aca="false">($D$52)/1000000/12*BW$57</f>
        <v>0</v>
      </c>
      <c r="BX65" s="187" t="n">
        <f aca="false">($D$52)/1000000/12*BX$57</f>
        <v>0</v>
      </c>
      <c r="BY65" s="187" t="n">
        <f aca="false">($D$52)/1000000/12*BY$57</f>
        <v>0</v>
      </c>
      <c r="BZ65" s="187" t="n">
        <f aca="false">($D$52)/1000000/12*BZ$57</f>
        <v>0</v>
      </c>
      <c r="CA65" s="187" t="n">
        <f aca="false">($D$52)/1000000/12*CA$57</f>
        <v>0</v>
      </c>
    </row>
    <row r="66" customFormat="false" ht="15" hidden="false" customHeight="false" outlineLevel="0" collapsed="false">
      <c r="B66" s="3" t="s">
        <v>319</v>
      </c>
      <c r="K66" s="187" t="n">
        <f aca="false">SUM(K63:K65)</f>
        <v>0</v>
      </c>
      <c r="L66" s="187" t="n">
        <f aca="false">SUM(L63:L65)</f>
        <v>0</v>
      </c>
      <c r="M66" s="187" t="n">
        <f aca="false">SUM(M63:M65)</f>
        <v>0</v>
      </c>
      <c r="N66" s="187" t="n">
        <f aca="false">SUM(N63:N65)</f>
        <v>0</v>
      </c>
      <c r="O66" s="187" t="n">
        <f aca="false">SUM(O63:O65)</f>
        <v>0</v>
      </c>
      <c r="P66" s="187" t="n">
        <f aca="false">SUM(P63:P65)</f>
        <v>0</v>
      </c>
    </row>
    <row r="68" customFormat="false" ht="18" hidden="false" customHeight="true" outlineLevel="0" collapsed="false">
      <c r="B68" s="5" t="s">
        <v>320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70" customFormat="false" ht="22.35" hidden="false" customHeight="false" outlineLevel="0" collapsed="false">
      <c r="B70" s="169" t="s">
        <v>212</v>
      </c>
      <c r="C70" s="169" t="s">
        <v>321</v>
      </c>
      <c r="D70" s="169" t="s">
        <v>322</v>
      </c>
      <c r="E70" s="169" t="s">
        <v>323</v>
      </c>
      <c r="F70" s="169" t="s">
        <v>324</v>
      </c>
      <c r="G70" s="169" t="s">
        <v>325</v>
      </c>
      <c r="H70" s="169" t="s">
        <v>326</v>
      </c>
      <c r="I70" s="169" t="s">
        <v>327</v>
      </c>
      <c r="K70" s="169" t="s">
        <v>328</v>
      </c>
    </row>
    <row r="71" customFormat="false" ht="30" hidden="false" customHeight="true" outlineLevel="0" collapsed="false">
      <c r="C71" s="188" t="s">
        <v>329</v>
      </c>
      <c r="E71" s="188" t="s">
        <v>330</v>
      </c>
      <c r="F71" s="188" t="s">
        <v>331</v>
      </c>
      <c r="G71" s="188" t="s">
        <v>332</v>
      </c>
      <c r="I71" s="188" t="s">
        <v>333</v>
      </c>
    </row>
    <row r="72" customFormat="false" ht="42" hidden="false" customHeight="true" outlineLevel="0" collapsed="false">
      <c r="B72" s="189" t="s">
        <v>215</v>
      </c>
      <c r="C72" s="190" t="s">
        <v>334</v>
      </c>
      <c r="D72" s="191" t="n">
        <v>4</v>
      </c>
      <c r="E72" s="191" t="n">
        <v>2</v>
      </c>
      <c r="F72" s="168" t="n">
        <v>0.1</v>
      </c>
      <c r="G72" s="159" t="n">
        <f aca="false">D72*E72*IF(K72="",'Rate Card'!$G$29,K72)*(1+F72)</f>
        <v>131633.333333333</v>
      </c>
      <c r="H72" s="178" t="n">
        <f aca="false">DATE(2026,10,1)</f>
        <v>46296</v>
      </c>
      <c r="I72" s="192" t="n">
        <f aca="false">'Rate Card'!$C$45</f>
        <v>0</v>
      </c>
      <c r="K72" s="158"/>
    </row>
    <row r="73" customFormat="false" ht="42" hidden="false" customHeight="true" outlineLevel="0" collapsed="false">
      <c r="B73" s="189" t="s">
        <v>216</v>
      </c>
      <c r="C73" s="190" t="s">
        <v>335</v>
      </c>
      <c r="D73" s="191" t="n">
        <v>8</v>
      </c>
      <c r="E73" s="191" t="n">
        <v>5</v>
      </c>
      <c r="F73" s="168" t="n">
        <v>0.1</v>
      </c>
      <c r="G73" s="159" t="n">
        <f aca="false">D73*E73*IF(K73="",'Rate Card'!$G$29,K73)*(1+F73)</f>
        <v>658166.666666667</v>
      </c>
      <c r="H73" s="178" t="n">
        <f aca="false">DATE(2026,12,1)</f>
        <v>46357</v>
      </c>
      <c r="I73" s="192" t="n">
        <f aca="false">'Rate Card'!$C$46</f>
        <v>0.8</v>
      </c>
      <c r="K73" s="158"/>
    </row>
    <row r="74" customFormat="false" ht="42" hidden="false" customHeight="true" outlineLevel="0" collapsed="false">
      <c r="B74" s="189" t="s">
        <v>217</v>
      </c>
      <c r="C74" s="190" t="s">
        <v>336</v>
      </c>
      <c r="D74" s="191" t="n">
        <v>5</v>
      </c>
      <c r="E74" s="191" t="n">
        <v>6</v>
      </c>
      <c r="F74" s="168" t="n">
        <v>0.1</v>
      </c>
      <c r="G74" s="159" t="n">
        <f aca="false">D74*E74*IF(K74="",'Rate Card'!$G$29,K74)*(1+F74)</f>
        <v>493625</v>
      </c>
      <c r="H74" s="178" t="n">
        <f aca="false">DATE(2027,4,1)</f>
        <v>46478</v>
      </c>
      <c r="I74" s="192" t="n">
        <f aca="false">'Rate Card'!$C$47</f>
        <v>0</v>
      </c>
      <c r="K74" s="158"/>
    </row>
    <row r="75" customFormat="false" ht="42" hidden="false" customHeight="true" outlineLevel="0" collapsed="false">
      <c r="B75" s="189" t="s">
        <v>218</v>
      </c>
      <c r="C75" s="190" t="s">
        <v>337</v>
      </c>
      <c r="D75" s="191" t="n">
        <v>0</v>
      </c>
      <c r="E75" s="191" t="n">
        <v>0</v>
      </c>
      <c r="F75" s="168" t="n">
        <v>0.1</v>
      </c>
      <c r="G75" s="159" t="n">
        <f aca="false">D75*E75*IF(K75="",'Rate Card'!$G$29,K75)*(1+F75)</f>
        <v>0</v>
      </c>
      <c r="H75" s="178" t="n">
        <f aca="false">DATE(2027,10,1)</f>
        <v>46661</v>
      </c>
      <c r="I75" s="192" t="n">
        <f aca="false">'Rate Card'!$C$48</f>
        <v>0</v>
      </c>
      <c r="K75" s="158"/>
    </row>
    <row r="77" customFormat="false" ht="15" hidden="false" customHeight="false" outlineLevel="0" collapsed="false">
      <c r="B77" s="167" t="s">
        <v>338</v>
      </c>
    </row>
    <row r="78" customFormat="false" ht="15" hidden="false" customHeight="false" outlineLevel="0" collapsed="false">
      <c r="B78" s="193" t="s">
        <v>339</v>
      </c>
      <c r="T78" s="159" t="n">
        <f aca="false">IF(AND(T$6&gt;=EOMONTH($H$72,0),T$6&lt;=EOMONTH(EDATE($H$72,$E$72-1),0)),$G$72/MAX($E$72,1),0)</f>
        <v>0</v>
      </c>
      <c r="U78" s="159" t="n">
        <f aca="false">IF(AND(U$6&gt;=EOMONTH($H$72,0),U$6&lt;=EOMONTH(EDATE($H$72,$E$72-1),0)),$G$72/MAX($E$72,1),0)</f>
        <v>0</v>
      </c>
      <c r="V78" s="159" t="n">
        <f aca="false">IF(AND(V$6&gt;=EOMONTH($H$72,0),V$6&lt;=EOMONTH(EDATE($H$72,$E$72-1),0)),$G$72/MAX($E$72,1),0)</f>
        <v>0</v>
      </c>
      <c r="W78" s="159" t="n">
        <f aca="false">IF(AND(W$6&gt;=EOMONTH($H$72,0),W$6&lt;=EOMONTH(EDATE($H$72,$E$72-1),0)),$G$72/MAX($E$72,1),0)</f>
        <v>0</v>
      </c>
      <c r="X78" s="159" t="n">
        <f aca="false">IF(AND(X$6&gt;=EOMONTH($H$72,0),X$6&lt;=EOMONTH(EDATE($H$72,$E$72-1),0)),$G$72/MAX($E$72,1),0)</f>
        <v>0</v>
      </c>
      <c r="Y78" s="159" t="n">
        <f aca="false">IF(AND(Y$6&gt;=EOMONTH($H$72,0),Y$6&lt;=EOMONTH(EDATE($H$72,$E$72-1),0)),$G$72/MAX($E$72,1),0)</f>
        <v>0</v>
      </c>
      <c r="Z78" s="159" t="n">
        <f aca="false">IF(AND(Z$6&gt;=EOMONTH($H$72,0),Z$6&lt;=EOMONTH(EDATE($H$72,$E$72-1),0)),$G$72/MAX($E$72,1),0)</f>
        <v>0</v>
      </c>
      <c r="AA78" s="159" t="n">
        <f aca="false">IF(AND(AA$6&gt;=EOMONTH($H$72,0),AA$6&lt;=EOMONTH(EDATE($H$72,$E$72-1),0)),$G$72/MAX($E$72,1),0)</f>
        <v>0</v>
      </c>
      <c r="AB78" s="159" t="n">
        <f aca="false">IF(AND(AB$6&gt;=EOMONTH($H$72,0),AB$6&lt;=EOMONTH(EDATE($H$72,$E$72-1),0)),$G$72/MAX($E$72,1),0)</f>
        <v>0</v>
      </c>
      <c r="AC78" s="159" t="n">
        <f aca="false">IF(AND(AC$6&gt;=EOMONTH($H$72,0),AC$6&lt;=EOMONTH(EDATE($H$72,$E$72-1),0)),$G$72/MAX($E$72,1),0)</f>
        <v>65816.6666666667</v>
      </c>
      <c r="AD78" s="159" t="n">
        <f aca="false">IF(AND(AD$6&gt;=EOMONTH($H$72,0),AD$6&lt;=EOMONTH(EDATE($H$72,$E$72-1),0)),$G$72/MAX($E$72,1),0)</f>
        <v>65816.6666666667</v>
      </c>
      <c r="AE78" s="159" t="n">
        <f aca="false">IF(AND(AE$6&gt;=EOMONTH($H$72,0),AE$6&lt;=EOMONTH(EDATE($H$72,$E$72-1),0)),$G$72/MAX($E$72,1),0)</f>
        <v>0</v>
      </c>
      <c r="AF78" s="159" t="n">
        <f aca="false">IF(AND(AF$6&gt;=EOMONTH($H$72,0),AF$6&lt;=EOMONTH(EDATE($H$72,$E$72-1),0)),$G$72/MAX($E$72,1),0)</f>
        <v>0</v>
      </c>
      <c r="AG78" s="159" t="n">
        <f aca="false">IF(AND(AG$6&gt;=EOMONTH($H$72,0),AG$6&lt;=EOMONTH(EDATE($H$72,$E$72-1),0)),$G$72/MAX($E$72,1),0)</f>
        <v>0</v>
      </c>
      <c r="AH78" s="159" t="n">
        <f aca="false">IF(AND(AH$6&gt;=EOMONTH($H$72,0),AH$6&lt;=EOMONTH(EDATE($H$72,$E$72-1),0)),$G$72/MAX($E$72,1),0)</f>
        <v>0</v>
      </c>
      <c r="AI78" s="159" t="n">
        <f aca="false">IF(AND(AI$6&gt;=EOMONTH($H$72,0),AI$6&lt;=EOMONTH(EDATE($H$72,$E$72-1),0)),$G$72/MAX($E$72,1),0)</f>
        <v>0</v>
      </c>
      <c r="AJ78" s="159" t="n">
        <f aca="false">IF(AND(AJ$6&gt;=EOMONTH($H$72,0),AJ$6&lt;=EOMONTH(EDATE($H$72,$E$72-1),0)),$G$72/MAX($E$72,1),0)</f>
        <v>0</v>
      </c>
      <c r="AK78" s="159" t="n">
        <f aca="false">IF(AND(AK$6&gt;=EOMONTH($H$72,0),AK$6&lt;=EOMONTH(EDATE($H$72,$E$72-1),0)),$G$72/MAX($E$72,1),0)</f>
        <v>0</v>
      </c>
      <c r="AL78" s="159" t="n">
        <f aca="false">IF(AND(AL$6&gt;=EOMONTH($H$72,0),AL$6&lt;=EOMONTH(EDATE($H$72,$E$72-1),0)),$G$72/MAX($E$72,1),0)</f>
        <v>0</v>
      </c>
      <c r="AM78" s="159" t="n">
        <f aca="false">IF(AND(AM$6&gt;=EOMONTH($H$72,0),AM$6&lt;=EOMONTH(EDATE($H$72,$E$72-1),0)),$G$72/MAX($E$72,1),0)</f>
        <v>0</v>
      </c>
      <c r="AN78" s="159" t="n">
        <f aca="false">IF(AND(AN$6&gt;=EOMONTH($H$72,0),AN$6&lt;=EOMONTH(EDATE($H$72,$E$72-1),0)),$G$72/MAX($E$72,1),0)</f>
        <v>0</v>
      </c>
      <c r="AO78" s="159" t="n">
        <f aca="false">IF(AND(AO$6&gt;=EOMONTH($H$72,0),AO$6&lt;=EOMONTH(EDATE($H$72,$E$72-1),0)),$G$72/MAX($E$72,1),0)</f>
        <v>0</v>
      </c>
      <c r="AP78" s="159" t="n">
        <f aca="false">IF(AND(AP$6&gt;=EOMONTH($H$72,0),AP$6&lt;=EOMONTH(EDATE($H$72,$E$72-1),0)),$G$72/MAX($E$72,1),0)</f>
        <v>0</v>
      </c>
      <c r="AQ78" s="159" t="n">
        <f aca="false">IF(AND(AQ$6&gt;=EOMONTH($H$72,0),AQ$6&lt;=EOMONTH(EDATE($H$72,$E$72-1),0)),$G$72/MAX($E$72,1),0)</f>
        <v>0</v>
      </c>
      <c r="AR78" s="159" t="n">
        <f aca="false">IF(AND(AR$6&gt;=EOMONTH($H$72,0),AR$6&lt;=EOMONTH(EDATE($H$72,$E$72-1),0)),$G$72/MAX($E$72,1),0)</f>
        <v>0</v>
      </c>
      <c r="AS78" s="159" t="n">
        <f aca="false">IF(AND(AS$6&gt;=EOMONTH($H$72,0),AS$6&lt;=EOMONTH(EDATE($H$72,$E$72-1),0)),$G$72/MAX($E$72,1),0)</f>
        <v>0</v>
      </c>
      <c r="AT78" s="159" t="n">
        <f aca="false">IF(AND(AT$6&gt;=EOMONTH($H$72,0),AT$6&lt;=EOMONTH(EDATE($H$72,$E$72-1),0)),$G$72/MAX($E$72,1),0)</f>
        <v>0</v>
      </c>
      <c r="AU78" s="159" t="n">
        <f aca="false">IF(AND(AU$6&gt;=EOMONTH($H$72,0),AU$6&lt;=EOMONTH(EDATE($H$72,$E$72-1),0)),$G$72/MAX($E$72,1),0)</f>
        <v>0</v>
      </c>
      <c r="AV78" s="159" t="n">
        <f aca="false">IF(AND(AV$6&gt;=EOMONTH($H$72,0),AV$6&lt;=EOMONTH(EDATE($H$72,$E$72-1),0)),$G$72/MAX($E$72,1),0)</f>
        <v>0</v>
      </c>
      <c r="AW78" s="159" t="n">
        <f aca="false">IF(AND(AW$6&gt;=EOMONTH($H$72,0),AW$6&lt;=EOMONTH(EDATE($H$72,$E$72-1),0)),$G$72/MAX($E$72,1),0)</f>
        <v>0</v>
      </c>
      <c r="AX78" s="159" t="n">
        <f aca="false">IF(AND(AX$6&gt;=EOMONTH($H$72,0),AX$6&lt;=EOMONTH(EDATE($H$72,$E$72-1),0)),$G$72/MAX($E$72,1),0)</f>
        <v>0</v>
      </c>
      <c r="AY78" s="159" t="n">
        <f aca="false">IF(AND(AY$6&gt;=EOMONTH($H$72,0),AY$6&lt;=EOMONTH(EDATE($H$72,$E$72-1),0)),$G$72/MAX($E$72,1),0)</f>
        <v>0</v>
      </c>
      <c r="AZ78" s="159" t="n">
        <f aca="false">IF(AND(AZ$6&gt;=EOMONTH($H$72,0),AZ$6&lt;=EOMONTH(EDATE($H$72,$E$72-1),0)),$G$72/MAX($E$72,1),0)</f>
        <v>0</v>
      </c>
      <c r="BA78" s="159" t="n">
        <f aca="false">IF(AND(BA$6&gt;=EOMONTH($H$72,0),BA$6&lt;=EOMONTH(EDATE($H$72,$E$72-1),0)),$G$72/MAX($E$72,1),0)</f>
        <v>0</v>
      </c>
      <c r="BB78" s="159" t="n">
        <f aca="false">IF(AND(BB$6&gt;=EOMONTH($H$72,0),BB$6&lt;=EOMONTH(EDATE($H$72,$E$72-1),0)),$G$72/MAX($E$72,1),0)</f>
        <v>0</v>
      </c>
      <c r="BC78" s="159" t="n">
        <f aca="false">IF(AND(BC$6&gt;=EOMONTH($H$72,0),BC$6&lt;=EOMONTH(EDATE($H$72,$E$72-1),0)),$G$72/MAX($E$72,1),0)</f>
        <v>0</v>
      </c>
      <c r="BD78" s="159" t="n">
        <f aca="false">IF(AND(BD$6&gt;=EOMONTH($H$72,0),BD$6&lt;=EOMONTH(EDATE($H$72,$E$72-1),0)),$G$72/MAX($E$72,1),0)</f>
        <v>0</v>
      </c>
      <c r="BE78" s="159" t="n">
        <f aca="false">IF(AND(BE$6&gt;=EOMONTH($H$72,0),BE$6&lt;=EOMONTH(EDATE($H$72,$E$72-1),0)),$G$72/MAX($E$72,1),0)</f>
        <v>0</v>
      </c>
      <c r="BF78" s="159" t="n">
        <f aca="false">IF(AND(BF$6&gt;=EOMONTH($H$72,0),BF$6&lt;=EOMONTH(EDATE($H$72,$E$72-1),0)),$G$72/MAX($E$72,1),0)</f>
        <v>0</v>
      </c>
      <c r="BG78" s="159" t="n">
        <f aca="false">IF(AND(BG$6&gt;=EOMONTH($H$72,0),BG$6&lt;=EOMONTH(EDATE($H$72,$E$72-1),0)),$G$72/MAX($E$72,1),0)</f>
        <v>0</v>
      </c>
      <c r="BH78" s="159" t="n">
        <f aca="false">IF(AND(BH$6&gt;=EOMONTH($H$72,0),BH$6&lt;=EOMONTH(EDATE($H$72,$E$72-1),0)),$G$72/MAX($E$72,1),0)</f>
        <v>0</v>
      </c>
      <c r="BI78" s="159" t="n">
        <f aca="false">IF(AND(BI$6&gt;=EOMONTH($H$72,0),BI$6&lt;=EOMONTH(EDATE($H$72,$E$72-1),0)),$G$72/MAX($E$72,1),0)</f>
        <v>0</v>
      </c>
      <c r="BJ78" s="159" t="n">
        <f aca="false">IF(AND(BJ$6&gt;=EOMONTH($H$72,0),BJ$6&lt;=EOMONTH(EDATE($H$72,$E$72-1),0)),$G$72/MAX($E$72,1),0)</f>
        <v>0</v>
      </c>
      <c r="BK78" s="159" t="n">
        <f aca="false">IF(AND(BK$6&gt;=EOMONTH($H$72,0),BK$6&lt;=EOMONTH(EDATE($H$72,$E$72-1),0)),$G$72/MAX($E$72,1),0)</f>
        <v>0</v>
      </c>
      <c r="BL78" s="159" t="n">
        <f aca="false">IF(AND(BL$6&gt;=EOMONTH($H$72,0),BL$6&lt;=EOMONTH(EDATE($H$72,$E$72-1),0)),$G$72/MAX($E$72,1),0)</f>
        <v>0</v>
      </c>
      <c r="BM78" s="159" t="n">
        <f aca="false">IF(AND(BM$6&gt;=EOMONTH($H$72,0),BM$6&lt;=EOMONTH(EDATE($H$72,$E$72-1),0)),$G$72/MAX($E$72,1),0)</f>
        <v>0</v>
      </c>
      <c r="BN78" s="159" t="n">
        <f aca="false">IF(AND(BN$6&gt;=EOMONTH($H$72,0),BN$6&lt;=EOMONTH(EDATE($H$72,$E$72-1),0)),$G$72/MAX($E$72,1),0)</f>
        <v>0</v>
      </c>
      <c r="BO78" s="159" t="n">
        <f aca="false">IF(AND(BO$6&gt;=EOMONTH($H$72,0),BO$6&lt;=EOMONTH(EDATE($H$72,$E$72-1),0)),$G$72/MAX($E$72,1),0)</f>
        <v>0</v>
      </c>
      <c r="BP78" s="159" t="n">
        <f aca="false">IF(AND(BP$6&gt;=EOMONTH($H$72,0),BP$6&lt;=EOMONTH(EDATE($H$72,$E$72-1),0)),$G$72/MAX($E$72,1),0)</f>
        <v>0</v>
      </c>
      <c r="BQ78" s="159" t="n">
        <f aca="false">IF(AND(BQ$6&gt;=EOMONTH($H$72,0),BQ$6&lt;=EOMONTH(EDATE($H$72,$E$72-1),0)),$G$72/MAX($E$72,1),0)</f>
        <v>0</v>
      </c>
      <c r="BR78" s="159" t="n">
        <f aca="false">IF(AND(BR$6&gt;=EOMONTH($H$72,0),BR$6&lt;=EOMONTH(EDATE($H$72,$E$72-1),0)),$G$72/MAX($E$72,1),0)</f>
        <v>0</v>
      </c>
      <c r="BS78" s="159" t="n">
        <f aca="false">IF(AND(BS$6&gt;=EOMONTH($H$72,0),BS$6&lt;=EOMONTH(EDATE($H$72,$E$72-1),0)),$G$72/MAX($E$72,1),0)</f>
        <v>0</v>
      </c>
      <c r="BT78" s="159" t="n">
        <f aca="false">IF(AND(BT$6&gt;=EOMONTH($H$72,0),BT$6&lt;=EOMONTH(EDATE($H$72,$E$72-1),0)),$G$72/MAX($E$72,1),0)</f>
        <v>0</v>
      </c>
      <c r="BU78" s="159" t="n">
        <f aca="false">IF(AND(BU$6&gt;=EOMONTH($H$72,0),BU$6&lt;=EOMONTH(EDATE($H$72,$E$72-1),0)),$G$72/MAX($E$72,1),0)</f>
        <v>0</v>
      </c>
      <c r="BV78" s="159" t="n">
        <f aca="false">IF(AND(BV$6&gt;=EOMONTH($H$72,0),BV$6&lt;=EOMONTH(EDATE($H$72,$E$72-1),0)),$G$72/MAX($E$72,1),0)</f>
        <v>0</v>
      </c>
      <c r="BW78" s="159" t="n">
        <f aca="false">IF(AND(BW$6&gt;=EOMONTH($H$72,0),BW$6&lt;=EOMONTH(EDATE($H$72,$E$72-1),0)),$G$72/MAX($E$72,1),0)</f>
        <v>0</v>
      </c>
      <c r="BX78" s="159" t="n">
        <f aca="false">IF(AND(BX$6&gt;=EOMONTH($H$72,0),BX$6&lt;=EOMONTH(EDATE($H$72,$E$72-1),0)),$G$72/MAX($E$72,1),0)</f>
        <v>0</v>
      </c>
      <c r="BY78" s="159" t="n">
        <f aca="false">IF(AND(BY$6&gt;=EOMONTH($H$72,0),BY$6&lt;=EOMONTH(EDATE($H$72,$E$72-1),0)),$G$72/MAX($E$72,1),0)</f>
        <v>0</v>
      </c>
      <c r="BZ78" s="159" t="n">
        <f aca="false">IF(AND(BZ$6&gt;=EOMONTH($H$72,0),BZ$6&lt;=EOMONTH(EDATE($H$72,$E$72-1),0)),$G$72/MAX($E$72,1),0)</f>
        <v>0</v>
      </c>
      <c r="CA78" s="159" t="n">
        <f aca="false">IF(AND(CA$6&gt;=EOMONTH($H$72,0),CA$6&lt;=EOMONTH(EDATE($H$72,$E$72-1),0)),$G$72/MAX($E$72,1),0)</f>
        <v>0</v>
      </c>
    </row>
    <row r="79" customFormat="false" ht="15" hidden="false" customHeight="false" outlineLevel="0" collapsed="false">
      <c r="B79" s="193" t="s">
        <v>340</v>
      </c>
      <c r="T79" s="159" t="n">
        <f aca="false">IF(AND(T$6&gt;=EOMONTH($H$73,0),T$6&lt;=EOMONTH(EDATE($H$73,$E$73-1),0)),$G$73/MAX($E$73,1),0)</f>
        <v>0</v>
      </c>
      <c r="U79" s="159" t="n">
        <f aca="false">IF(AND(U$6&gt;=EOMONTH($H$73,0),U$6&lt;=EOMONTH(EDATE($H$73,$E$73-1),0)),$G$73/MAX($E$73,1),0)</f>
        <v>0</v>
      </c>
      <c r="V79" s="159" t="n">
        <f aca="false">IF(AND(V$6&gt;=EOMONTH($H$73,0),V$6&lt;=EOMONTH(EDATE($H$73,$E$73-1),0)),$G$73/MAX($E$73,1),0)</f>
        <v>0</v>
      </c>
      <c r="W79" s="159" t="n">
        <f aca="false">IF(AND(W$6&gt;=EOMONTH($H$73,0),W$6&lt;=EOMONTH(EDATE($H$73,$E$73-1),0)),$G$73/MAX($E$73,1),0)</f>
        <v>0</v>
      </c>
      <c r="X79" s="159" t="n">
        <f aca="false">IF(AND(X$6&gt;=EOMONTH($H$73,0),X$6&lt;=EOMONTH(EDATE($H$73,$E$73-1),0)),$G$73/MAX($E$73,1),0)</f>
        <v>0</v>
      </c>
      <c r="Y79" s="159" t="n">
        <f aca="false">IF(AND(Y$6&gt;=EOMONTH($H$73,0),Y$6&lt;=EOMONTH(EDATE($H$73,$E$73-1),0)),$G$73/MAX($E$73,1),0)</f>
        <v>0</v>
      </c>
      <c r="Z79" s="159" t="n">
        <f aca="false">IF(AND(Z$6&gt;=EOMONTH($H$73,0),Z$6&lt;=EOMONTH(EDATE($H$73,$E$73-1),0)),$G$73/MAX($E$73,1),0)</f>
        <v>0</v>
      </c>
      <c r="AA79" s="159" t="n">
        <f aca="false">IF(AND(AA$6&gt;=EOMONTH($H$73,0),AA$6&lt;=EOMONTH(EDATE($H$73,$E$73-1),0)),$G$73/MAX($E$73,1),0)</f>
        <v>0</v>
      </c>
      <c r="AB79" s="159" t="n">
        <f aca="false">IF(AND(AB$6&gt;=EOMONTH($H$73,0),AB$6&lt;=EOMONTH(EDATE($H$73,$E$73-1),0)),$G$73/MAX($E$73,1),0)</f>
        <v>0</v>
      </c>
      <c r="AC79" s="159" t="n">
        <f aca="false">IF(AND(AC$6&gt;=EOMONTH($H$73,0),AC$6&lt;=EOMONTH(EDATE($H$73,$E$73-1),0)),$G$73/MAX($E$73,1),0)</f>
        <v>0</v>
      </c>
      <c r="AD79" s="159" t="n">
        <f aca="false">IF(AND(AD$6&gt;=EOMONTH($H$73,0),AD$6&lt;=EOMONTH(EDATE($H$73,$E$73-1),0)),$G$73/MAX($E$73,1),0)</f>
        <v>0</v>
      </c>
      <c r="AE79" s="159" t="n">
        <f aca="false">IF(AND(AE$6&gt;=EOMONTH($H$73,0),AE$6&lt;=EOMONTH(EDATE($H$73,$E$73-1),0)),$G$73/MAX($E$73,1),0)</f>
        <v>131633.333333333</v>
      </c>
      <c r="AF79" s="159" t="n">
        <f aca="false">IF(AND(AF$6&gt;=EOMONTH($H$73,0),AF$6&lt;=EOMONTH(EDATE($H$73,$E$73-1),0)),$G$73/MAX($E$73,1),0)</f>
        <v>131633.333333333</v>
      </c>
      <c r="AG79" s="159" t="n">
        <f aca="false">IF(AND(AG$6&gt;=EOMONTH($H$73,0),AG$6&lt;=EOMONTH(EDATE($H$73,$E$73-1),0)),$G$73/MAX($E$73,1),0)</f>
        <v>131633.333333333</v>
      </c>
      <c r="AH79" s="159" t="n">
        <f aca="false">IF(AND(AH$6&gt;=EOMONTH($H$73,0),AH$6&lt;=EOMONTH(EDATE($H$73,$E$73-1),0)),$G$73/MAX($E$73,1),0)</f>
        <v>131633.333333333</v>
      </c>
      <c r="AI79" s="159" t="n">
        <f aca="false">IF(AND(AI$6&gt;=EOMONTH($H$73,0),AI$6&lt;=EOMONTH(EDATE($H$73,$E$73-1),0)),$G$73/MAX($E$73,1),0)</f>
        <v>131633.333333333</v>
      </c>
      <c r="AJ79" s="159" t="n">
        <f aca="false">IF(AND(AJ$6&gt;=EOMONTH($H$73,0),AJ$6&lt;=EOMONTH(EDATE($H$73,$E$73-1),0)),$G$73/MAX($E$73,1),0)</f>
        <v>0</v>
      </c>
      <c r="AK79" s="159" t="n">
        <f aca="false">IF(AND(AK$6&gt;=EOMONTH($H$73,0),AK$6&lt;=EOMONTH(EDATE($H$73,$E$73-1),0)),$G$73/MAX($E$73,1),0)</f>
        <v>0</v>
      </c>
      <c r="AL79" s="159" t="n">
        <f aca="false">IF(AND(AL$6&gt;=EOMONTH($H$73,0),AL$6&lt;=EOMONTH(EDATE($H$73,$E$73-1),0)),$G$73/MAX($E$73,1),0)</f>
        <v>0</v>
      </c>
      <c r="AM79" s="159" t="n">
        <f aca="false">IF(AND(AM$6&gt;=EOMONTH($H$73,0),AM$6&lt;=EOMONTH(EDATE($H$73,$E$73-1),0)),$G$73/MAX($E$73,1),0)</f>
        <v>0</v>
      </c>
      <c r="AN79" s="159" t="n">
        <f aca="false">IF(AND(AN$6&gt;=EOMONTH($H$73,0),AN$6&lt;=EOMONTH(EDATE($H$73,$E$73-1),0)),$G$73/MAX($E$73,1),0)</f>
        <v>0</v>
      </c>
      <c r="AO79" s="159" t="n">
        <f aca="false">IF(AND(AO$6&gt;=EOMONTH($H$73,0),AO$6&lt;=EOMONTH(EDATE($H$73,$E$73-1),0)),$G$73/MAX($E$73,1),0)</f>
        <v>0</v>
      </c>
      <c r="AP79" s="159" t="n">
        <f aca="false">IF(AND(AP$6&gt;=EOMONTH($H$73,0),AP$6&lt;=EOMONTH(EDATE($H$73,$E$73-1),0)),$G$73/MAX($E$73,1),0)</f>
        <v>0</v>
      </c>
      <c r="AQ79" s="159" t="n">
        <f aca="false">IF(AND(AQ$6&gt;=EOMONTH($H$73,0),AQ$6&lt;=EOMONTH(EDATE($H$73,$E$73-1),0)),$G$73/MAX($E$73,1),0)</f>
        <v>0</v>
      </c>
      <c r="AR79" s="159" t="n">
        <f aca="false">IF(AND(AR$6&gt;=EOMONTH($H$73,0),AR$6&lt;=EOMONTH(EDATE($H$73,$E$73-1),0)),$G$73/MAX($E$73,1),0)</f>
        <v>0</v>
      </c>
      <c r="AS79" s="159" t="n">
        <f aca="false">IF(AND(AS$6&gt;=EOMONTH($H$73,0),AS$6&lt;=EOMONTH(EDATE($H$73,$E$73-1),0)),$G$73/MAX($E$73,1),0)</f>
        <v>0</v>
      </c>
      <c r="AT79" s="159" t="n">
        <f aca="false">IF(AND(AT$6&gt;=EOMONTH($H$73,0),AT$6&lt;=EOMONTH(EDATE($H$73,$E$73-1),0)),$G$73/MAX($E$73,1),0)</f>
        <v>0</v>
      </c>
      <c r="AU79" s="159" t="n">
        <f aca="false">IF(AND(AU$6&gt;=EOMONTH($H$73,0),AU$6&lt;=EOMONTH(EDATE($H$73,$E$73-1),0)),$G$73/MAX($E$73,1),0)</f>
        <v>0</v>
      </c>
      <c r="AV79" s="159" t="n">
        <f aca="false">IF(AND(AV$6&gt;=EOMONTH($H$73,0),AV$6&lt;=EOMONTH(EDATE($H$73,$E$73-1),0)),$G$73/MAX($E$73,1),0)</f>
        <v>0</v>
      </c>
      <c r="AW79" s="159" t="n">
        <f aca="false">IF(AND(AW$6&gt;=EOMONTH($H$73,0),AW$6&lt;=EOMONTH(EDATE($H$73,$E$73-1),0)),$G$73/MAX($E$73,1),0)</f>
        <v>0</v>
      </c>
      <c r="AX79" s="159" t="n">
        <f aca="false">IF(AND(AX$6&gt;=EOMONTH($H$73,0),AX$6&lt;=EOMONTH(EDATE($H$73,$E$73-1),0)),$G$73/MAX($E$73,1),0)</f>
        <v>0</v>
      </c>
      <c r="AY79" s="159" t="n">
        <f aca="false">IF(AND(AY$6&gt;=EOMONTH($H$73,0),AY$6&lt;=EOMONTH(EDATE($H$73,$E$73-1),0)),$G$73/MAX($E$73,1),0)</f>
        <v>0</v>
      </c>
      <c r="AZ79" s="159" t="n">
        <f aca="false">IF(AND(AZ$6&gt;=EOMONTH($H$73,0),AZ$6&lt;=EOMONTH(EDATE($H$73,$E$73-1),0)),$G$73/MAX($E$73,1),0)</f>
        <v>0</v>
      </c>
      <c r="BA79" s="159" t="n">
        <f aca="false">IF(AND(BA$6&gt;=EOMONTH($H$73,0),BA$6&lt;=EOMONTH(EDATE($H$73,$E$73-1),0)),$G$73/MAX($E$73,1),0)</f>
        <v>0</v>
      </c>
      <c r="BB79" s="159" t="n">
        <f aca="false">IF(AND(BB$6&gt;=EOMONTH($H$73,0),BB$6&lt;=EOMONTH(EDATE($H$73,$E$73-1),0)),$G$73/MAX($E$73,1),0)</f>
        <v>0</v>
      </c>
      <c r="BC79" s="159" t="n">
        <f aca="false">IF(AND(BC$6&gt;=EOMONTH($H$73,0),BC$6&lt;=EOMONTH(EDATE($H$73,$E$73-1),0)),$G$73/MAX($E$73,1),0)</f>
        <v>0</v>
      </c>
      <c r="BD79" s="159" t="n">
        <f aca="false">IF(AND(BD$6&gt;=EOMONTH($H$73,0),BD$6&lt;=EOMONTH(EDATE($H$73,$E$73-1),0)),$G$73/MAX($E$73,1),0)</f>
        <v>0</v>
      </c>
      <c r="BE79" s="159" t="n">
        <f aca="false">IF(AND(BE$6&gt;=EOMONTH($H$73,0),BE$6&lt;=EOMONTH(EDATE($H$73,$E$73-1),0)),$G$73/MAX($E$73,1),0)</f>
        <v>0</v>
      </c>
      <c r="BF79" s="159" t="n">
        <f aca="false">IF(AND(BF$6&gt;=EOMONTH($H$73,0),BF$6&lt;=EOMONTH(EDATE($H$73,$E$73-1),0)),$G$73/MAX($E$73,1),0)</f>
        <v>0</v>
      </c>
      <c r="BG79" s="159" t="n">
        <f aca="false">IF(AND(BG$6&gt;=EOMONTH($H$73,0),BG$6&lt;=EOMONTH(EDATE($H$73,$E$73-1),0)),$G$73/MAX($E$73,1),0)</f>
        <v>0</v>
      </c>
      <c r="BH79" s="159" t="n">
        <f aca="false">IF(AND(BH$6&gt;=EOMONTH($H$73,0),BH$6&lt;=EOMONTH(EDATE($H$73,$E$73-1),0)),$G$73/MAX($E$73,1),0)</f>
        <v>0</v>
      </c>
      <c r="BI79" s="159" t="n">
        <f aca="false">IF(AND(BI$6&gt;=EOMONTH($H$73,0),BI$6&lt;=EOMONTH(EDATE($H$73,$E$73-1),0)),$G$73/MAX($E$73,1),0)</f>
        <v>0</v>
      </c>
      <c r="BJ79" s="159" t="n">
        <f aca="false">IF(AND(BJ$6&gt;=EOMONTH($H$73,0),BJ$6&lt;=EOMONTH(EDATE($H$73,$E$73-1),0)),$G$73/MAX($E$73,1),0)</f>
        <v>0</v>
      </c>
      <c r="BK79" s="159" t="n">
        <f aca="false">IF(AND(BK$6&gt;=EOMONTH($H$73,0),BK$6&lt;=EOMONTH(EDATE($H$73,$E$73-1),0)),$G$73/MAX($E$73,1),0)</f>
        <v>0</v>
      </c>
      <c r="BL79" s="159" t="n">
        <f aca="false">IF(AND(BL$6&gt;=EOMONTH($H$73,0),BL$6&lt;=EOMONTH(EDATE($H$73,$E$73-1),0)),$G$73/MAX($E$73,1),0)</f>
        <v>0</v>
      </c>
      <c r="BM79" s="159" t="n">
        <f aca="false">IF(AND(BM$6&gt;=EOMONTH($H$73,0),BM$6&lt;=EOMONTH(EDATE($H$73,$E$73-1),0)),$G$73/MAX($E$73,1),0)</f>
        <v>0</v>
      </c>
      <c r="BN79" s="159" t="n">
        <f aca="false">IF(AND(BN$6&gt;=EOMONTH($H$73,0),BN$6&lt;=EOMONTH(EDATE($H$73,$E$73-1),0)),$G$73/MAX($E$73,1),0)</f>
        <v>0</v>
      </c>
      <c r="BO79" s="159" t="n">
        <f aca="false">IF(AND(BO$6&gt;=EOMONTH($H$73,0),BO$6&lt;=EOMONTH(EDATE($H$73,$E$73-1),0)),$G$73/MAX($E$73,1),0)</f>
        <v>0</v>
      </c>
      <c r="BP79" s="159" t="n">
        <f aca="false">IF(AND(BP$6&gt;=EOMONTH($H$73,0),BP$6&lt;=EOMONTH(EDATE($H$73,$E$73-1),0)),$G$73/MAX($E$73,1),0)</f>
        <v>0</v>
      </c>
      <c r="BQ79" s="159" t="n">
        <f aca="false">IF(AND(BQ$6&gt;=EOMONTH($H$73,0),BQ$6&lt;=EOMONTH(EDATE($H$73,$E$73-1),0)),$G$73/MAX($E$73,1),0)</f>
        <v>0</v>
      </c>
      <c r="BR79" s="159" t="n">
        <f aca="false">IF(AND(BR$6&gt;=EOMONTH($H$73,0),BR$6&lt;=EOMONTH(EDATE($H$73,$E$73-1),0)),$G$73/MAX($E$73,1),0)</f>
        <v>0</v>
      </c>
      <c r="BS79" s="159" t="n">
        <f aca="false">IF(AND(BS$6&gt;=EOMONTH($H$73,0),BS$6&lt;=EOMONTH(EDATE($H$73,$E$73-1),0)),$G$73/MAX($E$73,1),0)</f>
        <v>0</v>
      </c>
      <c r="BT79" s="159" t="n">
        <f aca="false">IF(AND(BT$6&gt;=EOMONTH($H$73,0),BT$6&lt;=EOMONTH(EDATE($H$73,$E$73-1),0)),$G$73/MAX($E$73,1),0)</f>
        <v>0</v>
      </c>
      <c r="BU79" s="159" t="n">
        <f aca="false">IF(AND(BU$6&gt;=EOMONTH($H$73,0),BU$6&lt;=EOMONTH(EDATE($H$73,$E$73-1),0)),$G$73/MAX($E$73,1),0)</f>
        <v>0</v>
      </c>
      <c r="BV79" s="159" t="n">
        <f aca="false">IF(AND(BV$6&gt;=EOMONTH($H$73,0),BV$6&lt;=EOMONTH(EDATE($H$73,$E$73-1),0)),$G$73/MAX($E$73,1),0)</f>
        <v>0</v>
      </c>
      <c r="BW79" s="159" t="n">
        <f aca="false">IF(AND(BW$6&gt;=EOMONTH($H$73,0),BW$6&lt;=EOMONTH(EDATE($H$73,$E$73-1),0)),$G$73/MAX($E$73,1),0)</f>
        <v>0</v>
      </c>
      <c r="BX79" s="159" t="n">
        <f aca="false">IF(AND(BX$6&gt;=EOMONTH($H$73,0),BX$6&lt;=EOMONTH(EDATE($H$73,$E$73-1),0)),$G$73/MAX($E$73,1),0)</f>
        <v>0</v>
      </c>
      <c r="BY79" s="159" t="n">
        <f aca="false">IF(AND(BY$6&gt;=EOMONTH($H$73,0),BY$6&lt;=EOMONTH(EDATE($H$73,$E$73-1),0)),$G$73/MAX($E$73,1),0)</f>
        <v>0</v>
      </c>
      <c r="BZ79" s="159" t="n">
        <f aca="false">IF(AND(BZ$6&gt;=EOMONTH($H$73,0),BZ$6&lt;=EOMONTH(EDATE($H$73,$E$73-1),0)),$G$73/MAX($E$73,1),0)</f>
        <v>0</v>
      </c>
      <c r="CA79" s="159" t="n">
        <f aca="false">IF(AND(CA$6&gt;=EOMONTH($H$73,0),CA$6&lt;=EOMONTH(EDATE($H$73,$E$73-1),0)),$G$73/MAX($E$73,1),0)</f>
        <v>0</v>
      </c>
    </row>
    <row r="80" customFormat="false" ht="15" hidden="false" customHeight="false" outlineLevel="0" collapsed="false">
      <c r="B80" s="193" t="s">
        <v>341</v>
      </c>
      <c r="T80" s="159" t="n">
        <f aca="false">IF(AND(T$6&gt;=EOMONTH($H$74,0),T$6&lt;=EOMONTH(EDATE($H$74,$E$74-1),0)),$G$74/MAX($E$74,1),0)</f>
        <v>0</v>
      </c>
      <c r="U80" s="159" t="n">
        <f aca="false">IF(AND(U$6&gt;=EOMONTH($H$74,0),U$6&lt;=EOMONTH(EDATE($H$74,$E$74-1),0)),$G$74/MAX($E$74,1),0)</f>
        <v>0</v>
      </c>
      <c r="V80" s="159" t="n">
        <f aca="false">IF(AND(V$6&gt;=EOMONTH($H$74,0),V$6&lt;=EOMONTH(EDATE($H$74,$E$74-1),0)),$G$74/MAX($E$74,1),0)</f>
        <v>0</v>
      </c>
      <c r="W80" s="159" t="n">
        <f aca="false">IF(AND(W$6&gt;=EOMONTH($H$74,0),W$6&lt;=EOMONTH(EDATE($H$74,$E$74-1),0)),$G$74/MAX($E$74,1),0)</f>
        <v>0</v>
      </c>
      <c r="X80" s="159" t="n">
        <f aca="false">IF(AND(X$6&gt;=EOMONTH($H$74,0),X$6&lt;=EOMONTH(EDATE($H$74,$E$74-1),0)),$G$74/MAX($E$74,1),0)</f>
        <v>0</v>
      </c>
      <c r="Y80" s="159" t="n">
        <f aca="false">IF(AND(Y$6&gt;=EOMONTH($H$74,0),Y$6&lt;=EOMONTH(EDATE($H$74,$E$74-1),0)),$G$74/MAX($E$74,1),0)</f>
        <v>0</v>
      </c>
      <c r="Z80" s="159" t="n">
        <f aca="false">IF(AND(Z$6&gt;=EOMONTH($H$74,0),Z$6&lt;=EOMONTH(EDATE($H$74,$E$74-1),0)),$G$74/MAX($E$74,1),0)</f>
        <v>0</v>
      </c>
      <c r="AA80" s="159" t="n">
        <f aca="false">IF(AND(AA$6&gt;=EOMONTH($H$74,0),AA$6&lt;=EOMONTH(EDATE($H$74,$E$74-1),0)),$G$74/MAX($E$74,1),0)</f>
        <v>0</v>
      </c>
      <c r="AB80" s="159" t="n">
        <f aca="false">IF(AND(AB$6&gt;=EOMONTH($H$74,0),AB$6&lt;=EOMONTH(EDATE($H$74,$E$74-1),0)),$G$74/MAX($E$74,1),0)</f>
        <v>0</v>
      </c>
      <c r="AC80" s="159" t="n">
        <f aca="false">IF(AND(AC$6&gt;=EOMONTH($H$74,0),AC$6&lt;=EOMONTH(EDATE($H$74,$E$74-1),0)),$G$74/MAX($E$74,1),0)</f>
        <v>0</v>
      </c>
      <c r="AD80" s="159" t="n">
        <f aca="false">IF(AND(AD$6&gt;=EOMONTH($H$74,0),AD$6&lt;=EOMONTH(EDATE($H$74,$E$74-1),0)),$G$74/MAX($E$74,1),0)</f>
        <v>0</v>
      </c>
      <c r="AE80" s="159" t="n">
        <f aca="false">IF(AND(AE$6&gt;=EOMONTH($H$74,0),AE$6&lt;=EOMONTH(EDATE($H$74,$E$74-1),0)),$G$74/MAX($E$74,1),0)</f>
        <v>0</v>
      </c>
      <c r="AF80" s="159" t="n">
        <f aca="false">IF(AND(AF$6&gt;=EOMONTH($H$74,0),AF$6&lt;=EOMONTH(EDATE($H$74,$E$74-1),0)),$G$74/MAX($E$74,1),0)</f>
        <v>0</v>
      </c>
      <c r="AG80" s="159" t="n">
        <f aca="false">IF(AND(AG$6&gt;=EOMONTH($H$74,0),AG$6&lt;=EOMONTH(EDATE($H$74,$E$74-1),0)),$G$74/MAX($E$74,1),0)</f>
        <v>0</v>
      </c>
      <c r="AH80" s="159" t="n">
        <f aca="false">IF(AND(AH$6&gt;=EOMONTH($H$74,0),AH$6&lt;=EOMONTH(EDATE($H$74,$E$74-1),0)),$G$74/MAX($E$74,1),0)</f>
        <v>0</v>
      </c>
      <c r="AI80" s="159" t="n">
        <f aca="false">IF(AND(AI$6&gt;=EOMONTH($H$74,0),AI$6&lt;=EOMONTH(EDATE($H$74,$E$74-1),0)),$G$74/MAX($E$74,1),0)</f>
        <v>82270.8333333333</v>
      </c>
      <c r="AJ80" s="159" t="n">
        <f aca="false">IF(AND(AJ$6&gt;=EOMONTH($H$74,0),AJ$6&lt;=EOMONTH(EDATE($H$74,$E$74-1),0)),$G$74/MAX($E$74,1),0)</f>
        <v>82270.8333333333</v>
      </c>
      <c r="AK80" s="159" t="n">
        <f aca="false">IF(AND(AK$6&gt;=EOMONTH($H$74,0),AK$6&lt;=EOMONTH(EDATE($H$74,$E$74-1),0)),$G$74/MAX($E$74,1),0)</f>
        <v>82270.8333333333</v>
      </c>
      <c r="AL80" s="159" t="n">
        <f aca="false">IF(AND(AL$6&gt;=EOMONTH($H$74,0),AL$6&lt;=EOMONTH(EDATE($H$74,$E$74-1),0)),$G$74/MAX($E$74,1),0)</f>
        <v>82270.8333333333</v>
      </c>
      <c r="AM80" s="159" t="n">
        <f aca="false">IF(AND(AM$6&gt;=EOMONTH($H$74,0),AM$6&lt;=EOMONTH(EDATE($H$74,$E$74-1),0)),$G$74/MAX($E$74,1),0)</f>
        <v>82270.8333333333</v>
      </c>
      <c r="AN80" s="159" t="n">
        <f aca="false">IF(AND(AN$6&gt;=EOMONTH($H$74,0),AN$6&lt;=EOMONTH(EDATE($H$74,$E$74-1),0)),$G$74/MAX($E$74,1),0)</f>
        <v>82270.8333333333</v>
      </c>
      <c r="AO80" s="159" t="n">
        <f aca="false">IF(AND(AO$6&gt;=EOMONTH($H$74,0),AO$6&lt;=EOMONTH(EDATE($H$74,$E$74-1),0)),$G$74/MAX($E$74,1),0)</f>
        <v>0</v>
      </c>
      <c r="AP80" s="159" t="n">
        <f aca="false">IF(AND(AP$6&gt;=EOMONTH($H$74,0),AP$6&lt;=EOMONTH(EDATE($H$74,$E$74-1),0)),$G$74/MAX($E$74,1),0)</f>
        <v>0</v>
      </c>
      <c r="AQ80" s="159" t="n">
        <f aca="false">IF(AND(AQ$6&gt;=EOMONTH($H$74,0),AQ$6&lt;=EOMONTH(EDATE($H$74,$E$74-1),0)),$G$74/MAX($E$74,1),0)</f>
        <v>0</v>
      </c>
      <c r="AR80" s="159" t="n">
        <f aca="false">IF(AND(AR$6&gt;=EOMONTH($H$74,0),AR$6&lt;=EOMONTH(EDATE($H$74,$E$74-1),0)),$G$74/MAX($E$74,1),0)</f>
        <v>0</v>
      </c>
      <c r="AS80" s="159" t="n">
        <f aca="false">IF(AND(AS$6&gt;=EOMONTH($H$74,0),AS$6&lt;=EOMONTH(EDATE($H$74,$E$74-1),0)),$G$74/MAX($E$74,1),0)</f>
        <v>0</v>
      </c>
      <c r="AT80" s="159" t="n">
        <f aca="false">IF(AND(AT$6&gt;=EOMONTH($H$74,0),AT$6&lt;=EOMONTH(EDATE($H$74,$E$74-1),0)),$G$74/MAX($E$74,1),0)</f>
        <v>0</v>
      </c>
      <c r="AU80" s="159" t="n">
        <f aca="false">IF(AND(AU$6&gt;=EOMONTH($H$74,0),AU$6&lt;=EOMONTH(EDATE($H$74,$E$74-1),0)),$G$74/MAX($E$74,1),0)</f>
        <v>0</v>
      </c>
      <c r="AV80" s="159" t="n">
        <f aca="false">IF(AND(AV$6&gt;=EOMONTH($H$74,0),AV$6&lt;=EOMONTH(EDATE($H$74,$E$74-1),0)),$G$74/MAX($E$74,1),0)</f>
        <v>0</v>
      </c>
      <c r="AW80" s="159" t="n">
        <f aca="false">IF(AND(AW$6&gt;=EOMONTH($H$74,0),AW$6&lt;=EOMONTH(EDATE($H$74,$E$74-1),0)),$G$74/MAX($E$74,1),0)</f>
        <v>0</v>
      </c>
      <c r="AX80" s="159" t="n">
        <f aca="false">IF(AND(AX$6&gt;=EOMONTH($H$74,0),AX$6&lt;=EOMONTH(EDATE($H$74,$E$74-1),0)),$G$74/MAX($E$74,1),0)</f>
        <v>0</v>
      </c>
      <c r="AY80" s="159" t="n">
        <f aca="false">IF(AND(AY$6&gt;=EOMONTH($H$74,0),AY$6&lt;=EOMONTH(EDATE($H$74,$E$74-1),0)),$G$74/MAX($E$74,1),0)</f>
        <v>0</v>
      </c>
      <c r="AZ80" s="159" t="n">
        <f aca="false">IF(AND(AZ$6&gt;=EOMONTH($H$74,0),AZ$6&lt;=EOMONTH(EDATE($H$74,$E$74-1),0)),$G$74/MAX($E$74,1),0)</f>
        <v>0</v>
      </c>
      <c r="BA80" s="159" t="n">
        <f aca="false">IF(AND(BA$6&gt;=EOMONTH($H$74,0),BA$6&lt;=EOMONTH(EDATE($H$74,$E$74-1),0)),$G$74/MAX($E$74,1),0)</f>
        <v>0</v>
      </c>
      <c r="BB80" s="159" t="n">
        <f aca="false">IF(AND(BB$6&gt;=EOMONTH($H$74,0),BB$6&lt;=EOMONTH(EDATE($H$74,$E$74-1),0)),$G$74/MAX($E$74,1),0)</f>
        <v>0</v>
      </c>
      <c r="BC80" s="159" t="n">
        <f aca="false">IF(AND(BC$6&gt;=EOMONTH($H$74,0),BC$6&lt;=EOMONTH(EDATE($H$74,$E$74-1),0)),$G$74/MAX($E$74,1),0)</f>
        <v>0</v>
      </c>
      <c r="BD80" s="159" t="n">
        <f aca="false">IF(AND(BD$6&gt;=EOMONTH($H$74,0),BD$6&lt;=EOMONTH(EDATE($H$74,$E$74-1),0)),$G$74/MAX($E$74,1),0)</f>
        <v>0</v>
      </c>
      <c r="BE80" s="159" t="n">
        <f aca="false">IF(AND(BE$6&gt;=EOMONTH($H$74,0),BE$6&lt;=EOMONTH(EDATE($H$74,$E$74-1),0)),$G$74/MAX($E$74,1),0)</f>
        <v>0</v>
      </c>
      <c r="BF80" s="159" t="n">
        <f aca="false">IF(AND(BF$6&gt;=EOMONTH($H$74,0),BF$6&lt;=EOMONTH(EDATE($H$74,$E$74-1),0)),$G$74/MAX($E$74,1),0)</f>
        <v>0</v>
      </c>
      <c r="BG80" s="159" t="n">
        <f aca="false">IF(AND(BG$6&gt;=EOMONTH($H$74,0),BG$6&lt;=EOMONTH(EDATE($H$74,$E$74-1),0)),$G$74/MAX($E$74,1),0)</f>
        <v>0</v>
      </c>
      <c r="BH80" s="159" t="n">
        <f aca="false">IF(AND(BH$6&gt;=EOMONTH($H$74,0),BH$6&lt;=EOMONTH(EDATE($H$74,$E$74-1),0)),$G$74/MAX($E$74,1),0)</f>
        <v>0</v>
      </c>
      <c r="BI80" s="159" t="n">
        <f aca="false">IF(AND(BI$6&gt;=EOMONTH($H$74,0),BI$6&lt;=EOMONTH(EDATE($H$74,$E$74-1),0)),$G$74/MAX($E$74,1),0)</f>
        <v>0</v>
      </c>
      <c r="BJ80" s="159" t="n">
        <f aca="false">IF(AND(BJ$6&gt;=EOMONTH($H$74,0),BJ$6&lt;=EOMONTH(EDATE($H$74,$E$74-1),0)),$G$74/MAX($E$74,1),0)</f>
        <v>0</v>
      </c>
      <c r="BK80" s="159" t="n">
        <f aca="false">IF(AND(BK$6&gt;=EOMONTH($H$74,0),BK$6&lt;=EOMONTH(EDATE($H$74,$E$74-1),0)),$G$74/MAX($E$74,1),0)</f>
        <v>0</v>
      </c>
      <c r="BL80" s="159" t="n">
        <f aca="false">IF(AND(BL$6&gt;=EOMONTH($H$74,0),BL$6&lt;=EOMONTH(EDATE($H$74,$E$74-1),0)),$G$74/MAX($E$74,1),0)</f>
        <v>0</v>
      </c>
      <c r="BM80" s="159" t="n">
        <f aca="false">IF(AND(BM$6&gt;=EOMONTH($H$74,0),BM$6&lt;=EOMONTH(EDATE($H$74,$E$74-1),0)),$G$74/MAX($E$74,1),0)</f>
        <v>0</v>
      </c>
      <c r="BN80" s="159" t="n">
        <f aca="false">IF(AND(BN$6&gt;=EOMONTH($H$74,0),BN$6&lt;=EOMONTH(EDATE($H$74,$E$74-1),0)),$G$74/MAX($E$74,1),0)</f>
        <v>0</v>
      </c>
      <c r="BO80" s="159" t="n">
        <f aca="false">IF(AND(BO$6&gt;=EOMONTH($H$74,0),BO$6&lt;=EOMONTH(EDATE($H$74,$E$74-1),0)),$G$74/MAX($E$74,1),0)</f>
        <v>0</v>
      </c>
      <c r="BP80" s="159" t="n">
        <f aca="false">IF(AND(BP$6&gt;=EOMONTH($H$74,0),BP$6&lt;=EOMONTH(EDATE($H$74,$E$74-1),0)),$G$74/MAX($E$74,1),0)</f>
        <v>0</v>
      </c>
      <c r="BQ80" s="159" t="n">
        <f aca="false">IF(AND(BQ$6&gt;=EOMONTH($H$74,0),BQ$6&lt;=EOMONTH(EDATE($H$74,$E$74-1),0)),$G$74/MAX($E$74,1),0)</f>
        <v>0</v>
      </c>
      <c r="BR80" s="159" t="n">
        <f aca="false">IF(AND(BR$6&gt;=EOMONTH($H$74,0),BR$6&lt;=EOMONTH(EDATE($H$74,$E$74-1),0)),$G$74/MAX($E$74,1),0)</f>
        <v>0</v>
      </c>
      <c r="BS80" s="159" t="n">
        <f aca="false">IF(AND(BS$6&gt;=EOMONTH($H$74,0),BS$6&lt;=EOMONTH(EDATE($H$74,$E$74-1),0)),$G$74/MAX($E$74,1),0)</f>
        <v>0</v>
      </c>
      <c r="BT80" s="159" t="n">
        <f aca="false">IF(AND(BT$6&gt;=EOMONTH($H$74,0),BT$6&lt;=EOMONTH(EDATE($H$74,$E$74-1),0)),$G$74/MAX($E$74,1),0)</f>
        <v>0</v>
      </c>
      <c r="BU80" s="159" t="n">
        <f aca="false">IF(AND(BU$6&gt;=EOMONTH($H$74,0),BU$6&lt;=EOMONTH(EDATE($H$74,$E$74-1),0)),$G$74/MAX($E$74,1),0)</f>
        <v>0</v>
      </c>
      <c r="BV80" s="159" t="n">
        <f aca="false">IF(AND(BV$6&gt;=EOMONTH($H$74,0),BV$6&lt;=EOMONTH(EDATE($H$74,$E$74-1),0)),$G$74/MAX($E$74,1),0)</f>
        <v>0</v>
      </c>
      <c r="BW80" s="159" t="n">
        <f aca="false">IF(AND(BW$6&gt;=EOMONTH($H$74,0),BW$6&lt;=EOMONTH(EDATE($H$74,$E$74-1),0)),$G$74/MAX($E$74,1),0)</f>
        <v>0</v>
      </c>
      <c r="BX80" s="159" t="n">
        <f aca="false">IF(AND(BX$6&gt;=EOMONTH($H$74,0),BX$6&lt;=EOMONTH(EDATE($H$74,$E$74-1),0)),$G$74/MAX($E$74,1),0)</f>
        <v>0</v>
      </c>
      <c r="BY80" s="159" t="n">
        <f aca="false">IF(AND(BY$6&gt;=EOMONTH($H$74,0),BY$6&lt;=EOMONTH(EDATE($H$74,$E$74-1),0)),$G$74/MAX($E$74,1),0)</f>
        <v>0</v>
      </c>
      <c r="BZ80" s="159" t="n">
        <f aca="false">IF(AND(BZ$6&gt;=EOMONTH($H$74,0),BZ$6&lt;=EOMONTH(EDATE($H$74,$E$74-1),0)),$G$74/MAX($E$74,1),0)</f>
        <v>0</v>
      </c>
      <c r="CA80" s="159" t="n">
        <f aca="false">IF(AND(CA$6&gt;=EOMONTH($H$74,0),CA$6&lt;=EOMONTH(EDATE($H$74,$E$74-1),0)),$G$74/MAX($E$74,1),0)</f>
        <v>0</v>
      </c>
    </row>
    <row r="81" customFormat="false" ht="15" hidden="false" customHeight="false" outlineLevel="0" collapsed="false">
      <c r="B81" s="193" t="s">
        <v>342</v>
      </c>
      <c r="T81" s="159" t="n">
        <f aca="false">IF(AND(T$6&gt;=EOMONTH($H$75,0),T$6&lt;=EOMONTH(EDATE($H$75,$E$75-1),0)),$G$75/MAX($E$75,1),0)</f>
        <v>0</v>
      </c>
      <c r="U81" s="159" t="n">
        <f aca="false">IF(AND(U$6&gt;=EOMONTH($H$75,0),U$6&lt;=EOMONTH(EDATE($H$75,$E$75-1),0)),$G$75/MAX($E$75,1),0)</f>
        <v>0</v>
      </c>
      <c r="V81" s="159" t="n">
        <f aca="false">IF(AND(V$6&gt;=EOMONTH($H$75,0),V$6&lt;=EOMONTH(EDATE($H$75,$E$75-1),0)),$G$75/MAX($E$75,1),0)</f>
        <v>0</v>
      </c>
      <c r="W81" s="159" t="n">
        <f aca="false">IF(AND(W$6&gt;=EOMONTH($H$75,0),W$6&lt;=EOMONTH(EDATE($H$75,$E$75-1),0)),$G$75/MAX($E$75,1),0)</f>
        <v>0</v>
      </c>
      <c r="X81" s="159" t="n">
        <f aca="false">IF(AND(X$6&gt;=EOMONTH($H$75,0),X$6&lt;=EOMONTH(EDATE($H$75,$E$75-1),0)),$G$75/MAX($E$75,1),0)</f>
        <v>0</v>
      </c>
      <c r="Y81" s="159" t="n">
        <f aca="false">IF(AND(Y$6&gt;=EOMONTH($H$75,0),Y$6&lt;=EOMONTH(EDATE($H$75,$E$75-1),0)),$G$75/MAX($E$75,1),0)</f>
        <v>0</v>
      </c>
      <c r="Z81" s="159" t="n">
        <f aca="false">IF(AND(Z$6&gt;=EOMONTH($H$75,0),Z$6&lt;=EOMONTH(EDATE($H$75,$E$75-1),0)),$G$75/MAX($E$75,1),0)</f>
        <v>0</v>
      </c>
      <c r="AA81" s="159" t="n">
        <f aca="false">IF(AND(AA$6&gt;=EOMONTH($H$75,0),AA$6&lt;=EOMONTH(EDATE($H$75,$E$75-1),0)),$G$75/MAX($E$75,1),0)</f>
        <v>0</v>
      </c>
      <c r="AB81" s="159" t="n">
        <f aca="false">IF(AND(AB$6&gt;=EOMONTH($H$75,0),AB$6&lt;=EOMONTH(EDATE($H$75,$E$75-1),0)),$G$75/MAX($E$75,1),0)</f>
        <v>0</v>
      </c>
      <c r="AC81" s="159" t="n">
        <f aca="false">IF(AND(AC$6&gt;=EOMONTH($H$75,0),AC$6&lt;=EOMONTH(EDATE($H$75,$E$75-1),0)),$G$75/MAX($E$75,1),0)</f>
        <v>0</v>
      </c>
      <c r="AD81" s="159" t="n">
        <f aca="false">IF(AND(AD$6&gt;=EOMONTH($H$75,0),AD$6&lt;=EOMONTH(EDATE($H$75,$E$75-1),0)),$G$75/MAX($E$75,1),0)</f>
        <v>0</v>
      </c>
      <c r="AE81" s="159" t="n">
        <f aca="false">IF(AND(AE$6&gt;=EOMONTH($H$75,0),AE$6&lt;=EOMONTH(EDATE($H$75,$E$75-1),0)),$G$75/MAX($E$75,1),0)</f>
        <v>0</v>
      </c>
      <c r="AF81" s="159" t="n">
        <f aca="false">IF(AND(AF$6&gt;=EOMONTH($H$75,0),AF$6&lt;=EOMONTH(EDATE($H$75,$E$75-1),0)),$G$75/MAX($E$75,1),0)</f>
        <v>0</v>
      </c>
      <c r="AG81" s="159" t="n">
        <f aca="false">IF(AND(AG$6&gt;=EOMONTH($H$75,0),AG$6&lt;=EOMONTH(EDATE($H$75,$E$75-1),0)),$G$75/MAX($E$75,1),0)</f>
        <v>0</v>
      </c>
      <c r="AH81" s="159" t="n">
        <f aca="false">IF(AND(AH$6&gt;=EOMONTH($H$75,0),AH$6&lt;=EOMONTH(EDATE($H$75,$E$75-1),0)),$G$75/MAX($E$75,1),0)</f>
        <v>0</v>
      </c>
      <c r="AI81" s="159" t="n">
        <f aca="false">IF(AND(AI$6&gt;=EOMONTH($H$75,0),AI$6&lt;=EOMONTH(EDATE($H$75,$E$75-1),0)),$G$75/MAX($E$75,1),0)</f>
        <v>0</v>
      </c>
      <c r="AJ81" s="159" t="n">
        <f aca="false">IF(AND(AJ$6&gt;=EOMONTH($H$75,0),AJ$6&lt;=EOMONTH(EDATE($H$75,$E$75-1),0)),$G$75/MAX($E$75,1),0)</f>
        <v>0</v>
      </c>
      <c r="AK81" s="159" t="n">
        <f aca="false">IF(AND(AK$6&gt;=EOMONTH($H$75,0),AK$6&lt;=EOMONTH(EDATE($H$75,$E$75-1),0)),$G$75/MAX($E$75,1),0)</f>
        <v>0</v>
      </c>
      <c r="AL81" s="159" t="n">
        <f aca="false">IF(AND(AL$6&gt;=EOMONTH($H$75,0),AL$6&lt;=EOMONTH(EDATE($H$75,$E$75-1),0)),$G$75/MAX($E$75,1),0)</f>
        <v>0</v>
      </c>
      <c r="AM81" s="159" t="n">
        <f aca="false">IF(AND(AM$6&gt;=EOMONTH($H$75,0),AM$6&lt;=EOMONTH(EDATE($H$75,$E$75-1),0)),$G$75/MAX($E$75,1),0)</f>
        <v>0</v>
      </c>
      <c r="AN81" s="159" t="n">
        <f aca="false">IF(AND(AN$6&gt;=EOMONTH($H$75,0),AN$6&lt;=EOMONTH(EDATE($H$75,$E$75-1),0)),$G$75/MAX($E$75,1),0)</f>
        <v>0</v>
      </c>
      <c r="AO81" s="159" t="n">
        <f aca="false">IF(AND(AO$6&gt;=EOMONTH($H$75,0),AO$6&lt;=EOMONTH(EDATE($H$75,$E$75-1),0)),$G$75/MAX($E$75,1),0)</f>
        <v>0</v>
      </c>
      <c r="AP81" s="159" t="n">
        <f aca="false">IF(AND(AP$6&gt;=EOMONTH($H$75,0),AP$6&lt;=EOMONTH(EDATE($H$75,$E$75-1),0)),$G$75/MAX($E$75,1),0)</f>
        <v>0</v>
      </c>
      <c r="AQ81" s="159" t="n">
        <f aca="false">IF(AND(AQ$6&gt;=EOMONTH($H$75,0),AQ$6&lt;=EOMONTH(EDATE($H$75,$E$75-1),0)),$G$75/MAX($E$75,1),0)</f>
        <v>0</v>
      </c>
      <c r="AR81" s="159" t="n">
        <f aca="false">IF(AND(AR$6&gt;=EOMONTH($H$75,0),AR$6&lt;=EOMONTH(EDATE($H$75,$E$75-1),0)),$G$75/MAX($E$75,1),0)</f>
        <v>0</v>
      </c>
      <c r="AS81" s="159" t="n">
        <f aca="false">IF(AND(AS$6&gt;=EOMONTH($H$75,0),AS$6&lt;=EOMONTH(EDATE($H$75,$E$75-1),0)),$G$75/MAX($E$75,1),0)</f>
        <v>0</v>
      </c>
      <c r="AT81" s="159" t="n">
        <f aca="false">IF(AND(AT$6&gt;=EOMONTH($H$75,0),AT$6&lt;=EOMONTH(EDATE($H$75,$E$75-1),0)),$G$75/MAX($E$75,1),0)</f>
        <v>0</v>
      </c>
      <c r="AU81" s="159" t="n">
        <f aca="false">IF(AND(AU$6&gt;=EOMONTH($H$75,0),AU$6&lt;=EOMONTH(EDATE($H$75,$E$75-1),0)),$G$75/MAX($E$75,1),0)</f>
        <v>0</v>
      </c>
      <c r="AV81" s="159" t="n">
        <f aca="false">IF(AND(AV$6&gt;=EOMONTH($H$75,0),AV$6&lt;=EOMONTH(EDATE($H$75,$E$75-1),0)),$G$75/MAX($E$75,1),0)</f>
        <v>0</v>
      </c>
      <c r="AW81" s="159" t="n">
        <f aca="false">IF(AND(AW$6&gt;=EOMONTH($H$75,0),AW$6&lt;=EOMONTH(EDATE($H$75,$E$75-1),0)),$G$75/MAX($E$75,1),0)</f>
        <v>0</v>
      </c>
      <c r="AX81" s="159" t="n">
        <f aca="false">IF(AND(AX$6&gt;=EOMONTH($H$75,0),AX$6&lt;=EOMONTH(EDATE($H$75,$E$75-1),0)),$G$75/MAX($E$75,1),0)</f>
        <v>0</v>
      </c>
      <c r="AY81" s="159" t="n">
        <f aca="false">IF(AND(AY$6&gt;=EOMONTH($H$75,0),AY$6&lt;=EOMONTH(EDATE($H$75,$E$75-1),0)),$G$75/MAX($E$75,1),0)</f>
        <v>0</v>
      </c>
      <c r="AZ81" s="159" t="n">
        <f aca="false">IF(AND(AZ$6&gt;=EOMONTH($H$75,0),AZ$6&lt;=EOMONTH(EDATE($H$75,$E$75-1),0)),$G$75/MAX($E$75,1),0)</f>
        <v>0</v>
      </c>
      <c r="BA81" s="159" t="n">
        <f aca="false">IF(AND(BA$6&gt;=EOMONTH($H$75,0),BA$6&lt;=EOMONTH(EDATE($H$75,$E$75-1),0)),$G$75/MAX($E$75,1),0)</f>
        <v>0</v>
      </c>
      <c r="BB81" s="159" t="n">
        <f aca="false">IF(AND(BB$6&gt;=EOMONTH($H$75,0),BB$6&lt;=EOMONTH(EDATE($H$75,$E$75-1),0)),$G$75/MAX($E$75,1),0)</f>
        <v>0</v>
      </c>
      <c r="BC81" s="159" t="n">
        <f aca="false">IF(AND(BC$6&gt;=EOMONTH($H$75,0),BC$6&lt;=EOMONTH(EDATE($H$75,$E$75-1),0)),$G$75/MAX($E$75,1),0)</f>
        <v>0</v>
      </c>
      <c r="BD81" s="159" t="n">
        <f aca="false">IF(AND(BD$6&gt;=EOMONTH($H$75,0),BD$6&lt;=EOMONTH(EDATE($H$75,$E$75-1),0)),$G$75/MAX($E$75,1),0)</f>
        <v>0</v>
      </c>
      <c r="BE81" s="159" t="n">
        <f aca="false">IF(AND(BE$6&gt;=EOMONTH($H$75,0),BE$6&lt;=EOMONTH(EDATE($H$75,$E$75-1),0)),$G$75/MAX($E$75,1),0)</f>
        <v>0</v>
      </c>
      <c r="BF81" s="159" t="n">
        <f aca="false">IF(AND(BF$6&gt;=EOMONTH($H$75,0),BF$6&lt;=EOMONTH(EDATE($H$75,$E$75-1),0)),$G$75/MAX($E$75,1),0)</f>
        <v>0</v>
      </c>
      <c r="BG81" s="159" t="n">
        <f aca="false">IF(AND(BG$6&gt;=EOMONTH($H$75,0),BG$6&lt;=EOMONTH(EDATE($H$75,$E$75-1),0)),$G$75/MAX($E$75,1),0)</f>
        <v>0</v>
      </c>
      <c r="BH81" s="159" t="n">
        <f aca="false">IF(AND(BH$6&gt;=EOMONTH($H$75,0),BH$6&lt;=EOMONTH(EDATE($H$75,$E$75-1),0)),$G$75/MAX($E$75,1),0)</f>
        <v>0</v>
      </c>
      <c r="BI81" s="159" t="n">
        <f aca="false">IF(AND(BI$6&gt;=EOMONTH($H$75,0),BI$6&lt;=EOMONTH(EDATE($H$75,$E$75-1),0)),$G$75/MAX($E$75,1),0)</f>
        <v>0</v>
      </c>
      <c r="BJ81" s="159" t="n">
        <f aca="false">IF(AND(BJ$6&gt;=EOMONTH($H$75,0),BJ$6&lt;=EOMONTH(EDATE($H$75,$E$75-1),0)),$G$75/MAX($E$75,1),0)</f>
        <v>0</v>
      </c>
      <c r="BK81" s="159" t="n">
        <f aca="false">IF(AND(BK$6&gt;=EOMONTH($H$75,0),BK$6&lt;=EOMONTH(EDATE($H$75,$E$75-1),0)),$G$75/MAX($E$75,1),0)</f>
        <v>0</v>
      </c>
      <c r="BL81" s="159" t="n">
        <f aca="false">IF(AND(BL$6&gt;=EOMONTH($H$75,0),BL$6&lt;=EOMONTH(EDATE($H$75,$E$75-1),0)),$G$75/MAX($E$75,1),0)</f>
        <v>0</v>
      </c>
      <c r="BM81" s="159" t="n">
        <f aca="false">IF(AND(BM$6&gt;=EOMONTH($H$75,0),BM$6&lt;=EOMONTH(EDATE($H$75,$E$75-1),0)),$G$75/MAX($E$75,1),0)</f>
        <v>0</v>
      </c>
      <c r="BN81" s="159" t="n">
        <f aca="false">IF(AND(BN$6&gt;=EOMONTH($H$75,0),BN$6&lt;=EOMONTH(EDATE($H$75,$E$75-1),0)),$G$75/MAX($E$75,1),0)</f>
        <v>0</v>
      </c>
      <c r="BO81" s="159" t="n">
        <f aca="false">IF(AND(BO$6&gt;=EOMONTH($H$75,0),BO$6&lt;=EOMONTH(EDATE($H$75,$E$75-1),0)),$G$75/MAX($E$75,1),0)</f>
        <v>0</v>
      </c>
      <c r="BP81" s="159" t="n">
        <f aca="false">IF(AND(BP$6&gt;=EOMONTH($H$75,0),BP$6&lt;=EOMONTH(EDATE($H$75,$E$75-1),0)),$G$75/MAX($E$75,1),0)</f>
        <v>0</v>
      </c>
      <c r="BQ81" s="159" t="n">
        <f aca="false">IF(AND(BQ$6&gt;=EOMONTH($H$75,0),BQ$6&lt;=EOMONTH(EDATE($H$75,$E$75-1),0)),$G$75/MAX($E$75,1),0)</f>
        <v>0</v>
      </c>
      <c r="BR81" s="159" t="n">
        <f aca="false">IF(AND(BR$6&gt;=EOMONTH($H$75,0),BR$6&lt;=EOMONTH(EDATE($H$75,$E$75-1),0)),$G$75/MAX($E$75,1),0)</f>
        <v>0</v>
      </c>
      <c r="BS81" s="159" t="n">
        <f aca="false">IF(AND(BS$6&gt;=EOMONTH($H$75,0),BS$6&lt;=EOMONTH(EDATE($H$75,$E$75-1),0)),$G$75/MAX($E$75,1),0)</f>
        <v>0</v>
      </c>
      <c r="BT81" s="159" t="n">
        <f aca="false">IF(AND(BT$6&gt;=EOMONTH($H$75,0),BT$6&lt;=EOMONTH(EDATE($H$75,$E$75-1),0)),$G$75/MAX($E$75,1),0)</f>
        <v>0</v>
      </c>
      <c r="BU81" s="159" t="n">
        <f aca="false">IF(AND(BU$6&gt;=EOMONTH($H$75,0),BU$6&lt;=EOMONTH(EDATE($H$75,$E$75-1),0)),$G$75/MAX($E$75,1),0)</f>
        <v>0</v>
      </c>
      <c r="BV81" s="159" t="n">
        <f aca="false">IF(AND(BV$6&gt;=EOMONTH($H$75,0),BV$6&lt;=EOMONTH(EDATE($H$75,$E$75-1),0)),$G$75/MAX($E$75,1),0)</f>
        <v>0</v>
      </c>
      <c r="BW81" s="159" t="n">
        <f aca="false">IF(AND(BW$6&gt;=EOMONTH($H$75,0),BW$6&lt;=EOMONTH(EDATE($H$75,$E$75-1),0)),$G$75/MAX($E$75,1),0)</f>
        <v>0</v>
      </c>
      <c r="BX81" s="159" t="n">
        <f aca="false">IF(AND(BX$6&gt;=EOMONTH($H$75,0),BX$6&lt;=EOMONTH(EDATE($H$75,$E$75-1),0)),$G$75/MAX($E$75,1),0)</f>
        <v>0</v>
      </c>
      <c r="BY81" s="159" t="n">
        <f aca="false">IF(AND(BY$6&gt;=EOMONTH($H$75,0),BY$6&lt;=EOMONTH(EDATE($H$75,$E$75-1),0)),$G$75/MAX($E$75,1),0)</f>
        <v>0</v>
      </c>
      <c r="BZ81" s="159" t="n">
        <f aca="false">IF(AND(BZ$6&gt;=EOMONTH($H$75,0),BZ$6&lt;=EOMONTH(EDATE($H$75,$E$75-1),0)),$G$75/MAX($E$75,1),0)</f>
        <v>0</v>
      </c>
      <c r="CA81" s="159" t="n">
        <f aca="false">IF(AND(CA$6&gt;=EOMONTH($H$75,0),CA$6&lt;=EOMONTH(EDATE($H$75,$E$75-1),0)),$G$75/MAX($E$75,1),0)</f>
        <v>0</v>
      </c>
    </row>
    <row r="82" customFormat="false" ht="15" hidden="false" customHeight="false" outlineLevel="0" collapsed="false">
      <c r="B82" s="3" t="s">
        <v>343</v>
      </c>
      <c r="G82" s="159" t="n">
        <f aca="false">SUM(G72:G75)</f>
        <v>1283425</v>
      </c>
    </row>
    <row r="84" customFormat="false" ht="15" hidden="false" customHeight="false" outlineLevel="0" collapsed="false">
      <c r="B84" s="194" t="s">
        <v>344</v>
      </c>
    </row>
    <row r="85" customFormat="false" ht="15" hidden="false" customHeight="false" outlineLevel="0" collapsed="false">
      <c r="B85" s="169" t="s">
        <v>345</v>
      </c>
      <c r="C85" s="169" t="s">
        <v>346</v>
      </c>
      <c r="D85" s="169" t="s">
        <v>347</v>
      </c>
      <c r="E85" s="169" t="s">
        <v>348</v>
      </c>
      <c r="H85" s="169" t="s">
        <v>326</v>
      </c>
      <c r="I85" s="169" t="s">
        <v>213</v>
      </c>
    </row>
    <row r="86" customFormat="false" ht="28.35" hidden="false" customHeight="false" outlineLevel="0" collapsed="false">
      <c r="B86" s="9" t="s">
        <v>349</v>
      </c>
      <c r="C86" s="190" t="s">
        <v>350</v>
      </c>
      <c r="D86" s="158" t="n">
        <v>0</v>
      </c>
      <c r="E86" s="156" t="n">
        <v>5</v>
      </c>
      <c r="H86" s="178" t="n">
        <f aca="false">DATE(2026,12,1)</f>
        <v>46357</v>
      </c>
      <c r="I86" s="168" t="n">
        <v>0</v>
      </c>
    </row>
    <row r="87" customFormat="false" ht="28.35" hidden="false" customHeight="false" outlineLevel="0" collapsed="false">
      <c r="B87" s="9" t="s">
        <v>351</v>
      </c>
      <c r="C87" s="190" t="s">
        <v>352</v>
      </c>
      <c r="D87" s="158" t="n">
        <v>0</v>
      </c>
      <c r="E87" s="156" t="n">
        <v>6</v>
      </c>
      <c r="H87" s="178" t="n">
        <f aca="false">DATE(2027,4,1)</f>
        <v>46478</v>
      </c>
      <c r="I87" s="168" t="n">
        <v>0</v>
      </c>
    </row>
    <row r="88" customFormat="false" ht="28.35" hidden="false" customHeight="false" outlineLevel="0" collapsed="false">
      <c r="B88" s="9" t="s">
        <v>353</v>
      </c>
      <c r="C88" s="190" t="s">
        <v>354</v>
      </c>
      <c r="D88" s="159" t="n">
        <f aca="false">$D$42*($G$82+$D$86+$D$87)</f>
        <v>102674</v>
      </c>
      <c r="E88" s="156" t="n">
        <v>9</v>
      </c>
      <c r="H88" s="178" t="n">
        <f aca="false">DATE(2026,10,1)</f>
        <v>46296</v>
      </c>
      <c r="I88" s="168" t="n">
        <v>0</v>
      </c>
    </row>
    <row r="89" customFormat="false" ht="28.35" hidden="false" customHeight="false" outlineLevel="0" collapsed="false">
      <c r="B89" s="9" t="s">
        <v>355</v>
      </c>
      <c r="C89" s="190" t="s">
        <v>356</v>
      </c>
      <c r="D89" s="159" t="n">
        <f aca="false">$D$43*($G$82+$D$86+$D$87+$D$88)</f>
        <v>138609.9</v>
      </c>
      <c r="E89" s="156" t="n">
        <v>9</v>
      </c>
      <c r="H89" s="178" t="n">
        <f aca="false">DATE(2026,10,1)</f>
        <v>46296</v>
      </c>
      <c r="I89" s="168" t="n">
        <v>0</v>
      </c>
    </row>
    <row r="90" customFormat="false" ht="15" hidden="false" customHeight="false" outlineLevel="0" collapsed="false">
      <c r="B90" s="9" t="s">
        <v>357</v>
      </c>
      <c r="C90" s="190"/>
      <c r="D90" s="158" t="n">
        <v>0</v>
      </c>
      <c r="E90" s="156" t="n">
        <v>1</v>
      </c>
      <c r="H90" s="178" t="n">
        <f aca="false">DATE(2027,4,1)</f>
        <v>46478</v>
      </c>
      <c r="I90" s="168" t="n">
        <v>0</v>
      </c>
    </row>
    <row r="92" customFormat="false" ht="15" hidden="false" customHeight="false" outlineLevel="0" collapsed="false">
      <c r="B92" s="167" t="s">
        <v>358</v>
      </c>
    </row>
    <row r="93" customFormat="false" ht="15" hidden="false" customHeight="false" outlineLevel="0" collapsed="false">
      <c r="B93" s="193" t="s">
        <v>359</v>
      </c>
      <c r="T93" s="159" t="n">
        <f aca="false">IF(AND(T$6&gt;=EOMONTH($H$86,0),T$6&lt;=EOMONTH(EDATE($H$86,$E$86-1),0)),$D$86/MAX($E$86,1),0)</f>
        <v>0</v>
      </c>
      <c r="U93" s="159" t="n">
        <f aca="false">IF(AND(U$6&gt;=EOMONTH($H$86,0),U$6&lt;=EOMONTH(EDATE($H$86,$E$86-1),0)),$D$86/MAX($E$86,1),0)</f>
        <v>0</v>
      </c>
      <c r="V93" s="159" t="n">
        <f aca="false">IF(AND(V$6&gt;=EOMONTH($H$86,0),V$6&lt;=EOMONTH(EDATE($H$86,$E$86-1),0)),$D$86/MAX($E$86,1),0)</f>
        <v>0</v>
      </c>
      <c r="W93" s="159" t="n">
        <f aca="false">IF(AND(W$6&gt;=EOMONTH($H$86,0),W$6&lt;=EOMONTH(EDATE($H$86,$E$86-1),0)),$D$86/MAX($E$86,1),0)</f>
        <v>0</v>
      </c>
      <c r="X93" s="159" t="n">
        <f aca="false">IF(AND(X$6&gt;=EOMONTH($H$86,0),X$6&lt;=EOMONTH(EDATE($H$86,$E$86-1),0)),$D$86/MAX($E$86,1),0)</f>
        <v>0</v>
      </c>
      <c r="Y93" s="159" t="n">
        <f aca="false">IF(AND(Y$6&gt;=EOMONTH($H$86,0),Y$6&lt;=EOMONTH(EDATE($H$86,$E$86-1),0)),$D$86/MAX($E$86,1),0)</f>
        <v>0</v>
      </c>
      <c r="Z93" s="159" t="n">
        <f aca="false">IF(AND(Z$6&gt;=EOMONTH($H$86,0),Z$6&lt;=EOMONTH(EDATE($H$86,$E$86-1),0)),$D$86/MAX($E$86,1),0)</f>
        <v>0</v>
      </c>
      <c r="AA93" s="159" t="n">
        <f aca="false">IF(AND(AA$6&gt;=EOMONTH($H$86,0),AA$6&lt;=EOMONTH(EDATE($H$86,$E$86-1),0)),$D$86/MAX($E$86,1),0)</f>
        <v>0</v>
      </c>
      <c r="AB93" s="159" t="n">
        <f aca="false">IF(AND(AB$6&gt;=EOMONTH($H$86,0),AB$6&lt;=EOMONTH(EDATE($H$86,$E$86-1),0)),$D$86/MAX($E$86,1),0)</f>
        <v>0</v>
      </c>
      <c r="AC93" s="159" t="n">
        <f aca="false">IF(AND(AC$6&gt;=EOMONTH($H$86,0),AC$6&lt;=EOMONTH(EDATE($H$86,$E$86-1),0)),$D$86/MAX($E$86,1),0)</f>
        <v>0</v>
      </c>
      <c r="AD93" s="159" t="n">
        <f aca="false">IF(AND(AD$6&gt;=EOMONTH($H$86,0),AD$6&lt;=EOMONTH(EDATE($H$86,$E$86-1),0)),$D$86/MAX($E$86,1),0)</f>
        <v>0</v>
      </c>
      <c r="AE93" s="159" t="n">
        <f aca="false">IF(AND(AE$6&gt;=EOMONTH($H$86,0),AE$6&lt;=EOMONTH(EDATE($H$86,$E$86-1),0)),$D$86/MAX($E$86,1),0)</f>
        <v>0</v>
      </c>
      <c r="AF93" s="159" t="n">
        <f aca="false">IF(AND(AF$6&gt;=EOMONTH($H$86,0),AF$6&lt;=EOMONTH(EDATE($H$86,$E$86-1),0)),$D$86/MAX($E$86,1),0)</f>
        <v>0</v>
      </c>
      <c r="AG93" s="159" t="n">
        <f aca="false">IF(AND(AG$6&gt;=EOMONTH($H$86,0),AG$6&lt;=EOMONTH(EDATE($H$86,$E$86-1),0)),$D$86/MAX($E$86,1),0)</f>
        <v>0</v>
      </c>
      <c r="AH93" s="159" t="n">
        <f aca="false">IF(AND(AH$6&gt;=EOMONTH($H$86,0),AH$6&lt;=EOMONTH(EDATE($H$86,$E$86-1),0)),$D$86/MAX($E$86,1),0)</f>
        <v>0</v>
      </c>
      <c r="AI93" s="159" t="n">
        <f aca="false">IF(AND(AI$6&gt;=EOMONTH($H$86,0),AI$6&lt;=EOMONTH(EDATE($H$86,$E$86-1),0)),$D$86/MAX($E$86,1),0)</f>
        <v>0</v>
      </c>
      <c r="AJ93" s="159" t="n">
        <f aca="false">IF(AND(AJ$6&gt;=EOMONTH($H$86,0),AJ$6&lt;=EOMONTH(EDATE($H$86,$E$86-1),0)),$D$86/MAX($E$86,1),0)</f>
        <v>0</v>
      </c>
      <c r="AK93" s="159" t="n">
        <f aca="false">IF(AND(AK$6&gt;=EOMONTH($H$86,0),AK$6&lt;=EOMONTH(EDATE($H$86,$E$86-1),0)),$D$86/MAX($E$86,1),0)</f>
        <v>0</v>
      </c>
      <c r="AL93" s="159" t="n">
        <f aca="false">IF(AND(AL$6&gt;=EOMONTH($H$86,0),AL$6&lt;=EOMONTH(EDATE($H$86,$E$86-1),0)),$D$86/MAX($E$86,1),0)</f>
        <v>0</v>
      </c>
      <c r="AM93" s="159" t="n">
        <f aca="false">IF(AND(AM$6&gt;=EOMONTH($H$86,0),AM$6&lt;=EOMONTH(EDATE($H$86,$E$86-1),0)),$D$86/MAX($E$86,1),0)</f>
        <v>0</v>
      </c>
      <c r="AN93" s="159" t="n">
        <f aca="false">IF(AND(AN$6&gt;=EOMONTH($H$86,0),AN$6&lt;=EOMONTH(EDATE($H$86,$E$86-1),0)),$D$86/MAX($E$86,1),0)</f>
        <v>0</v>
      </c>
      <c r="AO93" s="159" t="n">
        <f aca="false">IF(AND(AO$6&gt;=EOMONTH($H$86,0),AO$6&lt;=EOMONTH(EDATE($H$86,$E$86-1),0)),$D$86/MAX($E$86,1),0)</f>
        <v>0</v>
      </c>
      <c r="AP93" s="159" t="n">
        <f aca="false">IF(AND(AP$6&gt;=EOMONTH($H$86,0),AP$6&lt;=EOMONTH(EDATE($H$86,$E$86-1),0)),$D$86/MAX($E$86,1),0)</f>
        <v>0</v>
      </c>
      <c r="AQ93" s="159" t="n">
        <f aca="false">IF(AND(AQ$6&gt;=EOMONTH($H$86,0),AQ$6&lt;=EOMONTH(EDATE($H$86,$E$86-1),0)),$D$86/MAX($E$86,1),0)</f>
        <v>0</v>
      </c>
      <c r="AR93" s="159" t="n">
        <f aca="false">IF(AND(AR$6&gt;=EOMONTH($H$86,0),AR$6&lt;=EOMONTH(EDATE($H$86,$E$86-1),0)),$D$86/MAX($E$86,1),0)</f>
        <v>0</v>
      </c>
      <c r="AS93" s="159" t="n">
        <f aca="false">IF(AND(AS$6&gt;=EOMONTH($H$86,0),AS$6&lt;=EOMONTH(EDATE($H$86,$E$86-1),0)),$D$86/MAX($E$86,1),0)</f>
        <v>0</v>
      </c>
      <c r="AT93" s="159" t="n">
        <f aca="false">IF(AND(AT$6&gt;=EOMONTH($H$86,0),AT$6&lt;=EOMONTH(EDATE($H$86,$E$86-1),0)),$D$86/MAX($E$86,1),0)</f>
        <v>0</v>
      </c>
      <c r="AU93" s="159" t="n">
        <f aca="false">IF(AND(AU$6&gt;=EOMONTH($H$86,0),AU$6&lt;=EOMONTH(EDATE($H$86,$E$86-1),0)),$D$86/MAX($E$86,1),0)</f>
        <v>0</v>
      </c>
      <c r="AV93" s="159" t="n">
        <f aca="false">IF(AND(AV$6&gt;=EOMONTH($H$86,0),AV$6&lt;=EOMONTH(EDATE($H$86,$E$86-1),0)),$D$86/MAX($E$86,1),0)</f>
        <v>0</v>
      </c>
      <c r="AW93" s="159" t="n">
        <f aca="false">IF(AND(AW$6&gt;=EOMONTH($H$86,0),AW$6&lt;=EOMONTH(EDATE($H$86,$E$86-1),0)),$D$86/MAX($E$86,1),0)</f>
        <v>0</v>
      </c>
      <c r="AX93" s="159" t="n">
        <f aca="false">IF(AND(AX$6&gt;=EOMONTH($H$86,0),AX$6&lt;=EOMONTH(EDATE($H$86,$E$86-1),0)),$D$86/MAX($E$86,1),0)</f>
        <v>0</v>
      </c>
      <c r="AY93" s="159" t="n">
        <f aca="false">IF(AND(AY$6&gt;=EOMONTH($H$86,0),AY$6&lt;=EOMONTH(EDATE($H$86,$E$86-1),0)),$D$86/MAX($E$86,1),0)</f>
        <v>0</v>
      </c>
      <c r="AZ93" s="159" t="n">
        <f aca="false">IF(AND(AZ$6&gt;=EOMONTH($H$86,0),AZ$6&lt;=EOMONTH(EDATE($H$86,$E$86-1),0)),$D$86/MAX($E$86,1),0)</f>
        <v>0</v>
      </c>
      <c r="BA93" s="159" t="n">
        <f aca="false">IF(AND(BA$6&gt;=EOMONTH($H$86,0),BA$6&lt;=EOMONTH(EDATE($H$86,$E$86-1),0)),$D$86/MAX($E$86,1),0)</f>
        <v>0</v>
      </c>
      <c r="BB93" s="159" t="n">
        <f aca="false">IF(AND(BB$6&gt;=EOMONTH($H$86,0),BB$6&lt;=EOMONTH(EDATE($H$86,$E$86-1),0)),$D$86/MAX($E$86,1),0)</f>
        <v>0</v>
      </c>
      <c r="BC93" s="159" t="n">
        <f aca="false">IF(AND(BC$6&gt;=EOMONTH($H$86,0),BC$6&lt;=EOMONTH(EDATE($H$86,$E$86-1),0)),$D$86/MAX($E$86,1),0)</f>
        <v>0</v>
      </c>
      <c r="BD93" s="159" t="n">
        <f aca="false">IF(AND(BD$6&gt;=EOMONTH($H$86,0),BD$6&lt;=EOMONTH(EDATE($H$86,$E$86-1),0)),$D$86/MAX($E$86,1),0)</f>
        <v>0</v>
      </c>
      <c r="BE93" s="159" t="n">
        <f aca="false">IF(AND(BE$6&gt;=EOMONTH($H$86,0),BE$6&lt;=EOMONTH(EDATE($H$86,$E$86-1),0)),$D$86/MAX($E$86,1),0)</f>
        <v>0</v>
      </c>
      <c r="BF93" s="159" t="n">
        <f aca="false">IF(AND(BF$6&gt;=EOMONTH($H$86,0),BF$6&lt;=EOMONTH(EDATE($H$86,$E$86-1),0)),$D$86/MAX($E$86,1),0)</f>
        <v>0</v>
      </c>
      <c r="BG93" s="159" t="n">
        <f aca="false">IF(AND(BG$6&gt;=EOMONTH($H$86,0),BG$6&lt;=EOMONTH(EDATE($H$86,$E$86-1),0)),$D$86/MAX($E$86,1),0)</f>
        <v>0</v>
      </c>
      <c r="BH93" s="159" t="n">
        <f aca="false">IF(AND(BH$6&gt;=EOMONTH($H$86,0),BH$6&lt;=EOMONTH(EDATE($H$86,$E$86-1),0)),$D$86/MAX($E$86,1),0)</f>
        <v>0</v>
      </c>
      <c r="BI93" s="159" t="n">
        <f aca="false">IF(AND(BI$6&gt;=EOMONTH($H$86,0),BI$6&lt;=EOMONTH(EDATE($H$86,$E$86-1),0)),$D$86/MAX($E$86,1),0)</f>
        <v>0</v>
      </c>
      <c r="BJ93" s="159" t="n">
        <f aca="false">IF(AND(BJ$6&gt;=EOMONTH($H$86,0),BJ$6&lt;=EOMONTH(EDATE($H$86,$E$86-1),0)),$D$86/MAX($E$86,1),0)</f>
        <v>0</v>
      </c>
      <c r="BK93" s="159" t="n">
        <f aca="false">IF(AND(BK$6&gt;=EOMONTH($H$86,0),BK$6&lt;=EOMONTH(EDATE($H$86,$E$86-1),0)),$D$86/MAX($E$86,1),0)</f>
        <v>0</v>
      </c>
      <c r="BL93" s="159" t="n">
        <f aca="false">IF(AND(BL$6&gt;=EOMONTH($H$86,0),BL$6&lt;=EOMONTH(EDATE($H$86,$E$86-1),0)),$D$86/MAX($E$86,1),0)</f>
        <v>0</v>
      </c>
      <c r="BM93" s="159" t="n">
        <f aca="false">IF(AND(BM$6&gt;=EOMONTH($H$86,0),BM$6&lt;=EOMONTH(EDATE($H$86,$E$86-1),0)),$D$86/MAX($E$86,1),0)</f>
        <v>0</v>
      </c>
      <c r="BN93" s="159" t="n">
        <f aca="false">IF(AND(BN$6&gt;=EOMONTH($H$86,0),BN$6&lt;=EOMONTH(EDATE($H$86,$E$86-1),0)),$D$86/MAX($E$86,1),0)</f>
        <v>0</v>
      </c>
      <c r="BO93" s="159" t="n">
        <f aca="false">IF(AND(BO$6&gt;=EOMONTH($H$86,0),BO$6&lt;=EOMONTH(EDATE($H$86,$E$86-1),0)),$D$86/MAX($E$86,1),0)</f>
        <v>0</v>
      </c>
      <c r="BP93" s="159" t="n">
        <f aca="false">IF(AND(BP$6&gt;=EOMONTH($H$86,0),BP$6&lt;=EOMONTH(EDATE($H$86,$E$86-1),0)),$D$86/MAX($E$86,1),0)</f>
        <v>0</v>
      </c>
      <c r="BQ93" s="159" t="n">
        <f aca="false">IF(AND(BQ$6&gt;=EOMONTH($H$86,0),BQ$6&lt;=EOMONTH(EDATE($H$86,$E$86-1),0)),$D$86/MAX($E$86,1),0)</f>
        <v>0</v>
      </c>
      <c r="BR93" s="159" t="n">
        <f aca="false">IF(AND(BR$6&gt;=EOMONTH($H$86,0),BR$6&lt;=EOMONTH(EDATE($H$86,$E$86-1),0)),$D$86/MAX($E$86,1),0)</f>
        <v>0</v>
      </c>
      <c r="BS93" s="159" t="n">
        <f aca="false">IF(AND(BS$6&gt;=EOMONTH($H$86,0),BS$6&lt;=EOMONTH(EDATE($H$86,$E$86-1),0)),$D$86/MAX($E$86,1),0)</f>
        <v>0</v>
      </c>
      <c r="BT93" s="159" t="n">
        <f aca="false">IF(AND(BT$6&gt;=EOMONTH($H$86,0),BT$6&lt;=EOMONTH(EDATE($H$86,$E$86-1),0)),$D$86/MAX($E$86,1),0)</f>
        <v>0</v>
      </c>
      <c r="BU93" s="159" t="n">
        <f aca="false">IF(AND(BU$6&gt;=EOMONTH($H$86,0),BU$6&lt;=EOMONTH(EDATE($H$86,$E$86-1),0)),$D$86/MAX($E$86,1),0)</f>
        <v>0</v>
      </c>
      <c r="BV93" s="159" t="n">
        <f aca="false">IF(AND(BV$6&gt;=EOMONTH($H$86,0),BV$6&lt;=EOMONTH(EDATE($H$86,$E$86-1),0)),$D$86/MAX($E$86,1),0)</f>
        <v>0</v>
      </c>
      <c r="BW93" s="159" t="n">
        <f aca="false">IF(AND(BW$6&gt;=EOMONTH($H$86,0),BW$6&lt;=EOMONTH(EDATE($H$86,$E$86-1),0)),$D$86/MAX($E$86,1),0)</f>
        <v>0</v>
      </c>
      <c r="BX93" s="159" t="n">
        <f aca="false">IF(AND(BX$6&gt;=EOMONTH($H$86,0),BX$6&lt;=EOMONTH(EDATE($H$86,$E$86-1),0)),$D$86/MAX($E$86,1),0)</f>
        <v>0</v>
      </c>
      <c r="BY93" s="159" t="n">
        <f aca="false">IF(AND(BY$6&gt;=EOMONTH($H$86,0),BY$6&lt;=EOMONTH(EDATE($H$86,$E$86-1),0)),$D$86/MAX($E$86,1),0)</f>
        <v>0</v>
      </c>
      <c r="BZ93" s="159" t="n">
        <f aca="false">IF(AND(BZ$6&gt;=EOMONTH($H$86,0),BZ$6&lt;=EOMONTH(EDATE($H$86,$E$86-1),0)),$D$86/MAX($E$86,1),0)</f>
        <v>0</v>
      </c>
      <c r="CA93" s="159" t="n">
        <f aca="false">IF(AND(CA$6&gt;=EOMONTH($H$86,0),CA$6&lt;=EOMONTH(EDATE($H$86,$E$86-1),0)),$D$86/MAX($E$86,1),0)</f>
        <v>0</v>
      </c>
    </row>
    <row r="94" customFormat="false" ht="15" hidden="false" customHeight="false" outlineLevel="0" collapsed="false">
      <c r="B94" s="193" t="s">
        <v>360</v>
      </c>
      <c r="T94" s="159" t="n">
        <f aca="false">IF(AND(T$6&gt;=EOMONTH($H$87,0),T$6&lt;=EOMONTH(EDATE($H$87,$E$87-1),0)),$D$87/MAX($E$87,1),0)</f>
        <v>0</v>
      </c>
      <c r="U94" s="159" t="n">
        <f aca="false">IF(AND(U$6&gt;=EOMONTH($H$87,0),U$6&lt;=EOMONTH(EDATE($H$87,$E$87-1),0)),$D$87/MAX($E$87,1),0)</f>
        <v>0</v>
      </c>
      <c r="V94" s="159" t="n">
        <f aca="false">IF(AND(V$6&gt;=EOMONTH($H$87,0),V$6&lt;=EOMONTH(EDATE($H$87,$E$87-1),0)),$D$87/MAX($E$87,1),0)</f>
        <v>0</v>
      </c>
      <c r="W94" s="159" t="n">
        <f aca="false">IF(AND(W$6&gt;=EOMONTH($H$87,0),W$6&lt;=EOMONTH(EDATE($H$87,$E$87-1),0)),$D$87/MAX($E$87,1),0)</f>
        <v>0</v>
      </c>
      <c r="X94" s="159" t="n">
        <f aca="false">IF(AND(X$6&gt;=EOMONTH($H$87,0),X$6&lt;=EOMONTH(EDATE($H$87,$E$87-1),0)),$D$87/MAX($E$87,1),0)</f>
        <v>0</v>
      </c>
      <c r="Y94" s="159" t="n">
        <f aca="false">IF(AND(Y$6&gt;=EOMONTH($H$87,0),Y$6&lt;=EOMONTH(EDATE($H$87,$E$87-1),0)),$D$87/MAX($E$87,1),0)</f>
        <v>0</v>
      </c>
      <c r="Z94" s="159" t="n">
        <f aca="false">IF(AND(Z$6&gt;=EOMONTH($H$87,0),Z$6&lt;=EOMONTH(EDATE($H$87,$E$87-1),0)),$D$87/MAX($E$87,1),0)</f>
        <v>0</v>
      </c>
      <c r="AA94" s="159" t="n">
        <f aca="false">IF(AND(AA$6&gt;=EOMONTH($H$87,0),AA$6&lt;=EOMONTH(EDATE($H$87,$E$87-1),0)),$D$87/MAX($E$87,1),0)</f>
        <v>0</v>
      </c>
      <c r="AB94" s="159" t="n">
        <f aca="false">IF(AND(AB$6&gt;=EOMONTH($H$87,0),AB$6&lt;=EOMONTH(EDATE($H$87,$E$87-1),0)),$D$87/MAX($E$87,1),0)</f>
        <v>0</v>
      </c>
      <c r="AC94" s="159" t="n">
        <f aca="false">IF(AND(AC$6&gt;=EOMONTH($H$87,0),AC$6&lt;=EOMONTH(EDATE($H$87,$E$87-1),0)),$D$87/MAX($E$87,1),0)</f>
        <v>0</v>
      </c>
      <c r="AD94" s="159" t="n">
        <f aca="false">IF(AND(AD$6&gt;=EOMONTH($H$87,0),AD$6&lt;=EOMONTH(EDATE($H$87,$E$87-1),0)),$D$87/MAX($E$87,1),0)</f>
        <v>0</v>
      </c>
      <c r="AE94" s="159" t="n">
        <f aca="false">IF(AND(AE$6&gt;=EOMONTH($H$87,0),AE$6&lt;=EOMONTH(EDATE($H$87,$E$87-1),0)),$D$87/MAX($E$87,1),0)</f>
        <v>0</v>
      </c>
      <c r="AF94" s="159" t="n">
        <f aca="false">IF(AND(AF$6&gt;=EOMONTH($H$87,0),AF$6&lt;=EOMONTH(EDATE($H$87,$E$87-1),0)),$D$87/MAX($E$87,1),0)</f>
        <v>0</v>
      </c>
      <c r="AG94" s="159" t="n">
        <f aca="false">IF(AND(AG$6&gt;=EOMONTH($H$87,0),AG$6&lt;=EOMONTH(EDATE($H$87,$E$87-1),0)),$D$87/MAX($E$87,1),0)</f>
        <v>0</v>
      </c>
      <c r="AH94" s="159" t="n">
        <f aca="false">IF(AND(AH$6&gt;=EOMONTH($H$87,0),AH$6&lt;=EOMONTH(EDATE($H$87,$E$87-1),0)),$D$87/MAX($E$87,1),0)</f>
        <v>0</v>
      </c>
      <c r="AI94" s="159" t="n">
        <f aca="false">IF(AND(AI$6&gt;=EOMONTH($H$87,0),AI$6&lt;=EOMONTH(EDATE($H$87,$E$87-1),0)),$D$87/MAX($E$87,1),0)</f>
        <v>0</v>
      </c>
      <c r="AJ94" s="159" t="n">
        <f aca="false">IF(AND(AJ$6&gt;=EOMONTH($H$87,0),AJ$6&lt;=EOMONTH(EDATE($H$87,$E$87-1),0)),$D$87/MAX($E$87,1),0)</f>
        <v>0</v>
      </c>
      <c r="AK94" s="159" t="n">
        <f aca="false">IF(AND(AK$6&gt;=EOMONTH($H$87,0),AK$6&lt;=EOMONTH(EDATE($H$87,$E$87-1),0)),$D$87/MAX($E$87,1),0)</f>
        <v>0</v>
      </c>
      <c r="AL94" s="159" t="n">
        <f aca="false">IF(AND(AL$6&gt;=EOMONTH($H$87,0),AL$6&lt;=EOMONTH(EDATE($H$87,$E$87-1),0)),$D$87/MAX($E$87,1),0)</f>
        <v>0</v>
      </c>
      <c r="AM94" s="159" t="n">
        <f aca="false">IF(AND(AM$6&gt;=EOMONTH($H$87,0),AM$6&lt;=EOMONTH(EDATE($H$87,$E$87-1),0)),$D$87/MAX($E$87,1),0)</f>
        <v>0</v>
      </c>
      <c r="AN94" s="159" t="n">
        <f aca="false">IF(AND(AN$6&gt;=EOMONTH($H$87,0),AN$6&lt;=EOMONTH(EDATE($H$87,$E$87-1),0)),$D$87/MAX($E$87,1),0)</f>
        <v>0</v>
      </c>
      <c r="AO94" s="159" t="n">
        <f aca="false">IF(AND(AO$6&gt;=EOMONTH($H$87,0),AO$6&lt;=EOMONTH(EDATE($H$87,$E$87-1),0)),$D$87/MAX($E$87,1),0)</f>
        <v>0</v>
      </c>
      <c r="AP94" s="159" t="n">
        <f aca="false">IF(AND(AP$6&gt;=EOMONTH($H$87,0),AP$6&lt;=EOMONTH(EDATE($H$87,$E$87-1),0)),$D$87/MAX($E$87,1),0)</f>
        <v>0</v>
      </c>
      <c r="AQ94" s="159" t="n">
        <f aca="false">IF(AND(AQ$6&gt;=EOMONTH($H$87,0),AQ$6&lt;=EOMONTH(EDATE($H$87,$E$87-1),0)),$D$87/MAX($E$87,1),0)</f>
        <v>0</v>
      </c>
      <c r="AR94" s="159" t="n">
        <f aca="false">IF(AND(AR$6&gt;=EOMONTH($H$87,0),AR$6&lt;=EOMONTH(EDATE($H$87,$E$87-1),0)),$D$87/MAX($E$87,1),0)</f>
        <v>0</v>
      </c>
      <c r="AS94" s="159" t="n">
        <f aca="false">IF(AND(AS$6&gt;=EOMONTH($H$87,0),AS$6&lt;=EOMONTH(EDATE($H$87,$E$87-1),0)),$D$87/MAX($E$87,1),0)</f>
        <v>0</v>
      </c>
      <c r="AT94" s="159" t="n">
        <f aca="false">IF(AND(AT$6&gt;=EOMONTH($H$87,0),AT$6&lt;=EOMONTH(EDATE($H$87,$E$87-1),0)),$D$87/MAX($E$87,1),0)</f>
        <v>0</v>
      </c>
      <c r="AU94" s="159" t="n">
        <f aca="false">IF(AND(AU$6&gt;=EOMONTH($H$87,0),AU$6&lt;=EOMONTH(EDATE($H$87,$E$87-1),0)),$D$87/MAX($E$87,1),0)</f>
        <v>0</v>
      </c>
      <c r="AV94" s="159" t="n">
        <f aca="false">IF(AND(AV$6&gt;=EOMONTH($H$87,0),AV$6&lt;=EOMONTH(EDATE($H$87,$E$87-1),0)),$D$87/MAX($E$87,1),0)</f>
        <v>0</v>
      </c>
      <c r="AW94" s="159" t="n">
        <f aca="false">IF(AND(AW$6&gt;=EOMONTH($H$87,0),AW$6&lt;=EOMONTH(EDATE($H$87,$E$87-1),0)),$D$87/MAX($E$87,1),0)</f>
        <v>0</v>
      </c>
      <c r="AX94" s="159" t="n">
        <f aca="false">IF(AND(AX$6&gt;=EOMONTH($H$87,0),AX$6&lt;=EOMONTH(EDATE($H$87,$E$87-1),0)),$D$87/MAX($E$87,1),0)</f>
        <v>0</v>
      </c>
      <c r="AY94" s="159" t="n">
        <f aca="false">IF(AND(AY$6&gt;=EOMONTH($H$87,0),AY$6&lt;=EOMONTH(EDATE($H$87,$E$87-1),0)),$D$87/MAX($E$87,1),0)</f>
        <v>0</v>
      </c>
      <c r="AZ94" s="159" t="n">
        <f aca="false">IF(AND(AZ$6&gt;=EOMONTH($H$87,0),AZ$6&lt;=EOMONTH(EDATE($H$87,$E$87-1),0)),$D$87/MAX($E$87,1),0)</f>
        <v>0</v>
      </c>
      <c r="BA94" s="159" t="n">
        <f aca="false">IF(AND(BA$6&gt;=EOMONTH($H$87,0),BA$6&lt;=EOMONTH(EDATE($H$87,$E$87-1),0)),$D$87/MAX($E$87,1),0)</f>
        <v>0</v>
      </c>
      <c r="BB94" s="159" t="n">
        <f aca="false">IF(AND(BB$6&gt;=EOMONTH($H$87,0),BB$6&lt;=EOMONTH(EDATE($H$87,$E$87-1),0)),$D$87/MAX($E$87,1),0)</f>
        <v>0</v>
      </c>
      <c r="BC94" s="159" t="n">
        <f aca="false">IF(AND(BC$6&gt;=EOMONTH($H$87,0),BC$6&lt;=EOMONTH(EDATE($H$87,$E$87-1),0)),$D$87/MAX($E$87,1),0)</f>
        <v>0</v>
      </c>
      <c r="BD94" s="159" t="n">
        <f aca="false">IF(AND(BD$6&gt;=EOMONTH($H$87,0),BD$6&lt;=EOMONTH(EDATE($H$87,$E$87-1),0)),$D$87/MAX($E$87,1),0)</f>
        <v>0</v>
      </c>
      <c r="BE94" s="159" t="n">
        <f aca="false">IF(AND(BE$6&gt;=EOMONTH($H$87,0),BE$6&lt;=EOMONTH(EDATE($H$87,$E$87-1),0)),$D$87/MAX($E$87,1),0)</f>
        <v>0</v>
      </c>
      <c r="BF94" s="159" t="n">
        <f aca="false">IF(AND(BF$6&gt;=EOMONTH($H$87,0),BF$6&lt;=EOMONTH(EDATE($H$87,$E$87-1),0)),$D$87/MAX($E$87,1),0)</f>
        <v>0</v>
      </c>
      <c r="BG94" s="159" t="n">
        <f aca="false">IF(AND(BG$6&gt;=EOMONTH($H$87,0),BG$6&lt;=EOMONTH(EDATE($H$87,$E$87-1),0)),$D$87/MAX($E$87,1),0)</f>
        <v>0</v>
      </c>
      <c r="BH94" s="159" t="n">
        <f aca="false">IF(AND(BH$6&gt;=EOMONTH($H$87,0),BH$6&lt;=EOMONTH(EDATE($H$87,$E$87-1),0)),$D$87/MAX($E$87,1),0)</f>
        <v>0</v>
      </c>
      <c r="BI94" s="159" t="n">
        <f aca="false">IF(AND(BI$6&gt;=EOMONTH($H$87,0),BI$6&lt;=EOMONTH(EDATE($H$87,$E$87-1),0)),$D$87/MAX($E$87,1),0)</f>
        <v>0</v>
      </c>
      <c r="BJ94" s="159" t="n">
        <f aca="false">IF(AND(BJ$6&gt;=EOMONTH($H$87,0),BJ$6&lt;=EOMONTH(EDATE($H$87,$E$87-1),0)),$D$87/MAX($E$87,1),0)</f>
        <v>0</v>
      </c>
      <c r="BK94" s="159" t="n">
        <f aca="false">IF(AND(BK$6&gt;=EOMONTH($H$87,0),BK$6&lt;=EOMONTH(EDATE($H$87,$E$87-1),0)),$D$87/MAX($E$87,1),0)</f>
        <v>0</v>
      </c>
      <c r="BL94" s="159" t="n">
        <f aca="false">IF(AND(BL$6&gt;=EOMONTH($H$87,0),BL$6&lt;=EOMONTH(EDATE($H$87,$E$87-1),0)),$D$87/MAX($E$87,1),0)</f>
        <v>0</v>
      </c>
      <c r="BM94" s="159" t="n">
        <f aca="false">IF(AND(BM$6&gt;=EOMONTH($H$87,0),BM$6&lt;=EOMONTH(EDATE($H$87,$E$87-1),0)),$D$87/MAX($E$87,1),0)</f>
        <v>0</v>
      </c>
      <c r="BN94" s="159" t="n">
        <f aca="false">IF(AND(BN$6&gt;=EOMONTH($H$87,0),BN$6&lt;=EOMONTH(EDATE($H$87,$E$87-1),0)),$D$87/MAX($E$87,1),0)</f>
        <v>0</v>
      </c>
      <c r="BO94" s="159" t="n">
        <f aca="false">IF(AND(BO$6&gt;=EOMONTH($H$87,0),BO$6&lt;=EOMONTH(EDATE($H$87,$E$87-1),0)),$D$87/MAX($E$87,1),0)</f>
        <v>0</v>
      </c>
      <c r="BP94" s="159" t="n">
        <f aca="false">IF(AND(BP$6&gt;=EOMONTH($H$87,0),BP$6&lt;=EOMONTH(EDATE($H$87,$E$87-1),0)),$D$87/MAX($E$87,1),0)</f>
        <v>0</v>
      </c>
      <c r="BQ94" s="159" t="n">
        <f aca="false">IF(AND(BQ$6&gt;=EOMONTH($H$87,0),BQ$6&lt;=EOMONTH(EDATE($H$87,$E$87-1),0)),$D$87/MAX($E$87,1),0)</f>
        <v>0</v>
      </c>
      <c r="BR94" s="159" t="n">
        <f aca="false">IF(AND(BR$6&gt;=EOMONTH($H$87,0),BR$6&lt;=EOMONTH(EDATE($H$87,$E$87-1),0)),$D$87/MAX($E$87,1),0)</f>
        <v>0</v>
      </c>
      <c r="BS94" s="159" t="n">
        <f aca="false">IF(AND(BS$6&gt;=EOMONTH($H$87,0),BS$6&lt;=EOMONTH(EDATE($H$87,$E$87-1),0)),$D$87/MAX($E$87,1),0)</f>
        <v>0</v>
      </c>
      <c r="BT94" s="159" t="n">
        <f aca="false">IF(AND(BT$6&gt;=EOMONTH($H$87,0),BT$6&lt;=EOMONTH(EDATE($H$87,$E$87-1),0)),$D$87/MAX($E$87,1),0)</f>
        <v>0</v>
      </c>
      <c r="BU94" s="159" t="n">
        <f aca="false">IF(AND(BU$6&gt;=EOMONTH($H$87,0),BU$6&lt;=EOMONTH(EDATE($H$87,$E$87-1),0)),$D$87/MAX($E$87,1),0)</f>
        <v>0</v>
      </c>
      <c r="BV94" s="159" t="n">
        <f aca="false">IF(AND(BV$6&gt;=EOMONTH($H$87,0),BV$6&lt;=EOMONTH(EDATE($H$87,$E$87-1),0)),$D$87/MAX($E$87,1),0)</f>
        <v>0</v>
      </c>
      <c r="BW94" s="159" t="n">
        <f aca="false">IF(AND(BW$6&gt;=EOMONTH($H$87,0),BW$6&lt;=EOMONTH(EDATE($H$87,$E$87-1),0)),$D$87/MAX($E$87,1),0)</f>
        <v>0</v>
      </c>
      <c r="BX94" s="159" t="n">
        <f aca="false">IF(AND(BX$6&gt;=EOMONTH($H$87,0),BX$6&lt;=EOMONTH(EDATE($H$87,$E$87-1),0)),$D$87/MAX($E$87,1),0)</f>
        <v>0</v>
      </c>
      <c r="BY94" s="159" t="n">
        <f aca="false">IF(AND(BY$6&gt;=EOMONTH($H$87,0),BY$6&lt;=EOMONTH(EDATE($H$87,$E$87-1),0)),$D$87/MAX($E$87,1),0)</f>
        <v>0</v>
      </c>
      <c r="BZ94" s="159" t="n">
        <f aca="false">IF(AND(BZ$6&gt;=EOMONTH($H$87,0),BZ$6&lt;=EOMONTH(EDATE($H$87,$E$87-1),0)),$D$87/MAX($E$87,1),0)</f>
        <v>0</v>
      </c>
      <c r="CA94" s="159" t="n">
        <f aca="false">IF(AND(CA$6&gt;=EOMONTH($H$87,0),CA$6&lt;=EOMONTH(EDATE($H$87,$E$87-1),0)),$D$87/MAX($E$87,1),0)</f>
        <v>0</v>
      </c>
    </row>
    <row r="95" customFormat="false" ht="15" hidden="false" customHeight="false" outlineLevel="0" collapsed="false">
      <c r="B95" s="193" t="s">
        <v>361</v>
      </c>
      <c r="T95" s="159" t="n">
        <f aca="false">IF(AND(T$6&gt;=EOMONTH($H$88,0),T$6&lt;=EOMONTH(EDATE($H$88,$E$88-1),0)),$D$88/MAX($E$88,1),0)</f>
        <v>0</v>
      </c>
      <c r="U95" s="159" t="n">
        <f aca="false">IF(AND(U$6&gt;=EOMONTH($H$88,0),U$6&lt;=EOMONTH(EDATE($H$88,$E$88-1),0)),$D$88/MAX($E$88,1),0)</f>
        <v>0</v>
      </c>
      <c r="V95" s="159" t="n">
        <f aca="false">IF(AND(V$6&gt;=EOMONTH($H$88,0),V$6&lt;=EOMONTH(EDATE($H$88,$E$88-1),0)),$D$88/MAX($E$88,1),0)</f>
        <v>0</v>
      </c>
      <c r="W95" s="159" t="n">
        <f aca="false">IF(AND(W$6&gt;=EOMONTH($H$88,0),W$6&lt;=EOMONTH(EDATE($H$88,$E$88-1),0)),$D$88/MAX($E$88,1),0)</f>
        <v>0</v>
      </c>
      <c r="X95" s="159" t="n">
        <f aca="false">IF(AND(X$6&gt;=EOMONTH($H$88,0),X$6&lt;=EOMONTH(EDATE($H$88,$E$88-1),0)),$D$88/MAX($E$88,1),0)</f>
        <v>0</v>
      </c>
      <c r="Y95" s="159" t="n">
        <f aca="false">IF(AND(Y$6&gt;=EOMONTH($H$88,0),Y$6&lt;=EOMONTH(EDATE($H$88,$E$88-1),0)),$D$88/MAX($E$88,1),0)</f>
        <v>0</v>
      </c>
      <c r="Z95" s="159" t="n">
        <f aca="false">IF(AND(Z$6&gt;=EOMONTH($H$88,0),Z$6&lt;=EOMONTH(EDATE($H$88,$E$88-1),0)),$D$88/MAX($E$88,1),0)</f>
        <v>0</v>
      </c>
      <c r="AA95" s="159" t="n">
        <f aca="false">IF(AND(AA$6&gt;=EOMONTH($H$88,0),AA$6&lt;=EOMONTH(EDATE($H$88,$E$88-1),0)),$D$88/MAX($E$88,1),0)</f>
        <v>0</v>
      </c>
      <c r="AB95" s="159" t="n">
        <f aca="false">IF(AND(AB$6&gt;=EOMONTH($H$88,0),AB$6&lt;=EOMONTH(EDATE($H$88,$E$88-1),0)),$D$88/MAX($E$88,1),0)</f>
        <v>0</v>
      </c>
      <c r="AC95" s="159" t="n">
        <f aca="false">IF(AND(AC$6&gt;=EOMONTH($H$88,0),AC$6&lt;=EOMONTH(EDATE($H$88,$E$88-1),0)),$D$88/MAX($E$88,1),0)</f>
        <v>11408.2222222222</v>
      </c>
      <c r="AD95" s="159" t="n">
        <f aca="false">IF(AND(AD$6&gt;=EOMONTH($H$88,0),AD$6&lt;=EOMONTH(EDATE($H$88,$E$88-1),0)),$D$88/MAX($E$88,1),0)</f>
        <v>11408.2222222222</v>
      </c>
      <c r="AE95" s="159" t="n">
        <f aca="false">IF(AND(AE$6&gt;=EOMONTH($H$88,0),AE$6&lt;=EOMONTH(EDATE($H$88,$E$88-1),0)),$D$88/MAX($E$88,1),0)</f>
        <v>11408.2222222222</v>
      </c>
      <c r="AF95" s="159" t="n">
        <f aca="false">IF(AND(AF$6&gt;=EOMONTH($H$88,0),AF$6&lt;=EOMONTH(EDATE($H$88,$E$88-1),0)),$D$88/MAX($E$88,1),0)</f>
        <v>11408.2222222222</v>
      </c>
      <c r="AG95" s="159" t="n">
        <f aca="false">IF(AND(AG$6&gt;=EOMONTH($H$88,0),AG$6&lt;=EOMONTH(EDATE($H$88,$E$88-1),0)),$D$88/MAX($E$88,1),0)</f>
        <v>11408.2222222222</v>
      </c>
      <c r="AH95" s="159" t="n">
        <f aca="false">IF(AND(AH$6&gt;=EOMONTH($H$88,0),AH$6&lt;=EOMONTH(EDATE($H$88,$E$88-1),0)),$D$88/MAX($E$88,1),0)</f>
        <v>11408.2222222222</v>
      </c>
      <c r="AI95" s="159" t="n">
        <f aca="false">IF(AND(AI$6&gt;=EOMONTH($H$88,0),AI$6&lt;=EOMONTH(EDATE($H$88,$E$88-1),0)),$D$88/MAX($E$88,1),0)</f>
        <v>11408.2222222222</v>
      </c>
      <c r="AJ95" s="159" t="n">
        <f aca="false">IF(AND(AJ$6&gt;=EOMONTH($H$88,0),AJ$6&lt;=EOMONTH(EDATE($H$88,$E$88-1),0)),$D$88/MAX($E$88,1),0)</f>
        <v>11408.2222222222</v>
      </c>
      <c r="AK95" s="159" t="n">
        <f aca="false">IF(AND(AK$6&gt;=EOMONTH($H$88,0),AK$6&lt;=EOMONTH(EDATE($H$88,$E$88-1),0)),$D$88/MAX($E$88,1),0)</f>
        <v>11408.2222222222</v>
      </c>
      <c r="AL95" s="159" t="n">
        <f aca="false">IF(AND(AL$6&gt;=EOMONTH($H$88,0),AL$6&lt;=EOMONTH(EDATE($H$88,$E$88-1),0)),$D$88/MAX($E$88,1),0)</f>
        <v>0</v>
      </c>
      <c r="AM95" s="159" t="n">
        <f aca="false">IF(AND(AM$6&gt;=EOMONTH($H$88,0),AM$6&lt;=EOMONTH(EDATE($H$88,$E$88-1),0)),$D$88/MAX($E$88,1),0)</f>
        <v>0</v>
      </c>
      <c r="AN95" s="159" t="n">
        <f aca="false">IF(AND(AN$6&gt;=EOMONTH($H$88,0),AN$6&lt;=EOMONTH(EDATE($H$88,$E$88-1),0)),$D$88/MAX($E$88,1),0)</f>
        <v>0</v>
      </c>
      <c r="AO95" s="159" t="n">
        <f aca="false">IF(AND(AO$6&gt;=EOMONTH($H$88,0),AO$6&lt;=EOMONTH(EDATE($H$88,$E$88-1),0)),$D$88/MAX($E$88,1),0)</f>
        <v>0</v>
      </c>
      <c r="AP95" s="159" t="n">
        <f aca="false">IF(AND(AP$6&gt;=EOMONTH($H$88,0),AP$6&lt;=EOMONTH(EDATE($H$88,$E$88-1),0)),$D$88/MAX($E$88,1),0)</f>
        <v>0</v>
      </c>
      <c r="AQ95" s="159" t="n">
        <f aca="false">IF(AND(AQ$6&gt;=EOMONTH($H$88,0),AQ$6&lt;=EOMONTH(EDATE($H$88,$E$88-1),0)),$D$88/MAX($E$88,1),0)</f>
        <v>0</v>
      </c>
      <c r="AR95" s="159" t="n">
        <f aca="false">IF(AND(AR$6&gt;=EOMONTH($H$88,0),AR$6&lt;=EOMONTH(EDATE($H$88,$E$88-1),0)),$D$88/MAX($E$88,1),0)</f>
        <v>0</v>
      </c>
      <c r="AS95" s="159" t="n">
        <f aca="false">IF(AND(AS$6&gt;=EOMONTH($H$88,0),AS$6&lt;=EOMONTH(EDATE($H$88,$E$88-1),0)),$D$88/MAX($E$88,1),0)</f>
        <v>0</v>
      </c>
      <c r="AT95" s="159" t="n">
        <f aca="false">IF(AND(AT$6&gt;=EOMONTH($H$88,0),AT$6&lt;=EOMONTH(EDATE($H$88,$E$88-1),0)),$D$88/MAX($E$88,1),0)</f>
        <v>0</v>
      </c>
      <c r="AU95" s="159" t="n">
        <f aca="false">IF(AND(AU$6&gt;=EOMONTH($H$88,0),AU$6&lt;=EOMONTH(EDATE($H$88,$E$88-1),0)),$D$88/MAX($E$88,1),0)</f>
        <v>0</v>
      </c>
      <c r="AV95" s="159" t="n">
        <f aca="false">IF(AND(AV$6&gt;=EOMONTH($H$88,0),AV$6&lt;=EOMONTH(EDATE($H$88,$E$88-1),0)),$D$88/MAX($E$88,1),0)</f>
        <v>0</v>
      </c>
      <c r="AW95" s="159" t="n">
        <f aca="false">IF(AND(AW$6&gt;=EOMONTH($H$88,0),AW$6&lt;=EOMONTH(EDATE($H$88,$E$88-1),0)),$D$88/MAX($E$88,1),0)</f>
        <v>0</v>
      </c>
      <c r="AX95" s="159" t="n">
        <f aca="false">IF(AND(AX$6&gt;=EOMONTH($H$88,0),AX$6&lt;=EOMONTH(EDATE($H$88,$E$88-1),0)),$D$88/MAX($E$88,1),0)</f>
        <v>0</v>
      </c>
      <c r="AY95" s="159" t="n">
        <f aca="false">IF(AND(AY$6&gt;=EOMONTH($H$88,0),AY$6&lt;=EOMONTH(EDATE($H$88,$E$88-1),0)),$D$88/MAX($E$88,1),0)</f>
        <v>0</v>
      </c>
      <c r="AZ95" s="159" t="n">
        <f aca="false">IF(AND(AZ$6&gt;=EOMONTH($H$88,0),AZ$6&lt;=EOMONTH(EDATE($H$88,$E$88-1),0)),$D$88/MAX($E$88,1),0)</f>
        <v>0</v>
      </c>
      <c r="BA95" s="159" t="n">
        <f aca="false">IF(AND(BA$6&gt;=EOMONTH($H$88,0),BA$6&lt;=EOMONTH(EDATE($H$88,$E$88-1),0)),$D$88/MAX($E$88,1),0)</f>
        <v>0</v>
      </c>
      <c r="BB95" s="159" t="n">
        <f aca="false">IF(AND(BB$6&gt;=EOMONTH($H$88,0),BB$6&lt;=EOMONTH(EDATE($H$88,$E$88-1),0)),$D$88/MAX($E$88,1),0)</f>
        <v>0</v>
      </c>
      <c r="BC95" s="159" t="n">
        <f aca="false">IF(AND(BC$6&gt;=EOMONTH($H$88,0),BC$6&lt;=EOMONTH(EDATE($H$88,$E$88-1),0)),$D$88/MAX($E$88,1),0)</f>
        <v>0</v>
      </c>
      <c r="BD95" s="159" t="n">
        <f aca="false">IF(AND(BD$6&gt;=EOMONTH($H$88,0),BD$6&lt;=EOMONTH(EDATE($H$88,$E$88-1),0)),$D$88/MAX($E$88,1),0)</f>
        <v>0</v>
      </c>
      <c r="BE95" s="159" t="n">
        <f aca="false">IF(AND(BE$6&gt;=EOMONTH($H$88,0),BE$6&lt;=EOMONTH(EDATE($H$88,$E$88-1),0)),$D$88/MAX($E$88,1),0)</f>
        <v>0</v>
      </c>
      <c r="BF95" s="159" t="n">
        <f aca="false">IF(AND(BF$6&gt;=EOMONTH($H$88,0),BF$6&lt;=EOMONTH(EDATE($H$88,$E$88-1),0)),$D$88/MAX($E$88,1),0)</f>
        <v>0</v>
      </c>
      <c r="BG95" s="159" t="n">
        <f aca="false">IF(AND(BG$6&gt;=EOMONTH($H$88,0),BG$6&lt;=EOMONTH(EDATE($H$88,$E$88-1),0)),$D$88/MAX($E$88,1),0)</f>
        <v>0</v>
      </c>
      <c r="BH95" s="159" t="n">
        <f aca="false">IF(AND(BH$6&gt;=EOMONTH($H$88,0),BH$6&lt;=EOMONTH(EDATE($H$88,$E$88-1),0)),$D$88/MAX($E$88,1),0)</f>
        <v>0</v>
      </c>
      <c r="BI95" s="159" t="n">
        <f aca="false">IF(AND(BI$6&gt;=EOMONTH($H$88,0),BI$6&lt;=EOMONTH(EDATE($H$88,$E$88-1),0)),$D$88/MAX($E$88,1),0)</f>
        <v>0</v>
      </c>
      <c r="BJ95" s="159" t="n">
        <f aca="false">IF(AND(BJ$6&gt;=EOMONTH($H$88,0),BJ$6&lt;=EOMONTH(EDATE($H$88,$E$88-1),0)),$D$88/MAX($E$88,1),0)</f>
        <v>0</v>
      </c>
      <c r="BK95" s="159" t="n">
        <f aca="false">IF(AND(BK$6&gt;=EOMONTH($H$88,0),BK$6&lt;=EOMONTH(EDATE($H$88,$E$88-1),0)),$D$88/MAX($E$88,1),0)</f>
        <v>0</v>
      </c>
      <c r="BL95" s="159" t="n">
        <f aca="false">IF(AND(BL$6&gt;=EOMONTH($H$88,0),BL$6&lt;=EOMONTH(EDATE($H$88,$E$88-1),0)),$D$88/MAX($E$88,1),0)</f>
        <v>0</v>
      </c>
      <c r="BM95" s="159" t="n">
        <f aca="false">IF(AND(BM$6&gt;=EOMONTH($H$88,0),BM$6&lt;=EOMONTH(EDATE($H$88,$E$88-1),0)),$D$88/MAX($E$88,1),0)</f>
        <v>0</v>
      </c>
      <c r="BN95" s="159" t="n">
        <f aca="false">IF(AND(BN$6&gt;=EOMONTH($H$88,0),BN$6&lt;=EOMONTH(EDATE($H$88,$E$88-1),0)),$D$88/MAX($E$88,1),0)</f>
        <v>0</v>
      </c>
      <c r="BO95" s="159" t="n">
        <f aca="false">IF(AND(BO$6&gt;=EOMONTH($H$88,0),BO$6&lt;=EOMONTH(EDATE($H$88,$E$88-1),0)),$D$88/MAX($E$88,1),0)</f>
        <v>0</v>
      </c>
      <c r="BP95" s="159" t="n">
        <f aca="false">IF(AND(BP$6&gt;=EOMONTH($H$88,0),BP$6&lt;=EOMONTH(EDATE($H$88,$E$88-1),0)),$D$88/MAX($E$88,1),0)</f>
        <v>0</v>
      </c>
      <c r="BQ95" s="159" t="n">
        <f aca="false">IF(AND(BQ$6&gt;=EOMONTH($H$88,0),BQ$6&lt;=EOMONTH(EDATE($H$88,$E$88-1),0)),$D$88/MAX($E$88,1),0)</f>
        <v>0</v>
      </c>
      <c r="BR95" s="159" t="n">
        <f aca="false">IF(AND(BR$6&gt;=EOMONTH($H$88,0),BR$6&lt;=EOMONTH(EDATE($H$88,$E$88-1),0)),$D$88/MAX($E$88,1),0)</f>
        <v>0</v>
      </c>
      <c r="BS95" s="159" t="n">
        <f aca="false">IF(AND(BS$6&gt;=EOMONTH($H$88,0),BS$6&lt;=EOMONTH(EDATE($H$88,$E$88-1),0)),$D$88/MAX($E$88,1),0)</f>
        <v>0</v>
      </c>
      <c r="BT95" s="159" t="n">
        <f aca="false">IF(AND(BT$6&gt;=EOMONTH($H$88,0),BT$6&lt;=EOMONTH(EDATE($H$88,$E$88-1),0)),$D$88/MAX($E$88,1),0)</f>
        <v>0</v>
      </c>
      <c r="BU95" s="159" t="n">
        <f aca="false">IF(AND(BU$6&gt;=EOMONTH($H$88,0),BU$6&lt;=EOMONTH(EDATE($H$88,$E$88-1),0)),$D$88/MAX($E$88,1),0)</f>
        <v>0</v>
      </c>
      <c r="BV95" s="159" t="n">
        <f aca="false">IF(AND(BV$6&gt;=EOMONTH($H$88,0),BV$6&lt;=EOMONTH(EDATE($H$88,$E$88-1),0)),$D$88/MAX($E$88,1),0)</f>
        <v>0</v>
      </c>
      <c r="BW95" s="159" t="n">
        <f aca="false">IF(AND(BW$6&gt;=EOMONTH($H$88,0),BW$6&lt;=EOMONTH(EDATE($H$88,$E$88-1),0)),$D$88/MAX($E$88,1),0)</f>
        <v>0</v>
      </c>
      <c r="BX95" s="159" t="n">
        <f aca="false">IF(AND(BX$6&gt;=EOMONTH($H$88,0),BX$6&lt;=EOMONTH(EDATE($H$88,$E$88-1),0)),$D$88/MAX($E$88,1),0)</f>
        <v>0</v>
      </c>
      <c r="BY95" s="159" t="n">
        <f aca="false">IF(AND(BY$6&gt;=EOMONTH($H$88,0),BY$6&lt;=EOMONTH(EDATE($H$88,$E$88-1),0)),$D$88/MAX($E$88,1),0)</f>
        <v>0</v>
      </c>
      <c r="BZ95" s="159" t="n">
        <f aca="false">IF(AND(BZ$6&gt;=EOMONTH($H$88,0),BZ$6&lt;=EOMONTH(EDATE($H$88,$E$88-1),0)),$D$88/MAX($E$88,1),0)</f>
        <v>0</v>
      </c>
      <c r="CA95" s="159" t="n">
        <f aca="false">IF(AND(CA$6&gt;=EOMONTH($H$88,0),CA$6&lt;=EOMONTH(EDATE($H$88,$E$88-1),0)),$D$88/MAX($E$88,1),0)</f>
        <v>0</v>
      </c>
    </row>
    <row r="96" customFormat="false" ht="15" hidden="false" customHeight="false" outlineLevel="0" collapsed="false">
      <c r="B96" s="193" t="s">
        <v>362</v>
      </c>
      <c r="T96" s="159" t="n">
        <f aca="false">IF(AND(T$6&gt;=EOMONTH($H$89,0),T$6&lt;=EOMONTH(EDATE($H$89,$E$89-1),0)),$D$89/MAX($E$89,1),0)</f>
        <v>0</v>
      </c>
      <c r="U96" s="159" t="n">
        <f aca="false">IF(AND(U$6&gt;=EOMONTH($H$89,0),U$6&lt;=EOMONTH(EDATE($H$89,$E$89-1),0)),$D$89/MAX($E$89,1),0)</f>
        <v>0</v>
      </c>
      <c r="V96" s="159" t="n">
        <f aca="false">IF(AND(V$6&gt;=EOMONTH($H$89,0),V$6&lt;=EOMONTH(EDATE($H$89,$E$89-1),0)),$D$89/MAX($E$89,1),0)</f>
        <v>0</v>
      </c>
      <c r="W96" s="159" t="n">
        <f aca="false">IF(AND(W$6&gt;=EOMONTH($H$89,0),W$6&lt;=EOMONTH(EDATE($H$89,$E$89-1),0)),$D$89/MAX($E$89,1),0)</f>
        <v>0</v>
      </c>
      <c r="X96" s="159" t="n">
        <f aca="false">IF(AND(X$6&gt;=EOMONTH($H$89,0),X$6&lt;=EOMONTH(EDATE($H$89,$E$89-1),0)),$D$89/MAX($E$89,1),0)</f>
        <v>0</v>
      </c>
      <c r="Y96" s="159" t="n">
        <f aca="false">IF(AND(Y$6&gt;=EOMONTH($H$89,0),Y$6&lt;=EOMONTH(EDATE($H$89,$E$89-1),0)),$D$89/MAX($E$89,1),0)</f>
        <v>0</v>
      </c>
      <c r="Z96" s="159" t="n">
        <f aca="false">IF(AND(Z$6&gt;=EOMONTH($H$89,0),Z$6&lt;=EOMONTH(EDATE($H$89,$E$89-1),0)),$D$89/MAX($E$89,1),0)</f>
        <v>0</v>
      </c>
      <c r="AA96" s="159" t="n">
        <f aca="false">IF(AND(AA$6&gt;=EOMONTH($H$89,0),AA$6&lt;=EOMONTH(EDATE($H$89,$E$89-1),0)),$D$89/MAX($E$89,1),0)</f>
        <v>0</v>
      </c>
      <c r="AB96" s="159" t="n">
        <f aca="false">IF(AND(AB$6&gt;=EOMONTH($H$89,0),AB$6&lt;=EOMONTH(EDATE($H$89,$E$89-1),0)),$D$89/MAX($E$89,1),0)</f>
        <v>0</v>
      </c>
      <c r="AC96" s="159" t="n">
        <f aca="false">IF(AND(AC$6&gt;=EOMONTH($H$89,0),AC$6&lt;=EOMONTH(EDATE($H$89,$E$89-1),0)),$D$89/MAX($E$89,1),0)</f>
        <v>15401.1</v>
      </c>
      <c r="AD96" s="159" t="n">
        <f aca="false">IF(AND(AD$6&gt;=EOMONTH($H$89,0),AD$6&lt;=EOMONTH(EDATE($H$89,$E$89-1),0)),$D$89/MAX($E$89,1),0)</f>
        <v>15401.1</v>
      </c>
      <c r="AE96" s="159" t="n">
        <f aca="false">IF(AND(AE$6&gt;=EOMONTH($H$89,0),AE$6&lt;=EOMONTH(EDATE($H$89,$E$89-1),0)),$D$89/MAX($E$89,1),0)</f>
        <v>15401.1</v>
      </c>
      <c r="AF96" s="159" t="n">
        <f aca="false">IF(AND(AF$6&gt;=EOMONTH($H$89,0),AF$6&lt;=EOMONTH(EDATE($H$89,$E$89-1),0)),$D$89/MAX($E$89,1),0)</f>
        <v>15401.1</v>
      </c>
      <c r="AG96" s="159" t="n">
        <f aca="false">IF(AND(AG$6&gt;=EOMONTH($H$89,0),AG$6&lt;=EOMONTH(EDATE($H$89,$E$89-1),0)),$D$89/MAX($E$89,1),0)</f>
        <v>15401.1</v>
      </c>
      <c r="AH96" s="159" t="n">
        <f aca="false">IF(AND(AH$6&gt;=EOMONTH($H$89,0),AH$6&lt;=EOMONTH(EDATE($H$89,$E$89-1),0)),$D$89/MAX($E$89,1),0)</f>
        <v>15401.1</v>
      </c>
      <c r="AI96" s="159" t="n">
        <f aca="false">IF(AND(AI$6&gt;=EOMONTH($H$89,0),AI$6&lt;=EOMONTH(EDATE($H$89,$E$89-1),0)),$D$89/MAX($E$89,1),0)</f>
        <v>15401.1</v>
      </c>
      <c r="AJ96" s="159" t="n">
        <f aca="false">IF(AND(AJ$6&gt;=EOMONTH($H$89,0),AJ$6&lt;=EOMONTH(EDATE($H$89,$E$89-1),0)),$D$89/MAX($E$89,1),0)</f>
        <v>15401.1</v>
      </c>
      <c r="AK96" s="159" t="n">
        <f aca="false">IF(AND(AK$6&gt;=EOMONTH($H$89,0),AK$6&lt;=EOMONTH(EDATE($H$89,$E$89-1),0)),$D$89/MAX($E$89,1),0)</f>
        <v>15401.1</v>
      </c>
      <c r="AL96" s="159" t="n">
        <f aca="false">IF(AND(AL$6&gt;=EOMONTH($H$89,0),AL$6&lt;=EOMONTH(EDATE($H$89,$E$89-1),0)),$D$89/MAX($E$89,1),0)</f>
        <v>0</v>
      </c>
      <c r="AM96" s="159" t="n">
        <f aca="false">IF(AND(AM$6&gt;=EOMONTH($H$89,0),AM$6&lt;=EOMONTH(EDATE($H$89,$E$89-1),0)),$D$89/MAX($E$89,1),0)</f>
        <v>0</v>
      </c>
      <c r="AN96" s="159" t="n">
        <f aca="false">IF(AND(AN$6&gt;=EOMONTH($H$89,0),AN$6&lt;=EOMONTH(EDATE($H$89,$E$89-1),0)),$D$89/MAX($E$89,1),0)</f>
        <v>0</v>
      </c>
      <c r="AO96" s="159" t="n">
        <f aca="false">IF(AND(AO$6&gt;=EOMONTH($H$89,0),AO$6&lt;=EOMONTH(EDATE($H$89,$E$89-1),0)),$D$89/MAX($E$89,1),0)</f>
        <v>0</v>
      </c>
      <c r="AP96" s="159" t="n">
        <f aca="false">IF(AND(AP$6&gt;=EOMONTH($H$89,0),AP$6&lt;=EOMONTH(EDATE($H$89,$E$89-1),0)),$D$89/MAX($E$89,1),0)</f>
        <v>0</v>
      </c>
      <c r="AQ96" s="159" t="n">
        <f aca="false">IF(AND(AQ$6&gt;=EOMONTH($H$89,0),AQ$6&lt;=EOMONTH(EDATE($H$89,$E$89-1),0)),$D$89/MAX($E$89,1),0)</f>
        <v>0</v>
      </c>
      <c r="AR96" s="159" t="n">
        <f aca="false">IF(AND(AR$6&gt;=EOMONTH($H$89,0),AR$6&lt;=EOMONTH(EDATE($H$89,$E$89-1),0)),$D$89/MAX($E$89,1),0)</f>
        <v>0</v>
      </c>
      <c r="AS96" s="159" t="n">
        <f aca="false">IF(AND(AS$6&gt;=EOMONTH($H$89,0),AS$6&lt;=EOMONTH(EDATE($H$89,$E$89-1),0)),$D$89/MAX($E$89,1),0)</f>
        <v>0</v>
      </c>
      <c r="AT96" s="159" t="n">
        <f aca="false">IF(AND(AT$6&gt;=EOMONTH($H$89,0),AT$6&lt;=EOMONTH(EDATE($H$89,$E$89-1),0)),$D$89/MAX($E$89,1),0)</f>
        <v>0</v>
      </c>
      <c r="AU96" s="159" t="n">
        <f aca="false">IF(AND(AU$6&gt;=EOMONTH($H$89,0),AU$6&lt;=EOMONTH(EDATE($H$89,$E$89-1),0)),$D$89/MAX($E$89,1),0)</f>
        <v>0</v>
      </c>
      <c r="AV96" s="159" t="n">
        <f aca="false">IF(AND(AV$6&gt;=EOMONTH($H$89,0),AV$6&lt;=EOMONTH(EDATE($H$89,$E$89-1),0)),$D$89/MAX($E$89,1),0)</f>
        <v>0</v>
      </c>
      <c r="AW96" s="159" t="n">
        <f aca="false">IF(AND(AW$6&gt;=EOMONTH($H$89,0),AW$6&lt;=EOMONTH(EDATE($H$89,$E$89-1),0)),$D$89/MAX($E$89,1),0)</f>
        <v>0</v>
      </c>
      <c r="AX96" s="159" t="n">
        <f aca="false">IF(AND(AX$6&gt;=EOMONTH($H$89,0),AX$6&lt;=EOMONTH(EDATE($H$89,$E$89-1),0)),$D$89/MAX($E$89,1),0)</f>
        <v>0</v>
      </c>
      <c r="AY96" s="159" t="n">
        <f aca="false">IF(AND(AY$6&gt;=EOMONTH($H$89,0),AY$6&lt;=EOMONTH(EDATE($H$89,$E$89-1),0)),$D$89/MAX($E$89,1),0)</f>
        <v>0</v>
      </c>
      <c r="AZ96" s="159" t="n">
        <f aca="false">IF(AND(AZ$6&gt;=EOMONTH($H$89,0),AZ$6&lt;=EOMONTH(EDATE($H$89,$E$89-1),0)),$D$89/MAX($E$89,1),0)</f>
        <v>0</v>
      </c>
      <c r="BA96" s="159" t="n">
        <f aca="false">IF(AND(BA$6&gt;=EOMONTH($H$89,0),BA$6&lt;=EOMONTH(EDATE($H$89,$E$89-1),0)),$D$89/MAX($E$89,1),0)</f>
        <v>0</v>
      </c>
      <c r="BB96" s="159" t="n">
        <f aca="false">IF(AND(BB$6&gt;=EOMONTH($H$89,0),BB$6&lt;=EOMONTH(EDATE($H$89,$E$89-1),0)),$D$89/MAX($E$89,1),0)</f>
        <v>0</v>
      </c>
      <c r="BC96" s="159" t="n">
        <f aca="false">IF(AND(BC$6&gt;=EOMONTH($H$89,0),BC$6&lt;=EOMONTH(EDATE($H$89,$E$89-1),0)),$D$89/MAX($E$89,1),0)</f>
        <v>0</v>
      </c>
      <c r="BD96" s="159" t="n">
        <f aca="false">IF(AND(BD$6&gt;=EOMONTH($H$89,0),BD$6&lt;=EOMONTH(EDATE($H$89,$E$89-1),0)),$D$89/MAX($E$89,1),0)</f>
        <v>0</v>
      </c>
      <c r="BE96" s="159" t="n">
        <f aca="false">IF(AND(BE$6&gt;=EOMONTH($H$89,0),BE$6&lt;=EOMONTH(EDATE($H$89,$E$89-1),0)),$D$89/MAX($E$89,1),0)</f>
        <v>0</v>
      </c>
      <c r="BF96" s="159" t="n">
        <f aca="false">IF(AND(BF$6&gt;=EOMONTH($H$89,0),BF$6&lt;=EOMONTH(EDATE($H$89,$E$89-1),0)),$D$89/MAX($E$89,1),0)</f>
        <v>0</v>
      </c>
      <c r="BG96" s="159" t="n">
        <f aca="false">IF(AND(BG$6&gt;=EOMONTH($H$89,0),BG$6&lt;=EOMONTH(EDATE($H$89,$E$89-1),0)),$D$89/MAX($E$89,1),0)</f>
        <v>0</v>
      </c>
      <c r="BH96" s="159" t="n">
        <f aca="false">IF(AND(BH$6&gt;=EOMONTH($H$89,0),BH$6&lt;=EOMONTH(EDATE($H$89,$E$89-1),0)),$D$89/MAX($E$89,1),0)</f>
        <v>0</v>
      </c>
      <c r="BI96" s="159" t="n">
        <f aca="false">IF(AND(BI$6&gt;=EOMONTH($H$89,0),BI$6&lt;=EOMONTH(EDATE($H$89,$E$89-1),0)),$D$89/MAX($E$89,1),0)</f>
        <v>0</v>
      </c>
      <c r="BJ96" s="159" t="n">
        <f aca="false">IF(AND(BJ$6&gt;=EOMONTH($H$89,0),BJ$6&lt;=EOMONTH(EDATE($H$89,$E$89-1),0)),$D$89/MAX($E$89,1),0)</f>
        <v>0</v>
      </c>
      <c r="BK96" s="159" t="n">
        <f aca="false">IF(AND(BK$6&gt;=EOMONTH($H$89,0),BK$6&lt;=EOMONTH(EDATE($H$89,$E$89-1),0)),$D$89/MAX($E$89,1),0)</f>
        <v>0</v>
      </c>
      <c r="BL96" s="159" t="n">
        <f aca="false">IF(AND(BL$6&gt;=EOMONTH($H$89,0),BL$6&lt;=EOMONTH(EDATE($H$89,$E$89-1),0)),$D$89/MAX($E$89,1),0)</f>
        <v>0</v>
      </c>
      <c r="BM96" s="159" t="n">
        <f aca="false">IF(AND(BM$6&gt;=EOMONTH($H$89,0),BM$6&lt;=EOMONTH(EDATE($H$89,$E$89-1),0)),$D$89/MAX($E$89,1),0)</f>
        <v>0</v>
      </c>
      <c r="BN96" s="159" t="n">
        <f aca="false">IF(AND(BN$6&gt;=EOMONTH($H$89,0),BN$6&lt;=EOMONTH(EDATE($H$89,$E$89-1),0)),$D$89/MAX($E$89,1),0)</f>
        <v>0</v>
      </c>
      <c r="BO96" s="159" t="n">
        <f aca="false">IF(AND(BO$6&gt;=EOMONTH($H$89,0),BO$6&lt;=EOMONTH(EDATE($H$89,$E$89-1),0)),$D$89/MAX($E$89,1),0)</f>
        <v>0</v>
      </c>
      <c r="BP96" s="159" t="n">
        <f aca="false">IF(AND(BP$6&gt;=EOMONTH($H$89,0),BP$6&lt;=EOMONTH(EDATE($H$89,$E$89-1),0)),$D$89/MAX($E$89,1),0)</f>
        <v>0</v>
      </c>
      <c r="BQ96" s="159" t="n">
        <f aca="false">IF(AND(BQ$6&gt;=EOMONTH($H$89,0),BQ$6&lt;=EOMONTH(EDATE($H$89,$E$89-1),0)),$D$89/MAX($E$89,1),0)</f>
        <v>0</v>
      </c>
      <c r="BR96" s="159" t="n">
        <f aca="false">IF(AND(BR$6&gt;=EOMONTH($H$89,0),BR$6&lt;=EOMONTH(EDATE($H$89,$E$89-1),0)),$D$89/MAX($E$89,1),0)</f>
        <v>0</v>
      </c>
      <c r="BS96" s="159" t="n">
        <f aca="false">IF(AND(BS$6&gt;=EOMONTH($H$89,0),BS$6&lt;=EOMONTH(EDATE($H$89,$E$89-1),0)),$D$89/MAX($E$89,1),0)</f>
        <v>0</v>
      </c>
      <c r="BT96" s="159" t="n">
        <f aca="false">IF(AND(BT$6&gt;=EOMONTH($H$89,0),BT$6&lt;=EOMONTH(EDATE($H$89,$E$89-1),0)),$D$89/MAX($E$89,1),0)</f>
        <v>0</v>
      </c>
      <c r="BU96" s="159" t="n">
        <f aca="false">IF(AND(BU$6&gt;=EOMONTH($H$89,0),BU$6&lt;=EOMONTH(EDATE($H$89,$E$89-1),0)),$D$89/MAX($E$89,1),0)</f>
        <v>0</v>
      </c>
      <c r="BV96" s="159" t="n">
        <f aca="false">IF(AND(BV$6&gt;=EOMONTH($H$89,0),BV$6&lt;=EOMONTH(EDATE($H$89,$E$89-1),0)),$D$89/MAX($E$89,1),0)</f>
        <v>0</v>
      </c>
      <c r="BW96" s="159" t="n">
        <f aca="false">IF(AND(BW$6&gt;=EOMONTH($H$89,0),BW$6&lt;=EOMONTH(EDATE($H$89,$E$89-1),0)),$D$89/MAX($E$89,1),0)</f>
        <v>0</v>
      </c>
      <c r="BX96" s="159" t="n">
        <f aca="false">IF(AND(BX$6&gt;=EOMONTH($H$89,0),BX$6&lt;=EOMONTH(EDATE($H$89,$E$89-1),0)),$D$89/MAX($E$89,1),0)</f>
        <v>0</v>
      </c>
      <c r="BY96" s="159" t="n">
        <f aca="false">IF(AND(BY$6&gt;=EOMONTH($H$89,0),BY$6&lt;=EOMONTH(EDATE($H$89,$E$89-1),0)),$D$89/MAX($E$89,1),0)</f>
        <v>0</v>
      </c>
      <c r="BZ96" s="159" t="n">
        <f aca="false">IF(AND(BZ$6&gt;=EOMONTH($H$89,0),BZ$6&lt;=EOMONTH(EDATE($H$89,$E$89-1),0)),$D$89/MAX($E$89,1),0)</f>
        <v>0</v>
      </c>
      <c r="CA96" s="159" t="n">
        <f aca="false">IF(AND(CA$6&gt;=EOMONTH($H$89,0),CA$6&lt;=EOMONTH(EDATE($H$89,$E$89-1),0)),$D$89/MAX($E$89,1),0)</f>
        <v>0</v>
      </c>
    </row>
    <row r="97" customFormat="false" ht="15" hidden="false" customHeight="false" outlineLevel="0" collapsed="false">
      <c r="B97" s="193" t="s">
        <v>363</v>
      </c>
      <c r="T97" s="159" t="n">
        <f aca="false">IF(AND(T$6&gt;=EOMONTH($H$90,0),T$6&lt;=EOMONTH(EDATE($H$90,$E$90-1),0)),$D$90/MAX($E$90,1),0)</f>
        <v>0</v>
      </c>
      <c r="U97" s="159" t="n">
        <f aca="false">IF(AND(U$6&gt;=EOMONTH($H$90,0),U$6&lt;=EOMONTH(EDATE($H$90,$E$90-1),0)),$D$90/MAX($E$90,1),0)</f>
        <v>0</v>
      </c>
      <c r="V97" s="159" t="n">
        <f aca="false">IF(AND(V$6&gt;=EOMONTH($H$90,0),V$6&lt;=EOMONTH(EDATE($H$90,$E$90-1),0)),$D$90/MAX($E$90,1),0)</f>
        <v>0</v>
      </c>
      <c r="W97" s="159" t="n">
        <f aca="false">IF(AND(W$6&gt;=EOMONTH($H$90,0),W$6&lt;=EOMONTH(EDATE($H$90,$E$90-1),0)),$D$90/MAX($E$90,1),0)</f>
        <v>0</v>
      </c>
      <c r="X97" s="159" t="n">
        <f aca="false">IF(AND(X$6&gt;=EOMONTH($H$90,0),X$6&lt;=EOMONTH(EDATE($H$90,$E$90-1),0)),$D$90/MAX($E$90,1),0)</f>
        <v>0</v>
      </c>
      <c r="Y97" s="159" t="n">
        <f aca="false">IF(AND(Y$6&gt;=EOMONTH($H$90,0),Y$6&lt;=EOMONTH(EDATE($H$90,$E$90-1),0)),$D$90/MAX($E$90,1),0)</f>
        <v>0</v>
      </c>
      <c r="Z97" s="159" t="n">
        <f aca="false">IF(AND(Z$6&gt;=EOMONTH($H$90,0),Z$6&lt;=EOMONTH(EDATE($H$90,$E$90-1),0)),$D$90/MAX($E$90,1),0)</f>
        <v>0</v>
      </c>
      <c r="AA97" s="159" t="n">
        <f aca="false">IF(AND(AA$6&gt;=EOMONTH($H$90,0),AA$6&lt;=EOMONTH(EDATE($H$90,$E$90-1),0)),$D$90/MAX($E$90,1),0)</f>
        <v>0</v>
      </c>
      <c r="AB97" s="159" t="n">
        <f aca="false">IF(AND(AB$6&gt;=EOMONTH($H$90,0),AB$6&lt;=EOMONTH(EDATE($H$90,$E$90-1),0)),$D$90/MAX($E$90,1),0)</f>
        <v>0</v>
      </c>
      <c r="AC97" s="159" t="n">
        <f aca="false">IF(AND(AC$6&gt;=EOMONTH($H$90,0),AC$6&lt;=EOMONTH(EDATE($H$90,$E$90-1),0)),$D$90/MAX($E$90,1),0)</f>
        <v>0</v>
      </c>
      <c r="AD97" s="159" t="n">
        <f aca="false">IF(AND(AD$6&gt;=EOMONTH($H$90,0),AD$6&lt;=EOMONTH(EDATE($H$90,$E$90-1),0)),$D$90/MAX($E$90,1),0)</f>
        <v>0</v>
      </c>
      <c r="AE97" s="159" t="n">
        <f aca="false">IF(AND(AE$6&gt;=EOMONTH($H$90,0),AE$6&lt;=EOMONTH(EDATE($H$90,$E$90-1),0)),$D$90/MAX($E$90,1),0)</f>
        <v>0</v>
      </c>
      <c r="AF97" s="159" t="n">
        <f aca="false">IF(AND(AF$6&gt;=EOMONTH($H$90,0),AF$6&lt;=EOMONTH(EDATE($H$90,$E$90-1),0)),$D$90/MAX($E$90,1),0)</f>
        <v>0</v>
      </c>
      <c r="AG97" s="159" t="n">
        <f aca="false">IF(AND(AG$6&gt;=EOMONTH($H$90,0),AG$6&lt;=EOMONTH(EDATE($H$90,$E$90-1),0)),$D$90/MAX($E$90,1),0)</f>
        <v>0</v>
      </c>
      <c r="AH97" s="159" t="n">
        <f aca="false">IF(AND(AH$6&gt;=EOMONTH($H$90,0),AH$6&lt;=EOMONTH(EDATE($H$90,$E$90-1),0)),$D$90/MAX($E$90,1),0)</f>
        <v>0</v>
      </c>
      <c r="AI97" s="159" t="n">
        <f aca="false">IF(AND(AI$6&gt;=EOMONTH($H$90,0),AI$6&lt;=EOMONTH(EDATE($H$90,$E$90-1),0)),$D$90/MAX($E$90,1),0)</f>
        <v>0</v>
      </c>
      <c r="AJ97" s="159" t="n">
        <f aca="false">IF(AND(AJ$6&gt;=EOMONTH($H$90,0),AJ$6&lt;=EOMONTH(EDATE($H$90,$E$90-1),0)),$D$90/MAX($E$90,1),0)</f>
        <v>0</v>
      </c>
      <c r="AK97" s="159" t="n">
        <f aca="false">IF(AND(AK$6&gt;=EOMONTH($H$90,0),AK$6&lt;=EOMONTH(EDATE($H$90,$E$90-1),0)),$D$90/MAX($E$90,1),0)</f>
        <v>0</v>
      </c>
      <c r="AL97" s="159" t="n">
        <f aca="false">IF(AND(AL$6&gt;=EOMONTH($H$90,0),AL$6&lt;=EOMONTH(EDATE($H$90,$E$90-1),0)),$D$90/MAX($E$90,1),0)</f>
        <v>0</v>
      </c>
      <c r="AM97" s="159" t="n">
        <f aca="false">IF(AND(AM$6&gt;=EOMONTH($H$90,0),AM$6&lt;=EOMONTH(EDATE($H$90,$E$90-1),0)),$D$90/MAX($E$90,1),0)</f>
        <v>0</v>
      </c>
      <c r="AN97" s="159" t="n">
        <f aca="false">IF(AND(AN$6&gt;=EOMONTH($H$90,0),AN$6&lt;=EOMONTH(EDATE($H$90,$E$90-1),0)),$D$90/MAX($E$90,1),0)</f>
        <v>0</v>
      </c>
      <c r="AO97" s="159" t="n">
        <f aca="false">IF(AND(AO$6&gt;=EOMONTH($H$90,0),AO$6&lt;=EOMONTH(EDATE($H$90,$E$90-1),0)),$D$90/MAX($E$90,1),0)</f>
        <v>0</v>
      </c>
      <c r="AP97" s="159" t="n">
        <f aca="false">IF(AND(AP$6&gt;=EOMONTH($H$90,0),AP$6&lt;=EOMONTH(EDATE($H$90,$E$90-1),0)),$D$90/MAX($E$90,1),0)</f>
        <v>0</v>
      </c>
      <c r="AQ97" s="159" t="n">
        <f aca="false">IF(AND(AQ$6&gt;=EOMONTH($H$90,0),AQ$6&lt;=EOMONTH(EDATE($H$90,$E$90-1),0)),$D$90/MAX($E$90,1),0)</f>
        <v>0</v>
      </c>
      <c r="AR97" s="159" t="n">
        <f aca="false">IF(AND(AR$6&gt;=EOMONTH($H$90,0),AR$6&lt;=EOMONTH(EDATE($H$90,$E$90-1),0)),$D$90/MAX($E$90,1),0)</f>
        <v>0</v>
      </c>
      <c r="AS97" s="159" t="n">
        <f aca="false">IF(AND(AS$6&gt;=EOMONTH($H$90,0),AS$6&lt;=EOMONTH(EDATE($H$90,$E$90-1),0)),$D$90/MAX($E$90,1),0)</f>
        <v>0</v>
      </c>
      <c r="AT97" s="159" t="n">
        <f aca="false">IF(AND(AT$6&gt;=EOMONTH($H$90,0),AT$6&lt;=EOMONTH(EDATE($H$90,$E$90-1),0)),$D$90/MAX($E$90,1),0)</f>
        <v>0</v>
      </c>
      <c r="AU97" s="159" t="n">
        <f aca="false">IF(AND(AU$6&gt;=EOMONTH($H$90,0),AU$6&lt;=EOMONTH(EDATE($H$90,$E$90-1),0)),$D$90/MAX($E$90,1),0)</f>
        <v>0</v>
      </c>
      <c r="AV97" s="159" t="n">
        <f aca="false">IF(AND(AV$6&gt;=EOMONTH($H$90,0),AV$6&lt;=EOMONTH(EDATE($H$90,$E$90-1),0)),$D$90/MAX($E$90,1),0)</f>
        <v>0</v>
      </c>
      <c r="AW97" s="159" t="n">
        <f aca="false">IF(AND(AW$6&gt;=EOMONTH($H$90,0),AW$6&lt;=EOMONTH(EDATE($H$90,$E$90-1),0)),$D$90/MAX($E$90,1),0)</f>
        <v>0</v>
      </c>
      <c r="AX97" s="159" t="n">
        <f aca="false">IF(AND(AX$6&gt;=EOMONTH($H$90,0),AX$6&lt;=EOMONTH(EDATE($H$90,$E$90-1),0)),$D$90/MAX($E$90,1),0)</f>
        <v>0</v>
      </c>
      <c r="AY97" s="159" t="n">
        <f aca="false">IF(AND(AY$6&gt;=EOMONTH($H$90,0),AY$6&lt;=EOMONTH(EDATE($H$90,$E$90-1),0)),$D$90/MAX($E$90,1),0)</f>
        <v>0</v>
      </c>
      <c r="AZ97" s="159" t="n">
        <f aca="false">IF(AND(AZ$6&gt;=EOMONTH($H$90,0),AZ$6&lt;=EOMONTH(EDATE($H$90,$E$90-1),0)),$D$90/MAX($E$90,1),0)</f>
        <v>0</v>
      </c>
      <c r="BA97" s="159" t="n">
        <f aca="false">IF(AND(BA$6&gt;=EOMONTH($H$90,0),BA$6&lt;=EOMONTH(EDATE($H$90,$E$90-1),0)),$D$90/MAX($E$90,1),0)</f>
        <v>0</v>
      </c>
      <c r="BB97" s="159" t="n">
        <f aca="false">IF(AND(BB$6&gt;=EOMONTH($H$90,0),BB$6&lt;=EOMONTH(EDATE($H$90,$E$90-1),0)),$D$90/MAX($E$90,1),0)</f>
        <v>0</v>
      </c>
      <c r="BC97" s="159" t="n">
        <f aca="false">IF(AND(BC$6&gt;=EOMONTH($H$90,0),BC$6&lt;=EOMONTH(EDATE($H$90,$E$90-1),0)),$D$90/MAX($E$90,1),0)</f>
        <v>0</v>
      </c>
      <c r="BD97" s="159" t="n">
        <f aca="false">IF(AND(BD$6&gt;=EOMONTH($H$90,0),BD$6&lt;=EOMONTH(EDATE($H$90,$E$90-1),0)),$D$90/MAX($E$90,1),0)</f>
        <v>0</v>
      </c>
      <c r="BE97" s="159" t="n">
        <f aca="false">IF(AND(BE$6&gt;=EOMONTH($H$90,0),BE$6&lt;=EOMONTH(EDATE($H$90,$E$90-1),0)),$D$90/MAX($E$90,1),0)</f>
        <v>0</v>
      </c>
      <c r="BF97" s="159" t="n">
        <f aca="false">IF(AND(BF$6&gt;=EOMONTH($H$90,0),BF$6&lt;=EOMONTH(EDATE($H$90,$E$90-1),0)),$D$90/MAX($E$90,1),0)</f>
        <v>0</v>
      </c>
      <c r="BG97" s="159" t="n">
        <f aca="false">IF(AND(BG$6&gt;=EOMONTH($H$90,0),BG$6&lt;=EOMONTH(EDATE($H$90,$E$90-1),0)),$D$90/MAX($E$90,1),0)</f>
        <v>0</v>
      </c>
      <c r="BH97" s="159" t="n">
        <f aca="false">IF(AND(BH$6&gt;=EOMONTH($H$90,0),BH$6&lt;=EOMONTH(EDATE($H$90,$E$90-1),0)),$D$90/MAX($E$90,1),0)</f>
        <v>0</v>
      </c>
      <c r="BI97" s="159" t="n">
        <f aca="false">IF(AND(BI$6&gt;=EOMONTH($H$90,0),BI$6&lt;=EOMONTH(EDATE($H$90,$E$90-1),0)),$D$90/MAX($E$90,1),0)</f>
        <v>0</v>
      </c>
      <c r="BJ97" s="159" t="n">
        <f aca="false">IF(AND(BJ$6&gt;=EOMONTH($H$90,0),BJ$6&lt;=EOMONTH(EDATE($H$90,$E$90-1),0)),$D$90/MAX($E$90,1),0)</f>
        <v>0</v>
      </c>
      <c r="BK97" s="159" t="n">
        <f aca="false">IF(AND(BK$6&gt;=EOMONTH($H$90,0),BK$6&lt;=EOMONTH(EDATE($H$90,$E$90-1),0)),$D$90/MAX($E$90,1),0)</f>
        <v>0</v>
      </c>
      <c r="BL97" s="159" t="n">
        <f aca="false">IF(AND(BL$6&gt;=EOMONTH($H$90,0),BL$6&lt;=EOMONTH(EDATE($H$90,$E$90-1),0)),$D$90/MAX($E$90,1),0)</f>
        <v>0</v>
      </c>
      <c r="BM97" s="159" t="n">
        <f aca="false">IF(AND(BM$6&gt;=EOMONTH($H$90,0),BM$6&lt;=EOMONTH(EDATE($H$90,$E$90-1),0)),$D$90/MAX($E$90,1),0)</f>
        <v>0</v>
      </c>
      <c r="BN97" s="159" t="n">
        <f aca="false">IF(AND(BN$6&gt;=EOMONTH($H$90,0),BN$6&lt;=EOMONTH(EDATE($H$90,$E$90-1),0)),$D$90/MAX($E$90,1),0)</f>
        <v>0</v>
      </c>
      <c r="BO97" s="159" t="n">
        <f aca="false">IF(AND(BO$6&gt;=EOMONTH($H$90,0),BO$6&lt;=EOMONTH(EDATE($H$90,$E$90-1),0)),$D$90/MAX($E$90,1),0)</f>
        <v>0</v>
      </c>
      <c r="BP97" s="159" t="n">
        <f aca="false">IF(AND(BP$6&gt;=EOMONTH($H$90,0),BP$6&lt;=EOMONTH(EDATE($H$90,$E$90-1),0)),$D$90/MAX($E$90,1),0)</f>
        <v>0</v>
      </c>
      <c r="BQ97" s="159" t="n">
        <f aca="false">IF(AND(BQ$6&gt;=EOMONTH($H$90,0),BQ$6&lt;=EOMONTH(EDATE($H$90,$E$90-1),0)),$D$90/MAX($E$90,1),0)</f>
        <v>0</v>
      </c>
      <c r="BR97" s="159" t="n">
        <f aca="false">IF(AND(BR$6&gt;=EOMONTH($H$90,0),BR$6&lt;=EOMONTH(EDATE($H$90,$E$90-1),0)),$D$90/MAX($E$90,1),0)</f>
        <v>0</v>
      </c>
      <c r="BS97" s="159" t="n">
        <f aca="false">IF(AND(BS$6&gt;=EOMONTH($H$90,0),BS$6&lt;=EOMONTH(EDATE($H$90,$E$90-1),0)),$D$90/MAX($E$90,1),0)</f>
        <v>0</v>
      </c>
      <c r="BT97" s="159" t="n">
        <f aca="false">IF(AND(BT$6&gt;=EOMONTH($H$90,0),BT$6&lt;=EOMONTH(EDATE($H$90,$E$90-1),0)),$D$90/MAX($E$90,1),0)</f>
        <v>0</v>
      </c>
      <c r="BU97" s="159" t="n">
        <f aca="false">IF(AND(BU$6&gt;=EOMONTH($H$90,0),BU$6&lt;=EOMONTH(EDATE($H$90,$E$90-1),0)),$D$90/MAX($E$90,1),0)</f>
        <v>0</v>
      </c>
      <c r="BV97" s="159" t="n">
        <f aca="false">IF(AND(BV$6&gt;=EOMONTH($H$90,0),BV$6&lt;=EOMONTH(EDATE($H$90,$E$90-1),0)),$D$90/MAX($E$90,1),0)</f>
        <v>0</v>
      </c>
      <c r="BW97" s="159" t="n">
        <f aca="false">IF(AND(BW$6&gt;=EOMONTH($H$90,0),BW$6&lt;=EOMONTH(EDATE($H$90,$E$90-1),0)),$D$90/MAX($E$90,1),0)</f>
        <v>0</v>
      </c>
      <c r="BX97" s="159" t="n">
        <f aca="false">IF(AND(BX$6&gt;=EOMONTH($H$90,0),BX$6&lt;=EOMONTH(EDATE($H$90,$E$90-1),0)),$D$90/MAX($E$90,1),0)</f>
        <v>0</v>
      </c>
      <c r="BY97" s="159" t="n">
        <f aca="false">IF(AND(BY$6&gt;=EOMONTH($H$90,0),BY$6&lt;=EOMONTH(EDATE($H$90,$E$90-1),0)),$D$90/MAX($E$90,1),0)</f>
        <v>0</v>
      </c>
      <c r="BZ97" s="159" t="n">
        <f aca="false">IF(AND(BZ$6&gt;=EOMONTH($H$90,0),BZ$6&lt;=EOMONTH(EDATE($H$90,$E$90-1),0)),$D$90/MAX($E$90,1),0)</f>
        <v>0</v>
      </c>
      <c r="CA97" s="159" t="n">
        <f aca="false">IF(AND(CA$6&gt;=EOMONTH($H$90,0),CA$6&lt;=EOMONTH(EDATE($H$90,$E$90-1),0)),$D$90/MAX($E$90,1),0)</f>
        <v>0</v>
      </c>
    </row>
    <row r="99" customFormat="false" ht="15" hidden="false" customHeight="false" outlineLevel="0" collapsed="false">
      <c r="B99" s="194" t="s">
        <v>364</v>
      </c>
    </row>
    <row r="100" customFormat="false" ht="15" hidden="false" customHeight="false" outlineLevel="0" collapsed="false">
      <c r="B100" s="10" t="s">
        <v>365</v>
      </c>
      <c r="L100" s="187" t="n">
        <f aca="false">SUMIFS($T100:$CA100,$T$5:$CA$5,2026)</f>
        <v>0.105306666666667</v>
      </c>
      <c r="M100" s="187" t="n">
        <f aca="false">SUMIFS($T100:$CA100,$T$5:$CA$5,2027)</f>
        <v>0.421226666666667</v>
      </c>
      <c r="N100" s="187" t="n">
        <f aca="false">SUMIFS($T100:$CA100,$T$5:$CA$5,2028)</f>
        <v>0</v>
      </c>
      <c r="O100" s="187" t="n">
        <f aca="false">SUMIFS($T100:$CA100,$T$5:$CA$5,2029)</f>
        <v>0</v>
      </c>
      <c r="P100" s="187" t="n">
        <f aca="false">SUMIFS($T100:$CA100,$T$5:$CA$5,2030)</f>
        <v>0</v>
      </c>
      <c r="T100" s="187" t="n">
        <f aca="false">(SUMPRODUCT(T78:T81,$I$72:$I$75))/1000000</f>
        <v>0</v>
      </c>
      <c r="U100" s="187" t="n">
        <f aca="false">(SUMPRODUCT(U78:U81,$I$72:$I$75))/1000000</f>
        <v>0</v>
      </c>
      <c r="V100" s="187" t="n">
        <f aca="false">(SUMPRODUCT(V78:V81,$I$72:$I$75))/1000000</f>
        <v>0</v>
      </c>
      <c r="W100" s="187" t="n">
        <f aca="false">(SUMPRODUCT(W78:W81,$I$72:$I$75))/1000000</f>
        <v>0</v>
      </c>
      <c r="X100" s="187" t="n">
        <f aca="false">(SUMPRODUCT(X78:X81,$I$72:$I$75))/1000000</f>
        <v>0</v>
      </c>
      <c r="Y100" s="187" t="n">
        <f aca="false">(SUMPRODUCT(Y78:Y81,$I$72:$I$75))/1000000</f>
        <v>0</v>
      </c>
      <c r="Z100" s="187" t="n">
        <f aca="false">(SUMPRODUCT(Z78:Z81,$I$72:$I$75))/1000000</f>
        <v>0</v>
      </c>
      <c r="AA100" s="187" t="n">
        <f aca="false">(SUMPRODUCT(AA78:AA81,$I$72:$I$75))/1000000</f>
        <v>0</v>
      </c>
      <c r="AB100" s="187" t="n">
        <f aca="false">(SUMPRODUCT(AB78:AB81,$I$72:$I$75))/1000000</f>
        <v>0</v>
      </c>
      <c r="AC100" s="187" t="n">
        <f aca="false">(SUMPRODUCT(AC78:AC81,$I$72:$I$75))/1000000</f>
        <v>0</v>
      </c>
      <c r="AD100" s="187" t="n">
        <f aca="false">(SUMPRODUCT(AD78:AD81,$I$72:$I$75))/1000000</f>
        <v>0</v>
      </c>
      <c r="AE100" s="187" t="n">
        <f aca="false">(SUMPRODUCT(AE78:AE81,$I$72:$I$75))/1000000</f>
        <v>0.105306666666667</v>
      </c>
      <c r="AF100" s="187" t="n">
        <f aca="false">(SUMPRODUCT(AF78:AF81,$I$72:$I$75))/1000000</f>
        <v>0.105306666666667</v>
      </c>
      <c r="AG100" s="187" t="n">
        <f aca="false">(SUMPRODUCT(AG78:AG81,$I$72:$I$75))/1000000</f>
        <v>0.105306666666667</v>
      </c>
      <c r="AH100" s="187" t="n">
        <f aca="false">(SUMPRODUCT(AH78:AH81,$I$72:$I$75))/1000000</f>
        <v>0.105306666666667</v>
      </c>
      <c r="AI100" s="187" t="n">
        <f aca="false">(SUMPRODUCT(AI78:AI81,$I$72:$I$75))/1000000</f>
        <v>0.105306666666667</v>
      </c>
      <c r="AJ100" s="187" t="n">
        <f aca="false">(SUMPRODUCT(AJ78:AJ81,$I$72:$I$75))/1000000</f>
        <v>0</v>
      </c>
      <c r="AK100" s="187" t="n">
        <f aca="false">(SUMPRODUCT(AK78:AK81,$I$72:$I$75))/1000000</f>
        <v>0</v>
      </c>
      <c r="AL100" s="187" t="n">
        <f aca="false">(SUMPRODUCT(AL78:AL81,$I$72:$I$75))/1000000</f>
        <v>0</v>
      </c>
      <c r="AM100" s="187" t="n">
        <f aca="false">(SUMPRODUCT(AM78:AM81,$I$72:$I$75))/1000000</f>
        <v>0</v>
      </c>
      <c r="AN100" s="187" t="n">
        <f aca="false">(SUMPRODUCT(AN78:AN81,$I$72:$I$75))/1000000</f>
        <v>0</v>
      </c>
      <c r="AO100" s="187" t="n">
        <f aca="false">(SUMPRODUCT(AO78:AO81,$I$72:$I$75))/1000000</f>
        <v>0</v>
      </c>
      <c r="AP100" s="187" t="n">
        <f aca="false">(SUMPRODUCT(AP78:AP81,$I$72:$I$75))/1000000</f>
        <v>0</v>
      </c>
      <c r="AQ100" s="187" t="n">
        <f aca="false">(SUMPRODUCT(AQ78:AQ81,$I$72:$I$75))/1000000</f>
        <v>0</v>
      </c>
      <c r="AR100" s="187" t="n">
        <f aca="false">(SUMPRODUCT(AR78:AR81,$I$72:$I$75))/1000000</f>
        <v>0</v>
      </c>
      <c r="AS100" s="187" t="n">
        <f aca="false">(SUMPRODUCT(AS78:AS81,$I$72:$I$75))/1000000</f>
        <v>0</v>
      </c>
      <c r="AT100" s="187" t="n">
        <f aca="false">(SUMPRODUCT(AT78:AT81,$I$72:$I$75))/1000000</f>
        <v>0</v>
      </c>
      <c r="AU100" s="187" t="n">
        <f aca="false">(SUMPRODUCT(AU78:AU81,$I$72:$I$75))/1000000</f>
        <v>0</v>
      </c>
      <c r="AV100" s="187" t="n">
        <f aca="false">(SUMPRODUCT(AV78:AV81,$I$72:$I$75))/1000000</f>
        <v>0</v>
      </c>
      <c r="AW100" s="187" t="n">
        <f aca="false">(SUMPRODUCT(AW78:AW81,$I$72:$I$75))/1000000</f>
        <v>0</v>
      </c>
      <c r="AX100" s="187" t="n">
        <f aca="false">(SUMPRODUCT(AX78:AX81,$I$72:$I$75))/1000000</f>
        <v>0</v>
      </c>
      <c r="AY100" s="187" t="n">
        <f aca="false">(SUMPRODUCT(AY78:AY81,$I$72:$I$75))/1000000</f>
        <v>0</v>
      </c>
      <c r="AZ100" s="187" t="n">
        <f aca="false">(SUMPRODUCT(AZ78:AZ81,$I$72:$I$75))/1000000</f>
        <v>0</v>
      </c>
      <c r="BA100" s="187" t="n">
        <f aca="false">(SUMPRODUCT(BA78:BA81,$I$72:$I$75))/1000000</f>
        <v>0</v>
      </c>
      <c r="BB100" s="187" t="n">
        <f aca="false">(SUMPRODUCT(BB78:BB81,$I$72:$I$75))/1000000</f>
        <v>0</v>
      </c>
      <c r="BC100" s="187" t="n">
        <f aca="false">(SUMPRODUCT(BC78:BC81,$I$72:$I$75))/1000000</f>
        <v>0</v>
      </c>
      <c r="BD100" s="187" t="n">
        <f aca="false">(SUMPRODUCT(BD78:BD81,$I$72:$I$75))/1000000</f>
        <v>0</v>
      </c>
      <c r="BE100" s="187" t="n">
        <f aca="false">(SUMPRODUCT(BE78:BE81,$I$72:$I$75))/1000000</f>
        <v>0</v>
      </c>
      <c r="BF100" s="187" t="n">
        <f aca="false">(SUMPRODUCT(BF78:BF81,$I$72:$I$75))/1000000</f>
        <v>0</v>
      </c>
      <c r="BG100" s="187" t="n">
        <f aca="false">(SUMPRODUCT(BG78:BG81,$I$72:$I$75))/1000000</f>
        <v>0</v>
      </c>
      <c r="BH100" s="187" t="n">
        <f aca="false">(SUMPRODUCT(BH78:BH81,$I$72:$I$75))/1000000</f>
        <v>0</v>
      </c>
      <c r="BI100" s="187" t="n">
        <f aca="false">(SUMPRODUCT(BI78:BI81,$I$72:$I$75))/1000000</f>
        <v>0</v>
      </c>
      <c r="BJ100" s="187" t="n">
        <f aca="false">(SUMPRODUCT(BJ78:BJ81,$I$72:$I$75))/1000000</f>
        <v>0</v>
      </c>
      <c r="BK100" s="187" t="n">
        <f aca="false">(SUMPRODUCT(BK78:BK81,$I$72:$I$75))/1000000</f>
        <v>0</v>
      </c>
      <c r="BL100" s="187" t="n">
        <f aca="false">(SUMPRODUCT(BL78:BL81,$I$72:$I$75))/1000000</f>
        <v>0</v>
      </c>
      <c r="BM100" s="187" t="n">
        <f aca="false">(SUMPRODUCT(BM78:BM81,$I$72:$I$75))/1000000</f>
        <v>0</v>
      </c>
      <c r="BN100" s="187" t="n">
        <f aca="false">(SUMPRODUCT(BN78:BN81,$I$72:$I$75))/1000000</f>
        <v>0</v>
      </c>
      <c r="BO100" s="187" t="n">
        <f aca="false">(SUMPRODUCT(BO78:BO81,$I$72:$I$75))/1000000</f>
        <v>0</v>
      </c>
      <c r="BP100" s="187" t="n">
        <f aca="false">(SUMPRODUCT(BP78:BP81,$I$72:$I$75))/1000000</f>
        <v>0</v>
      </c>
      <c r="BQ100" s="187" t="n">
        <f aca="false">(SUMPRODUCT(BQ78:BQ81,$I$72:$I$75))/1000000</f>
        <v>0</v>
      </c>
      <c r="BR100" s="187" t="n">
        <f aca="false">(SUMPRODUCT(BR78:BR81,$I$72:$I$75))/1000000</f>
        <v>0</v>
      </c>
      <c r="BS100" s="187" t="n">
        <f aca="false">(SUMPRODUCT(BS78:BS81,$I$72:$I$75))/1000000</f>
        <v>0</v>
      </c>
      <c r="BT100" s="187" t="n">
        <f aca="false">(SUMPRODUCT(BT78:BT81,$I$72:$I$75))/1000000</f>
        <v>0</v>
      </c>
      <c r="BU100" s="187" t="n">
        <f aca="false">(SUMPRODUCT(BU78:BU81,$I$72:$I$75))/1000000</f>
        <v>0</v>
      </c>
      <c r="BV100" s="187" t="n">
        <f aca="false">(SUMPRODUCT(BV78:BV81,$I$72:$I$75))/1000000</f>
        <v>0</v>
      </c>
      <c r="BW100" s="187" t="n">
        <f aca="false">(SUMPRODUCT(BW78:BW81,$I$72:$I$75))/1000000</f>
        <v>0</v>
      </c>
      <c r="BX100" s="187" t="n">
        <f aca="false">(SUMPRODUCT(BX78:BX81,$I$72:$I$75))/1000000</f>
        <v>0</v>
      </c>
      <c r="BY100" s="187" t="n">
        <f aca="false">(SUMPRODUCT(BY78:BY81,$I$72:$I$75))/1000000</f>
        <v>0</v>
      </c>
      <c r="BZ100" s="187" t="n">
        <f aca="false">(SUMPRODUCT(BZ78:BZ81,$I$72:$I$75))/1000000</f>
        <v>0</v>
      </c>
      <c r="CA100" s="187" t="n">
        <f aca="false">(SUMPRODUCT(CA78:CA81,$I$72:$I$75))/1000000</f>
        <v>0</v>
      </c>
    </row>
    <row r="101" customFormat="false" ht="15" hidden="false" customHeight="false" outlineLevel="0" collapsed="false">
      <c r="B101" s="10" t="s">
        <v>366</v>
      </c>
      <c r="L101" s="187" t="n">
        <f aca="false">SUMIFS($T101:$CA101,$T$5:$CA$5,2026)</f>
        <v>0</v>
      </c>
      <c r="M101" s="187" t="n">
        <f aca="false">SUMIFS($T101:$CA101,$T$5:$CA$5,2027)</f>
        <v>0</v>
      </c>
      <c r="N101" s="187" t="n">
        <f aca="false">SUMIFS($T101:$CA101,$T$5:$CA$5,2028)</f>
        <v>0</v>
      </c>
      <c r="O101" s="187" t="n">
        <f aca="false">SUMIFS($T101:$CA101,$T$5:$CA$5,2029)</f>
        <v>0</v>
      </c>
      <c r="P101" s="187" t="n">
        <f aca="false">SUMIFS($T101:$CA101,$T$5:$CA$5,2030)</f>
        <v>0</v>
      </c>
      <c r="T101" s="187" t="n">
        <f aca="false">SUMPRODUCT(T93:T97,$I$86:$I$90)/1000000</f>
        <v>0</v>
      </c>
      <c r="U101" s="187" t="n">
        <f aca="false">SUMPRODUCT(U93:U97,$I$86:$I$90)/1000000</f>
        <v>0</v>
      </c>
      <c r="V101" s="187" t="n">
        <f aca="false">SUMPRODUCT(V93:V97,$I$86:$I$90)/1000000</f>
        <v>0</v>
      </c>
      <c r="W101" s="187" t="n">
        <f aca="false">SUMPRODUCT(W93:W97,$I$86:$I$90)/1000000</f>
        <v>0</v>
      </c>
      <c r="X101" s="187" t="n">
        <f aca="false">SUMPRODUCT(X93:X97,$I$86:$I$90)/1000000</f>
        <v>0</v>
      </c>
      <c r="Y101" s="187" t="n">
        <f aca="false">SUMPRODUCT(Y93:Y97,$I$86:$I$90)/1000000</f>
        <v>0</v>
      </c>
      <c r="Z101" s="187" t="n">
        <f aca="false">SUMPRODUCT(Z93:Z97,$I$86:$I$90)/1000000</f>
        <v>0</v>
      </c>
      <c r="AA101" s="187" t="n">
        <f aca="false">SUMPRODUCT(AA93:AA97,$I$86:$I$90)/1000000</f>
        <v>0</v>
      </c>
      <c r="AB101" s="187" t="n">
        <f aca="false">SUMPRODUCT(AB93:AB97,$I$86:$I$90)/1000000</f>
        <v>0</v>
      </c>
      <c r="AC101" s="187" t="n">
        <f aca="false">SUMPRODUCT(AC93:AC97,$I$86:$I$90)/1000000</f>
        <v>0</v>
      </c>
      <c r="AD101" s="187" t="n">
        <f aca="false">SUMPRODUCT(AD93:AD97,$I$86:$I$90)/1000000</f>
        <v>0</v>
      </c>
      <c r="AE101" s="187" t="n">
        <f aca="false">SUMPRODUCT(AE93:AE97,$I$86:$I$90)/1000000</f>
        <v>0</v>
      </c>
      <c r="AF101" s="187" t="n">
        <f aca="false">SUMPRODUCT(AF93:AF97,$I$86:$I$90)/1000000</f>
        <v>0</v>
      </c>
      <c r="AG101" s="187" t="n">
        <f aca="false">SUMPRODUCT(AG93:AG97,$I$86:$I$90)/1000000</f>
        <v>0</v>
      </c>
      <c r="AH101" s="187" t="n">
        <f aca="false">SUMPRODUCT(AH93:AH97,$I$86:$I$90)/1000000</f>
        <v>0</v>
      </c>
      <c r="AI101" s="187" t="n">
        <f aca="false">SUMPRODUCT(AI93:AI97,$I$86:$I$90)/1000000</f>
        <v>0</v>
      </c>
      <c r="AJ101" s="187" t="n">
        <f aca="false">SUMPRODUCT(AJ93:AJ97,$I$86:$I$90)/1000000</f>
        <v>0</v>
      </c>
      <c r="AK101" s="187" t="n">
        <f aca="false">SUMPRODUCT(AK93:AK97,$I$86:$I$90)/1000000</f>
        <v>0</v>
      </c>
      <c r="AL101" s="187" t="n">
        <f aca="false">SUMPRODUCT(AL93:AL97,$I$86:$I$90)/1000000</f>
        <v>0</v>
      </c>
      <c r="AM101" s="187" t="n">
        <f aca="false">SUMPRODUCT(AM93:AM97,$I$86:$I$90)/1000000</f>
        <v>0</v>
      </c>
      <c r="AN101" s="187" t="n">
        <f aca="false">SUMPRODUCT(AN93:AN97,$I$86:$I$90)/1000000</f>
        <v>0</v>
      </c>
      <c r="AO101" s="187" t="n">
        <f aca="false">SUMPRODUCT(AO93:AO97,$I$86:$I$90)/1000000</f>
        <v>0</v>
      </c>
      <c r="AP101" s="187" t="n">
        <f aca="false">SUMPRODUCT(AP93:AP97,$I$86:$I$90)/1000000</f>
        <v>0</v>
      </c>
      <c r="AQ101" s="187" t="n">
        <f aca="false">SUMPRODUCT(AQ93:AQ97,$I$86:$I$90)/1000000</f>
        <v>0</v>
      </c>
      <c r="AR101" s="187" t="n">
        <f aca="false">SUMPRODUCT(AR93:AR97,$I$86:$I$90)/1000000</f>
        <v>0</v>
      </c>
      <c r="AS101" s="187" t="n">
        <f aca="false">SUMPRODUCT(AS93:AS97,$I$86:$I$90)/1000000</f>
        <v>0</v>
      </c>
      <c r="AT101" s="187" t="n">
        <f aca="false">SUMPRODUCT(AT93:AT97,$I$86:$I$90)/1000000</f>
        <v>0</v>
      </c>
      <c r="AU101" s="187" t="n">
        <f aca="false">SUMPRODUCT(AU93:AU97,$I$86:$I$90)/1000000</f>
        <v>0</v>
      </c>
      <c r="AV101" s="187" t="n">
        <f aca="false">SUMPRODUCT(AV93:AV97,$I$86:$I$90)/1000000</f>
        <v>0</v>
      </c>
      <c r="AW101" s="187" t="n">
        <f aca="false">SUMPRODUCT(AW93:AW97,$I$86:$I$90)/1000000</f>
        <v>0</v>
      </c>
      <c r="AX101" s="187" t="n">
        <f aca="false">SUMPRODUCT(AX93:AX97,$I$86:$I$90)/1000000</f>
        <v>0</v>
      </c>
      <c r="AY101" s="187" t="n">
        <f aca="false">SUMPRODUCT(AY93:AY97,$I$86:$I$90)/1000000</f>
        <v>0</v>
      </c>
      <c r="AZ101" s="187" t="n">
        <f aca="false">SUMPRODUCT(AZ93:AZ97,$I$86:$I$90)/1000000</f>
        <v>0</v>
      </c>
      <c r="BA101" s="187" t="n">
        <f aca="false">SUMPRODUCT(BA93:BA97,$I$86:$I$90)/1000000</f>
        <v>0</v>
      </c>
      <c r="BB101" s="187" t="n">
        <f aca="false">SUMPRODUCT(BB93:BB97,$I$86:$I$90)/1000000</f>
        <v>0</v>
      </c>
      <c r="BC101" s="187" t="n">
        <f aca="false">SUMPRODUCT(BC93:BC97,$I$86:$I$90)/1000000</f>
        <v>0</v>
      </c>
      <c r="BD101" s="187" t="n">
        <f aca="false">SUMPRODUCT(BD93:BD97,$I$86:$I$90)/1000000</f>
        <v>0</v>
      </c>
      <c r="BE101" s="187" t="n">
        <f aca="false">SUMPRODUCT(BE93:BE97,$I$86:$I$90)/1000000</f>
        <v>0</v>
      </c>
      <c r="BF101" s="187" t="n">
        <f aca="false">SUMPRODUCT(BF93:BF97,$I$86:$I$90)/1000000</f>
        <v>0</v>
      </c>
      <c r="BG101" s="187" t="n">
        <f aca="false">SUMPRODUCT(BG93:BG97,$I$86:$I$90)/1000000</f>
        <v>0</v>
      </c>
      <c r="BH101" s="187" t="n">
        <f aca="false">SUMPRODUCT(BH93:BH97,$I$86:$I$90)/1000000</f>
        <v>0</v>
      </c>
      <c r="BI101" s="187" t="n">
        <f aca="false">SUMPRODUCT(BI93:BI97,$I$86:$I$90)/1000000</f>
        <v>0</v>
      </c>
      <c r="BJ101" s="187" t="n">
        <f aca="false">SUMPRODUCT(BJ93:BJ97,$I$86:$I$90)/1000000</f>
        <v>0</v>
      </c>
      <c r="BK101" s="187" t="n">
        <f aca="false">SUMPRODUCT(BK93:BK97,$I$86:$I$90)/1000000</f>
        <v>0</v>
      </c>
      <c r="BL101" s="187" t="n">
        <f aca="false">SUMPRODUCT(BL93:BL97,$I$86:$I$90)/1000000</f>
        <v>0</v>
      </c>
      <c r="BM101" s="187" t="n">
        <f aca="false">SUMPRODUCT(BM93:BM97,$I$86:$I$90)/1000000</f>
        <v>0</v>
      </c>
      <c r="BN101" s="187" t="n">
        <f aca="false">SUMPRODUCT(BN93:BN97,$I$86:$I$90)/1000000</f>
        <v>0</v>
      </c>
      <c r="BO101" s="187" t="n">
        <f aca="false">SUMPRODUCT(BO93:BO97,$I$86:$I$90)/1000000</f>
        <v>0</v>
      </c>
      <c r="BP101" s="187" t="n">
        <f aca="false">SUMPRODUCT(BP93:BP97,$I$86:$I$90)/1000000</f>
        <v>0</v>
      </c>
      <c r="BQ101" s="187" t="n">
        <f aca="false">SUMPRODUCT(BQ93:BQ97,$I$86:$I$90)/1000000</f>
        <v>0</v>
      </c>
      <c r="BR101" s="187" t="n">
        <f aca="false">SUMPRODUCT(BR93:BR97,$I$86:$I$90)/1000000</f>
        <v>0</v>
      </c>
      <c r="BS101" s="187" t="n">
        <f aca="false">SUMPRODUCT(BS93:BS97,$I$86:$I$90)/1000000</f>
        <v>0</v>
      </c>
      <c r="BT101" s="187" t="n">
        <f aca="false">SUMPRODUCT(BT93:BT97,$I$86:$I$90)/1000000</f>
        <v>0</v>
      </c>
      <c r="BU101" s="187" t="n">
        <f aca="false">SUMPRODUCT(BU93:BU97,$I$86:$I$90)/1000000</f>
        <v>0</v>
      </c>
      <c r="BV101" s="187" t="n">
        <f aca="false">SUMPRODUCT(BV93:BV97,$I$86:$I$90)/1000000</f>
        <v>0</v>
      </c>
      <c r="BW101" s="187" t="n">
        <f aca="false">SUMPRODUCT(BW93:BW97,$I$86:$I$90)/1000000</f>
        <v>0</v>
      </c>
      <c r="BX101" s="187" t="n">
        <f aca="false">SUMPRODUCT(BX93:BX97,$I$86:$I$90)/1000000</f>
        <v>0</v>
      </c>
      <c r="BY101" s="187" t="n">
        <f aca="false">SUMPRODUCT(BY93:BY97,$I$86:$I$90)/1000000</f>
        <v>0</v>
      </c>
      <c r="BZ101" s="187" t="n">
        <f aca="false">SUMPRODUCT(BZ93:BZ97,$I$86:$I$90)/1000000</f>
        <v>0</v>
      </c>
      <c r="CA101" s="187" t="n">
        <f aca="false">SUMPRODUCT(CA93:CA97,$I$86:$I$90)/1000000</f>
        <v>0</v>
      </c>
    </row>
    <row r="102" customFormat="false" ht="15" hidden="false" customHeight="false" outlineLevel="0" collapsed="false">
      <c r="B102" s="10" t="s">
        <v>367</v>
      </c>
      <c r="L102" s="187" t="n">
        <f aca="false">SUMIFS($T102:$CA102,$T$5:$CA$5,2026)</f>
        <v>0.15796</v>
      </c>
      <c r="M102" s="187" t="n">
        <f aca="false">SUMIFS($T102:$CA102,$T$5:$CA$5,2027)</f>
        <v>0.598931666666667</v>
      </c>
      <c r="N102" s="187" t="n">
        <f aca="false">SUMIFS($T102:$CA102,$T$5:$CA$5,2028)</f>
        <v>0</v>
      </c>
      <c r="O102" s="187" t="n">
        <f aca="false">SUMIFS($T102:$CA102,$T$5:$CA$5,2029)</f>
        <v>0</v>
      </c>
      <c r="P102" s="187" t="n">
        <f aca="false">SUMIFS($T102:$CA102,$T$5:$CA$5,2030)</f>
        <v>0</v>
      </c>
      <c r="T102" s="187" t="n">
        <f aca="false">(SUMPRODUCT(T78:T81,1-$I$72:$I$75))/1000000</f>
        <v>0</v>
      </c>
      <c r="U102" s="187" t="n">
        <f aca="false">(SUMPRODUCT(U78:U81,1-$I$72:$I$75))/1000000</f>
        <v>0</v>
      </c>
      <c r="V102" s="187" t="n">
        <f aca="false">(SUMPRODUCT(V78:V81,1-$I$72:$I$75))/1000000</f>
        <v>0</v>
      </c>
      <c r="W102" s="187" t="n">
        <f aca="false">(SUMPRODUCT(W78:W81,1-$I$72:$I$75))/1000000</f>
        <v>0</v>
      </c>
      <c r="X102" s="187" t="n">
        <f aca="false">(SUMPRODUCT(X78:X81,1-$I$72:$I$75))/1000000</f>
        <v>0</v>
      </c>
      <c r="Y102" s="187" t="n">
        <f aca="false">(SUMPRODUCT(Y78:Y81,1-$I$72:$I$75))/1000000</f>
        <v>0</v>
      </c>
      <c r="Z102" s="187" t="n">
        <f aca="false">(SUMPRODUCT(Z78:Z81,1-$I$72:$I$75))/1000000</f>
        <v>0</v>
      </c>
      <c r="AA102" s="187" t="n">
        <f aca="false">(SUMPRODUCT(AA78:AA81,1-$I$72:$I$75))/1000000</f>
        <v>0</v>
      </c>
      <c r="AB102" s="187" t="n">
        <f aca="false">(SUMPRODUCT(AB78:AB81,1-$I$72:$I$75))/1000000</f>
        <v>0</v>
      </c>
      <c r="AC102" s="187" t="n">
        <f aca="false">(SUMPRODUCT(AC78:AC81,1-$I$72:$I$75))/1000000</f>
        <v>0.0658166666666667</v>
      </c>
      <c r="AD102" s="187" t="n">
        <f aca="false">(SUMPRODUCT(AD78:AD81,1-$I$72:$I$75))/1000000</f>
        <v>0.0658166666666667</v>
      </c>
      <c r="AE102" s="187" t="n">
        <f aca="false">(SUMPRODUCT(AE78:AE81,1-$I$72:$I$75))/1000000</f>
        <v>0.0263266666666667</v>
      </c>
      <c r="AF102" s="187" t="n">
        <f aca="false">(SUMPRODUCT(AF78:AF81,1-$I$72:$I$75))/1000000</f>
        <v>0.0263266666666667</v>
      </c>
      <c r="AG102" s="187" t="n">
        <f aca="false">(SUMPRODUCT(AG78:AG81,1-$I$72:$I$75))/1000000</f>
        <v>0.0263266666666667</v>
      </c>
      <c r="AH102" s="187" t="n">
        <f aca="false">(SUMPRODUCT(AH78:AH81,1-$I$72:$I$75))/1000000</f>
        <v>0.0263266666666667</v>
      </c>
      <c r="AI102" s="187" t="n">
        <f aca="false">(SUMPRODUCT(AI78:AI81,1-$I$72:$I$75))/1000000</f>
        <v>0.1085975</v>
      </c>
      <c r="AJ102" s="187" t="n">
        <f aca="false">(SUMPRODUCT(AJ78:AJ81,1-$I$72:$I$75))/1000000</f>
        <v>0.0822708333333333</v>
      </c>
      <c r="AK102" s="187" t="n">
        <f aca="false">(SUMPRODUCT(AK78:AK81,1-$I$72:$I$75))/1000000</f>
        <v>0.0822708333333333</v>
      </c>
      <c r="AL102" s="187" t="n">
        <f aca="false">(SUMPRODUCT(AL78:AL81,1-$I$72:$I$75))/1000000</f>
        <v>0.0822708333333333</v>
      </c>
      <c r="AM102" s="187" t="n">
        <f aca="false">(SUMPRODUCT(AM78:AM81,1-$I$72:$I$75))/1000000</f>
        <v>0.0822708333333333</v>
      </c>
      <c r="AN102" s="187" t="n">
        <f aca="false">(SUMPRODUCT(AN78:AN81,1-$I$72:$I$75))/1000000</f>
        <v>0.0822708333333333</v>
      </c>
      <c r="AO102" s="187" t="n">
        <f aca="false">(SUMPRODUCT(AO78:AO81,1-$I$72:$I$75))/1000000</f>
        <v>0</v>
      </c>
      <c r="AP102" s="187" t="n">
        <f aca="false">(SUMPRODUCT(AP78:AP81,1-$I$72:$I$75))/1000000</f>
        <v>0</v>
      </c>
      <c r="AQ102" s="187" t="n">
        <f aca="false">(SUMPRODUCT(AQ78:AQ81,1-$I$72:$I$75))/1000000</f>
        <v>0</v>
      </c>
      <c r="AR102" s="187" t="n">
        <f aca="false">(SUMPRODUCT(AR78:AR81,1-$I$72:$I$75))/1000000</f>
        <v>0</v>
      </c>
      <c r="AS102" s="187" t="n">
        <f aca="false">(SUMPRODUCT(AS78:AS81,1-$I$72:$I$75))/1000000</f>
        <v>0</v>
      </c>
      <c r="AT102" s="187" t="n">
        <f aca="false">(SUMPRODUCT(AT78:AT81,1-$I$72:$I$75))/1000000</f>
        <v>0</v>
      </c>
      <c r="AU102" s="187" t="n">
        <f aca="false">(SUMPRODUCT(AU78:AU81,1-$I$72:$I$75))/1000000</f>
        <v>0</v>
      </c>
      <c r="AV102" s="187" t="n">
        <f aca="false">(SUMPRODUCT(AV78:AV81,1-$I$72:$I$75))/1000000</f>
        <v>0</v>
      </c>
      <c r="AW102" s="187" t="n">
        <f aca="false">(SUMPRODUCT(AW78:AW81,1-$I$72:$I$75))/1000000</f>
        <v>0</v>
      </c>
      <c r="AX102" s="187" t="n">
        <f aca="false">(SUMPRODUCT(AX78:AX81,1-$I$72:$I$75))/1000000</f>
        <v>0</v>
      </c>
      <c r="AY102" s="187" t="n">
        <f aca="false">(SUMPRODUCT(AY78:AY81,1-$I$72:$I$75))/1000000</f>
        <v>0</v>
      </c>
      <c r="AZ102" s="187" t="n">
        <f aca="false">(SUMPRODUCT(AZ78:AZ81,1-$I$72:$I$75))/1000000</f>
        <v>0</v>
      </c>
      <c r="BA102" s="187" t="n">
        <f aca="false">(SUMPRODUCT(BA78:BA81,1-$I$72:$I$75))/1000000</f>
        <v>0</v>
      </c>
      <c r="BB102" s="187" t="n">
        <f aca="false">(SUMPRODUCT(BB78:BB81,1-$I$72:$I$75))/1000000</f>
        <v>0</v>
      </c>
      <c r="BC102" s="187" t="n">
        <f aca="false">(SUMPRODUCT(BC78:BC81,1-$I$72:$I$75))/1000000</f>
        <v>0</v>
      </c>
      <c r="BD102" s="187" t="n">
        <f aca="false">(SUMPRODUCT(BD78:BD81,1-$I$72:$I$75))/1000000</f>
        <v>0</v>
      </c>
      <c r="BE102" s="187" t="n">
        <f aca="false">(SUMPRODUCT(BE78:BE81,1-$I$72:$I$75))/1000000</f>
        <v>0</v>
      </c>
      <c r="BF102" s="187" t="n">
        <f aca="false">(SUMPRODUCT(BF78:BF81,1-$I$72:$I$75))/1000000</f>
        <v>0</v>
      </c>
      <c r="BG102" s="187" t="n">
        <f aca="false">(SUMPRODUCT(BG78:BG81,1-$I$72:$I$75))/1000000</f>
        <v>0</v>
      </c>
      <c r="BH102" s="187" t="n">
        <f aca="false">(SUMPRODUCT(BH78:BH81,1-$I$72:$I$75))/1000000</f>
        <v>0</v>
      </c>
      <c r="BI102" s="187" t="n">
        <f aca="false">(SUMPRODUCT(BI78:BI81,1-$I$72:$I$75))/1000000</f>
        <v>0</v>
      </c>
      <c r="BJ102" s="187" t="n">
        <f aca="false">(SUMPRODUCT(BJ78:BJ81,1-$I$72:$I$75))/1000000</f>
        <v>0</v>
      </c>
      <c r="BK102" s="187" t="n">
        <f aca="false">(SUMPRODUCT(BK78:BK81,1-$I$72:$I$75))/1000000</f>
        <v>0</v>
      </c>
      <c r="BL102" s="187" t="n">
        <f aca="false">(SUMPRODUCT(BL78:BL81,1-$I$72:$I$75))/1000000</f>
        <v>0</v>
      </c>
      <c r="BM102" s="187" t="n">
        <f aca="false">(SUMPRODUCT(BM78:BM81,1-$I$72:$I$75))/1000000</f>
        <v>0</v>
      </c>
      <c r="BN102" s="187" t="n">
        <f aca="false">(SUMPRODUCT(BN78:BN81,1-$I$72:$I$75))/1000000</f>
        <v>0</v>
      </c>
      <c r="BO102" s="187" t="n">
        <f aca="false">(SUMPRODUCT(BO78:BO81,1-$I$72:$I$75))/1000000</f>
        <v>0</v>
      </c>
      <c r="BP102" s="187" t="n">
        <f aca="false">(SUMPRODUCT(BP78:BP81,1-$I$72:$I$75))/1000000</f>
        <v>0</v>
      </c>
      <c r="BQ102" s="187" t="n">
        <f aca="false">(SUMPRODUCT(BQ78:BQ81,1-$I$72:$I$75))/1000000</f>
        <v>0</v>
      </c>
      <c r="BR102" s="187" t="n">
        <f aca="false">(SUMPRODUCT(BR78:BR81,1-$I$72:$I$75))/1000000</f>
        <v>0</v>
      </c>
      <c r="BS102" s="187" t="n">
        <f aca="false">(SUMPRODUCT(BS78:BS81,1-$I$72:$I$75))/1000000</f>
        <v>0</v>
      </c>
      <c r="BT102" s="187" t="n">
        <f aca="false">(SUMPRODUCT(BT78:BT81,1-$I$72:$I$75))/1000000</f>
        <v>0</v>
      </c>
      <c r="BU102" s="187" t="n">
        <f aca="false">(SUMPRODUCT(BU78:BU81,1-$I$72:$I$75))/1000000</f>
        <v>0</v>
      </c>
      <c r="BV102" s="187" t="n">
        <f aca="false">(SUMPRODUCT(BV78:BV81,1-$I$72:$I$75))/1000000</f>
        <v>0</v>
      </c>
      <c r="BW102" s="187" t="n">
        <f aca="false">(SUMPRODUCT(BW78:BW81,1-$I$72:$I$75))/1000000</f>
        <v>0</v>
      </c>
      <c r="BX102" s="187" t="n">
        <f aca="false">(SUMPRODUCT(BX78:BX81,1-$I$72:$I$75))/1000000</f>
        <v>0</v>
      </c>
      <c r="BY102" s="187" t="n">
        <f aca="false">(SUMPRODUCT(BY78:BY81,1-$I$72:$I$75))/1000000</f>
        <v>0</v>
      </c>
      <c r="BZ102" s="187" t="n">
        <f aca="false">(SUMPRODUCT(BZ78:BZ81,1-$I$72:$I$75))/1000000</f>
        <v>0</v>
      </c>
      <c r="CA102" s="187" t="n">
        <f aca="false">(SUMPRODUCT(CA78:CA81,1-$I$72:$I$75))/1000000</f>
        <v>0</v>
      </c>
    </row>
    <row r="103" customFormat="false" ht="15" hidden="false" customHeight="false" outlineLevel="0" collapsed="false">
      <c r="B103" s="10" t="s">
        <v>368</v>
      </c>
      <c r="L103" s="187" t="n">
        <f aca="false">SUMIFS($T103:$CA103,$T$5:$CA$5,2026)</f>
        <v>0.0804279666666667</v>
      </c>
      <c r="M103" s="187" t="n">
        <f aca="false">SUMIFS($T103:$CA103,$T$5:$CA$5,2027)</f>
        <v>0.160855933333333</v>
      </c>
      <c r="N103" s="187" t="n">
        <f aca="false">SUMIFS($T103:$CA103,$T$5:$CA$5,2028)</f>
        <v>0</v>
      </c>
      <c r="O103" s="187" t="n">
        <f aca="false">SUMIFS($T103:$CA103,$T$5:$CA$5,2029)</f>
        <v>0</v>
      </c>
      <c r="P103" s="187" t="n">
        <f aca="false">SUMIFS($T103:$CA103,$T$5:$CA$5,2030)</f>
        <v>0</v>
      </c>
      <c r="T103" s="187" t="n">
        <f aca="false">SUMPRODUCT(T93:T97,1-$I$86:$I$90)/1000000</f>
        <v>0</v>
      </c>
      <c r="U103" s="187" t="n">
        <f aca="false">SUMPRODUCT(U93:U97,1-$I$86:$I$90)/1000000</f>
        <v>0</v>
      </c>
      <c r="V103" s="187" t="n">
        <f aca="false">SUMPRODUCT(V93:V97,1-$I$86:$I$90)/1000000</f>
        <v>0</v>
      </c>
      <c r="W103" s="187" t="n">
        <f aca="false">SUMPRODUCT(W93:W97,1-$I$86:$I$90)/1000000</f>
        <v>0</v>
      </c>
      <c r="X103" s="187" t="n">
        <f aca="false">SUMPRODUCT(X93:X97,1-$I$86:$I$90)/1000000</f>
        <v>0</v>
      </c>
      <c r="Y103" s="187" t="n">
        <f aca="false">SUMPRODUCT(Y93:Y97,1-$I$86:$I$90)/1000000</f>
        <v>0</v>
      </c>
      <c r="Z103" s="187" t="n">
        <f aca="false">SUMPRODUCT(Z93:Z97,1-$I$86:$I$90)/1000000</f>
        <v>0</v>
      </c>
      <c r="AA103" s="187" t="n">
        <f aca="false">SUMPRODUCT(AA93:AA97,1-$I$86:$I$90)/1000000</f>
        <v>0</v>
      </c>
      <c r="AB103" s="187" t="n">
        <f aca="false">SUMPRODUCT(AB93:AB97,1-$I$86:$I$90)/1000000</f>
        <v>0</v>
      </c>
      <c r="AC103" s="187" t="n">
        <f aca="false">SUMPRODUCT(AC93:AC97,1-$I$86:$I$90)/1000000</f>
        <v>0.0268093222222222</v>
      </c>
      <c r="AD103" s="187" t="n">
        <f aca="false">SUMPRODUCT(AD93:AD97,1-$I$86:$I$90)/1000000</f>
        <v>0.0268093222222222</v>
      </c>
      <c r="AE103" s="187" t="n">
        <f aca="false">SUMPRODUCT(AE93:AE97,1-$I$86:$I$90)/1000000</f>
        <v>0.0268093222222222</v>
      </c>
      <c r="AF103" s="187" t="n">
        <f aca="false">SUMPRODUCT(AF93:AF97,1-$I$86:$I$90)/1000000</f>
        <v>0.0268093222222222</v>
      </c>
      <c r="AG103" s="187" t="n">
        <f aca="false">SUMPRODUCT(AG93:AG97,1-$I$86:$I$90)/1000000</f>
        <v>0.0268093222222222</v>
      </c>
      <c r="AH103" s="187" t="n">
        <f aca="false">SUMPRODUCT(AH93:AH97,1-$I$86:$I$90)/1000000</f>
        <v>0.0268093222222222</v>
      </c>
      <c r="AI103" s="187" t="n">
        <f aca="false">SUMPRODUCT(AI93:AI97,1-$I$86:$I$90)/1000000</f>
        <v>0.0268093222222222</v>
      </c>
      <c r="AJ103" s="187" t="n">
        <f aca="false">SUMPRODUCT(AJ93:AJ97,1-$I$86:$I$90)/1000000</f>
        <v>0.0268093222222222</v>
      </c>
      <c r="AK103" s="187" t="n">
        <f aca="false">SUMPRODUCT(AK93:AK97,1-$I$86:$I$90)/1000000</f>
        <v>0.0268093222222222</v>
      </c>
      <c r="AL103" s="187" t="n">
        <f aca="false">SUMPRODUCT(AL93:AL97,1-$I$86:$I$90)/1000000</f>
        <v>0</v>
      </c>
      <c r="AM103" s="187" t="n">
        <f aca="false">SUMPRODUCT(AM93:AM97,1-$I$86:$I$90)/1000000</f>
        <v>0</v>
      </c>
      <c r="AN103" s="187" t="n">
        <f aca="false">SUMPRODUCT(AN93:AN97,1-$I$86:$I$90)/1000000</f>
        <v>0</v>
      </c>
      <c r="AO103" s="187" t="n">
        <f aca="false">SUMPRODUCT(AO93:AO97,1-$I$86:$I$90)/1000000</f>
        <v>0</v>
      </c>
      <c r="AP103" s="187" t="n">
        <f aca="false">SUMPRODUCT(AP93:AP97,1-$I$86:$I$90)/1000000</f>
        <v>0</v>
      </c>
      <c r="AQ103" s="187" t="n">
        <f aca="false">SUMPRODUCT(AQ93:AQ97,1-$I$86:$I$90)/1000000</f>
        <v>0</v>
      </c>
      <c r="AR103" s="187" t="n">
        <f aca="false">SUMPRODUCT(AR93:AR97,1-$I$86:$I$90)/1000000</f>
        <v>0</v>
      </c>
      <c r="AS103" s="187" t="n">
        <f aca="false">SUMPRODUCT(AS93:AS97,1-$I$86:$I$90)/1000000</f>
        <v>0</v>
      </c>
      <c r="AT103" s="187" t="n">
        <f aca="false">SUMPRODUCT(AT93:AT97,1-$I$86:$I$90)/1000000</f>
        <v>0</v>
      </c>
      <c r="AU103" s="187" t="n">
        <f aca="false">SUMPRODUCT(AU93:AU97,1-$I$86:$I$90)/1000000</f>
        <v>0</v>
      </c>
      <c r="AV103" s="187" t="n">
        <f aca="false">SUMPRODUCT(AV93:AV97,1-$I$86:$I$90)/1000000</f>
        <v>0</v>
      </c>
      <c r="AW103" s="187" t="n">
        <f aca="false">SUMPRODUCT(AW93:AW97,1-$I$86:$I$90)/1000000</f>
        <v>0</v>
      </c>
      <c r="AX103" s="187" t="n">
        <f aca="false">SUMPRODUCT(AX93:AX97,1-$I$86:$I$90)/1000000</f>
        <v>0</v>
      </c>
      <c r="AY103" s="187" t="n">
        <f aca="false">SUMPRODUCT(AY93:AY97,1-$I$86:$I$90)/1000000</f>
        <v>0</v>
      </c>
      <c r="AZ103" s="187" t="n">
        <f aca="false">SUMPRODUCT(AZ93:AZ97,1-$I$86:$I$90)/1000000</f>
        <v>0</v>
      </c>
      <c r="BA103" s="187" t="n">
        <f aca="false">SUMPRODUCT(BA93:BA97,1-$I$86:$I$90)/1000000</f>
        <v>0</v>
      </c>
      <c r="BB103" s="187" t="n">
        <f aca="false">SUMPRODUCT(BB93:BB97,1-$I$86:$I$90)/1000000</f>
        <v>0</v>
      </c>
      <c r="BC103" s="187" t="n">
        <f aca="false">SUMPRODUCT(BC93:BC97,1-$I$86:$I$90)/1000000</f>
        <v>0</v>
      </c>
      <c r="BD103" s="187" t="n">
        <f aca="false">SUMPRODUCT(BD93:BD97,1-$I$86:$I$90)/1000000</f>
        <v>0</v>
      </c>
      <c r="BE103" s="187" t="n">
        <f aca="false">SUMPRODUCT(BE93:BE97,1-$I$86:$I$90)/1000000</f>
        <v>0</v>
      </c>
      <c r="BF103" s="187" t="n">
        <f aca="false">SUMPRODUCT(BF93:BF97,1-$I$86:$I$90)/1000000</f>
        <v>0</v>
      </c>
      <c r="BG103" s="187" t="n">
        <f aca="false">SUMPRODUCT(BG93:BG97,1-$I$86:$I$90)/1000000</f>
        <v>0</v>
      </c>
      <c r="BH103" s="187" t="n">
        <f aca="false">SUMPRODUCT(BH93:BH97,1-$I$86:$I$90)/1000000</f>
        <v>0</v>
      </c>
      <c r="BI103" s="187" t="n">
        <f aca="false">SUMPRODUCT(BI93:BI97,1-$I$86:$I$90)/1000000</f>
        <v>0</v>
      </c>
      <c r="BJ103" s="187" t="n">
        <f aca="false">SUMPRODUCT(BJ93:BJ97,1-$I$86:$I$90)/1000000</f>
        <v>0</v>
      </c>
      <c r="BK103" s="187" t="n">
        <f aca="false">SUMPRODUCT(BK93:BK97,1-$I$86:$I$90)/1000000</f>
        <v>0</v>
      </c>
      <c r="BL103" s="187" t="n">
        <f aca="false">SUMPRODUCT(BL93:BL97,1-$I$86:$I$90)/1000000</f>
        <v>0</v>
      </c>
      <c r="BM103" s="187" t="n">
        <f aca="false">SUMPRODUCT(BM93:BM97,1-$I$86:$I$90)/1000000</f>
        <v>0</v>
      </c>
      <c r="BN103" s="187" t="n">
        <f aca="false">SUMPRODUCT(BN93:BN97,1-$I$86:$I$90)/1000000</f>
        <v>0</v>
      </c>
      <c r="BO103" s="187" t="n">
        <f aca="false">SUMPRODUCT(BO93:BO97,1-$I$86:$I$90)/1000000</f>
        <v>0</v>
      </c>
      <c r="BP103" s="187" t="n">
        <f aca="false">SUMPRODUCT(BP93:BP97,1-$I$86:$I$90)/1000000</f>
        <v>0</v>
      </c>
      <c r="BQ103" s="187" t="n">
        <f aca="false">SUMPRODUCT(BQ93:BQ97,1-$I$86:$I$90)/1000000</f>
        <v>0</v>
      </c>
      <c r="BR103" s="187" t="n">
        <f aca="false">SUMPRODUCT(BR93:BR97,1-$I$86:$I$90)/1000000</f>
        <v>0</v>
      </c>
      <c r="BS103" s="187" t="n">
        <f aca="false">SUMPRODUCT(BS93:BS97,1-$I$86:$I$90)/1000000</f>
        <v>0</v>
      </c>
      <c r="BT103" s="187" t="n">
        <f aca="false">SUMPRODUCT(BT93:BT97,1-$I$86:$I$90)/1000000</f>
        <v>0</v>
      </c>
      <c r="BU103" s="187" t="n">
        <f aca="false">SUMPRODUCT(BU93:BU97,1-$I$86:$I$90)/1000000</f>
        <v>0</v>
      </c>
      <c r="BV103" s="187" t="n">
        <f aca="false">SUMPRODUCT(BV93:BV97,1-$I$86:$I$90)/1000000</f>
        <v>0</v>
      </c>
      <c r="BW103" s="187" t="n">
        <f aca="false">SUMPRODUCT(BW93:BW97,1-$I$86:$I$90)/1000000</f>
        <v>0</v>
      </c>
      <c r="BX103" s="187" t="n">
        <f aca="false">SUMPRODUCT(BX93:BX97,1-$I$86:$I$90)/1000000</f>
        <v>0</v>
      </c>
      <c r="BY103" s="187" t="n">
        <f aca="false">SUMPRODUCT(BY93:BY97,1-$I$86:$I$90)/1000000</f>
        <v>0</v>
      </c>
      <c r="BZ103" s="187" t="n">
        <f aca="false">SUMPRODUCT(BZ93:BZ97,1-$I$86:$I$90)/1000000</f>
        <v>0</v>
      </c>
      <c r="CA103" s="187" t="n">
        <f aca="false">SUMPRODUCT(CA93:CA97,1-$I$86:$I$90)/1000000</f>
        <v>0</v>
      </c>
    </row>
    <row r="104" customFormat="false" ht="15" hidden="false" customHeight="false" outlineLevel="0" collapsed="false">
      <c r="B104" s="3" t="s">
        <v>369</v>
      </c>
      <c r="L104" s="187" t="n">
        <f aca="false">SUM(L100:L103)</f>
        <v>0.343694633333333</v>
      </c>
      <c r="M104" s="187" t="n">
        <f aca="false">SUM(M100:M103)</f>
        <v>1.18101426666667</v>
      </c>
      <c r="N104" s="187" t="n">
        <f aca="false">SUM(N100:N103)</f>
        <v>0</v>
      </c>
      <c r="O104" s="187" t="n">
        <f aca="false">SUM(O100:O103)</f>
        <v>0</v>
      </c>
      <c r="P104" s="187" t="n">
        <f aca="false">SUM(P100:P103)</f>
        <v>0</v>
      </c>
    </row>
    <row r="106" customFormat="false" ht="18" hidden="false" customHeight="true" outlineLevel="0" collapsed="false">
      <c r="B106" s="5" t="s">
        <v>370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8" customFormat="false" ht="22.35" hidden="false" customHeight="false" outlineLevel="0" collapsed="false">
      <c r="B108" s="169" t="s">
        <v>371</v>
      </c>
      <c r="C108" s="169" t="s">
        <v>346</v>
      </c>
      <c r="D108" s="169" t="s">
        <v>372</v>
      </c>
      <c r="H108" s="169" t="s">
        <v>326</v>
      </c>
      <c r="I108" s="169" t="s">
        <v>373</v>
      </c>
    </row>
    <row r="109" customFormat="false" ht="41.75" hidden="false" customHeight="false" outlineLevel="0" collapsed="false">
      <c r="B109" s="10" t="s">
        <v>374</v>
      </c>
      <c r="C109" s="190" t="s">
        <v>375</v>
      </c>
      <c r="D109" s="158" t="n">
        <v>0</v>
      </c>
      <c r="H109" s="178" t="n">
        <f aca="false">DATE(2027,4,1)</f>
        <v>46478</v>
      </c>
      <c r="I109" s="9" t="s">
        <v>376</v>
      </c>
    </row>
    <row r="110" customFormat="false" ht="28.35" hidden="false" customHeight="false" outlineLevel="0" collapsed="false">
      <c r="B110" s="10" t="s">
        <v>377</v>
      </c>
      <c r="C110" s="190" t="s">
        <v>378</v>
      </c>
      <c r="D110" s="158" t="n">
        <v>0</v>
      </c>
      <c r="H110" s="178" t="n">
        <f aca="false">DATE(2027,4,1)</f>
        <v>46478</v>
      </c>
      <c r="I110" s="9" t="s">
        <v>379</v>
      </c>
    </row>
    <row r="111" customFormat="false" ht="28.35" hidden="false" customHeight="false" outlineLevel="0" collapsed="false">
      <c r="B111" s="10" t="s">
        <v>380</v>
      </c>
      <c r="C111" s="190" t="s">
        <v>381</v>
      </c>
      <c r="D111" s="158" t="n">
        <v>0</v>
      </c>
      <c r="H111" s="178" t="n">
        <f aca="false">DATE(2027,4,1)</f>
        <v>46478</v>
      </c>
      <c r="I111" s="9" t="s">
        <v>379</v>
      </c>
    </row>
    <row r="113" customFormat="false" ht="15" hidden="false" customHeight="false" outlineLevel="0" collapsed="false">
      <c r="B113" s="194" t="s">
        <v>382</v>
      </c>
    </row>
    <row r="114" customFormat="false" ht="15" hidden="false" customHeight="false" outlineLevel="0" collapsed="false">
      <c r="B114" s="10" t="s">
        <v>383</v>
      </c>
      <c r="K114" s="187" t="n">
        <f aca="false">SUMIFS($T114:$CA114,$T$5:$CA$5,2030)</f>
        <v>0</v>
      </c>
      <c r="L114" s="187" t="n">
        <f aca="false">SUMIFS($T114:$CA114,$T$5:$CA$5,2026)</f>
        <v>0</v>
      </c>
      <c r="M114" s="187" t="n">
        <f aca="false">SUMIFS($T114:$CA114,$T$5:$CA$5,2027)</f>
        <v>0</v>
      </c>
      <c r="N114" s="187" t="n">
        <f aca="false">SUMIFS($T114:$CA114,$T$5:$CA$5,2028)</f>
        <v>0</v>
      </c>
      <c r="O114" s="187" t="n">
        <f aca="false">SUMIFS($T114:$CA114,$T$5:$CA$5,2029)</f>
        <v>0</v>
      </c>
      <c r="P114" s="187" t="n">
        <f aca="false">SUMIFS($T114:$CA114,$T$5:$CA$5,2030)</f>
        <v>0</v>
      </c>
      <c r="T114" s="187" t="n">
        <f aca="false">$D$109/1000000/12*IF($I$109="Y",T$57,IF(T$6&gt;=EOMONTH($H$109,0),1,0))</f>
        <v>0</v>
      </c>
      <c r="U114" s="187" t="n">
        <f aca="false">$D$109/1000000/12*IF($I$109="Y",U$57,IF(U$6&gt;=EOMONTH($H$109,0),1,0))</f>
        <v>0</v>
      </c>
      <c r="V114" s="187" t="n">
        <f aca="false">$D$109/1000000/12*IF($I$109="Y",V$57,IF(V$6&gt;=EOMONTH($H$109,0),1,0))</f>
        <v>0</v>
      </c>
      <c r="W114" s="187" t="n">
        <f aca="false">$D$109/1000000/12*IF($I$109="Y",W$57,IF(W$6&gt;=EOMONTH($H$109,0),1,0))</f>
        <v>0</v>
      </c>
      <c r="X114" s="187" t="n">
        <f aca="false">$D$109/1000000/12*IF($I$109="Y",X$57,IF(X$6&gt;=EOMONTH($H$109,0),1,0))</f>
        <v>0</v>
      </c>
      <c r="Y114" s="187" t="n">
        <f aca="false">$D$109/1000000/12*IF($I$109="Y",Y$57,IF(Y$6&gt;=EOMONTH($H$109,0),1,0))</f>
        <v>0</v>
      </c>
      <c r="Z114" s="187" t="n">
        <f aca="false">$D$109/1000000/12*IF($I$109="Y",Z$57,IF(Z$6&gt;=EOMONTH($H$109,0),1,0))</f>
        <v>0</v>
      </c>
      <c r="AA114" s="187" t="n">
        <f aca="false">$D$109/1000000/12*IF($I$109="Y",AA$57,IF(AA$6&gt;=EOMONTH($H$109,0),1,0))</f>
        <v>0</v>
      </c>
      <c r="AB114" s="187" t="n">
        <f aca="false">$D$109/1000000/12*IF($I$109="Y",AB$57,IF(AB$6&gt;=EOMONTH($H$109,0),1,0))</f>
        <v>0</v>
      </c>
      <c r="AC114" s="187" t="n">
        <f aca="false">$D$109/1000000/12*IF($I$109="Y",AC$57,IF(AC$6&gt;=EOMONTH($H$109,0),1,0))</f>
        <v>0</v>
      </c>
      <c r="AD114" s="187" t="n">
        <f aca="false">$D$109/1000000/12*IF($I$109="Y",AD$57,IF(AD$6&gt;=EOMONTH($H$109,0),1,0))</f>
        <v>0</v>
      </c>
      <c r="AE114" s="187" t="n">
        <f aca="false">$D$109/1000000/12*IF($I$109="Y",AE$57,IF(AE$6&gt;=EOMONTH($H$109,0),1,0))</f>
        <v>0</v>
      </c>
      <c r="AF114" s="187" t="n">
        <f aca="false">$D$109/1000000/12*IF($I$109="Y",AF$57,IF(AF$6&gt;=EOMONTH($H$109,0),1,0))</f>
        <v>0</v>
      </c>
      <c r="AG114" s="187" t="n">
        <f aca="false">$D$109/1000000/12*IF($I$109="Y",AG$57,IF(AG$6&gt;=EOMONTH($H$109,0),1,0))</f>
        <v>0</v>
      </c>
      <c r="AH114" s="187" t="n">
        <f aca="false">$D$109/1000000/12*IF($I$109="Y",AH$57,IF(AH$6&gt;=EOMONTH($H$109,0),1,0))</f>
        <v>0</v>
      </c>
      <c r="AI114" s="187" t="n">
        <f aca="false">$D$109/1000000/12*IF($I$109="Y",AI$57,IF(AI$6&gt;=EOMONTH($H$109,0),1,0))</f>
        <v>0</v>
      </c>
      <c r="AJ114" s="187" t="n">
        <f aca="false">$D$109/1000000/12*IF($I$109="Y",AJ$57,IF(AJ$6&gt;=EOMONTH($H$109,0),1,0))</f>
        <v>0</v>
      </c>
      <c r="AK114" s="187" t="n">
        <f aca="false">$D$109/1000000/12*IF($I$109="Y",AK$57,IF(AK$6&gt;=EOMONTH($H$109,0),1,0))</f>
        <v>0</v>
      </c>
      <c r="AL114" s="187" t="n">
        <f aca="false">$D$109/1000000/12*IF($I$109="Y",AL$57,IF(AL$6&gt;=EOMONTH($H$109,0),1,0))</f>
        <v>0</v>
      </c>
      <c r="AM114" s="187" t="n">
        <f aca="false">$D$109/1000000/12*IF($I$109="Y",AM$57,IF(AM$6&gt;=EOMONTH($H$109,0),1,0))</f>
        <v>0</v>
      </c>
      <c r="AN114" s="187" t="n">
        <f aca="false">$D$109/1000000/12*IF($I$109="Y",AN$57,IF(AN$6&gt;=EOMONTH($H$109,0),1,0))</f>
        <v>0</v>
      </c>
      <c r="AO114" s="187" t="n">
        <f aca="false">$D$109/1000000/12*IF($I$109="Y",AO$57,IF(AO$6&gt;=EOMONTH($H$109,0),1,0))</f>
        <v>0</v>
      </c>
      <c r="AP114" s="187" t="n">
        <f aca="false">$D$109/1000000/12*IF($I$109="Y",AP$57,IF(AP$6&gt;=EOMONTH($H$109,0),1,0))</f>
        <v>0</v>
      </c>
      <c r="AQ114" s="187" t="n">
        <f aca="false">$D$109/1000000/12*IF($I$109="Y",AQ$57,IF(AQ$6&gt;=EOMONTH($H$109,0),1,0))</f>
        <v>0</v>
      </c>
      <c r="AR114" s="187" t="n">
        <f aca="false">$D$109/1000000/12*IF($I$109="Y",AR$57,IF(AR$6&gt;=EOMONTH($H$109,0),1,0))</f>
        <v>0</v>
      </c>
      <c r="AS114" s="187" t="n">
        <f aca="false">$D$109/1000000/12*IF($I$109="Y",AS$57,IF(AS$6&gt;=EOMONTH($H$109,0),1,0))</f>
        <v>0</v>
      </c>
      <c r="AT114" s="187" t="n">
        <f aca="false">$D$109/1000000/12*IF($I$109="Y",AT$57,IF(AT$6&gt;=EOMONTH($H$109,0),1,0))</f>
        <v>0</v>
      </c>
      <c r="AU114" s="187" t="n">
        <f aca="false">$D$109/1000000/12*IF($I$109="Y",AU$57,IF(AU$6&gt;=EOMONTH($H$109,0),1,0))</f>
        <v>0</v>
      </c>
      <c r="AV114" s="187" t="n">
        <f aca="false">$D$109/1000000/12*IF($I$109="Y",AV$57,IF(AV$6&gt;=EOMONTH($H$109,0),1,0))</f>
        <v>0</v>
      </c>
      <c r="AW114" s="187" t="n">
        <f aca="false">$D$109/1000000/12*IF($I$109="Y",AW$57,IF(AW$6&gt;=EOMONTH($H$109,0),1,0))</f>
        <v>0</v>
      </c>
      <c r="AX114" s="187" t="n">
        <f aca="false">$D$109/1000000/12*IF($I$109="Y",AX$57,IF(AX$6&gt;=EOMONTH($H$109,0),1,0))</f>
        <v>0</v>
      </c>
      <c r="AY114" s="187" t="n">
        <f aca="false">$D$109/1000000/12*IF($I$109="Y",AY$57,IF(AY$6&gt;=EOMONTH($H$109,0),1,0))</f>
        <v>0</v>
      </c>
      <c r="AZ114" s="187" t="n">
        <f aca="false">$D$109/1000000/12*IF($I$109="Y",AZ$57,IF(AZ$6&gt;=EOMONTH($H$109,0),1,0))</f>
        <v>0</v>
      </c>
      <c r="BA114" s="187" t="n">
        <f aca="false">$D$109/1000000/12*IF($I$109="Y",BA$57,IF(BA$6&gt;=EOMONTH($H$109,0),1,0))</f>
        <v>0</v>
      </c>
      <c r="BB114" s="187" t="n">
        <f aca="false">$D$109/1000000/12*IF($I$109="Y",BB$57,IF(BB$6&gt;=EOMONTH($H$109,0),1,0))</f>
        <v>0</v>
      </c>
      <c r="BC114" s="187" t="n">
        <f aca="false">$D$109/1000000/12*IF($I$109="Y",BC$57,IF(BC$6&gt;=EOMONTH($H$109,0),1,0))</f>
        <v>0</v>
      </c>
      <c r="BD114" s="187" t="n">
        <f aca="false">$D$109/1000000/12*IF($I$109="Y",BD$57,IF(BD$6&gt;=EOMONTH($H$109,0),1,0))</f>
        <v>0</v>
      </c>
      <c r="BE114" s="187" t="n">
        <f aca="false">$D$109/1000000/12*IF($I$109="Y",BE$57,IF(BE$6&gt;=EOMONTH($H$109,0),1,0))</f>
        <v>0</v>
      </c>
      <c r="BF114" s="187" t="n">
        <f aca="false">$D$109/1000000/12*IF($I$109="Y",BF$57,IF(BF$6&gt;=EOMONTH($H$109,0),1,0))</f>
        <v>0</v>
      </c>
      <c r="BG114" s="187" t="n">
        <f aca="false">$D$109/1000000/12*IF($I$109="Y",BG$57,IF(BG$6&gt;=EOMONTH($H$109,0),1,0))</f>
        <v>0</v>
      </c>
      <c r="BH114" s="187" t="n">
        <f aca="false">$D$109/1000000/12*IF($I$109="Y",BH$57,IF(BH$6&gt;=EOMONTH($H$109,0),1,0))</f>
        <v>0</v>
      </c>
      <c r="BI114" s="187" t="n">
        <f aca="false">$D$109/1000000/12*IF($I$109="Y",BI$57,IF(BI$6&gt;=EOMONTH($H$109,0),1,0))</f>
        <v>0</v>
      </c>
      <c r="BJ114" s="187" t="n">
        <f aca="false">$D$109/1000000/12*IF($I$109="Y",BJ$57,IF(BJ$6&gt;=EOMONTH($H$109,0),1,0))</f>
        <v>0</v>
      </c>
      <c r="BK114" s="187" t="n">
        <f aca="false">$D$109/1000000/12*IF($I$109="Y",BK$57,IF(BK$6&gt;=EOMONTH($H$109,0),1,0))</f>
        <v>0</v>
      </c>
      <c r="BL114" s="187" t="n">
        <f aca="false">$D$109/1000000/12*IF($I$109="Y",BL$57,IF(BL$6&gt;=EOMONTH($H$109,0),1,0))</f>
        <v>0</v>
      </c>
      <c r="BM114" s="187" t="n">
        <f aca="false">$D$109/1000000/12*IF($I$109="Y",BM$57,IF(BM$6&gt;=EOMONTH($H$109,0),1,0))</f>
        <v>0</v>
      </c>
      <c r="BN114" s="187" t="n">
        <f aca="false">$D$109/1000000/12*IF($I$109="Y",BN$57,IF(BN$6&gt;=EOMONTH($H$109,0),1,0))</f>
        <v>0</v>
      </c>
      <c r="BO114" s="187" t="n">
        <f aca="false">$D$109/1000000/12*IF($I$109="Y",BO$57,IF(BO$6&gt;=EOMONTH($H$109,0),1,0))</f>
        <v>0</v>
      </c>
      <c r="BP114" s="187" t="n">
        <f aca="false">$D$109/1000000/12*IF($I$109="Y",BP$57,IF(BP$6&gt;=EOMONTH($H$109,0),1,0))</f>
        <v>0</v>
      </c>
      <c r="BQ114" s="187" t="n">
        <f aca="false">$D$109/1000000/12*IF($I$109="Y",BQ$57,IF(BQ$6&gt;=EOMONTH($H$109,0),1,0))</f>
        <v>0</v>
      </c>
      <c r="BR114" s="187" t="n">
        <f aca="false">$D$109/1000000/12*IF($I$109="Y",BR$57,IF(BR$6&gt;=EOMONTH($H$109,0),1,0))</f>
        <v>0</v>
      </c>
      <c r="BS114" s="187" t="n">
        <f aca="false">$D$109/1000000/12*IF($I$109="Y",BS$57,IF(BS$6&gt;=EOMONTH($H$109,0),1,0))</f>
        <v>0</v>
      </c>
      <c r="BT114" s="187" t="n">
        <f aca="false">$D$109/1000000/12*IF($I$109="Y",BT$57,IF(BT$6&gt;=EOMONTH($H$109,0),1,0))</f>
        <v>0</v>
      </c>
      <c r="BU114" s="187" t="n">
        <f aca="false">$D$109/1000000/12*IF($I$109="Y",BU$57,IF(BU$6&gt;=EOMONTH($H$109,0),1,0))</f>
        <v>0</v>
      </c>
      <c r="BV114" s="187" t="n">
        <f aca="false">$D$109/1000000/12*IF($I$109="Y",BV$57,IF(BV$6&gt;=EOMONTH($H$109,0),1,0))</f>
        <v>0</v>
      </c>
      <c r="BW114" s="187" t="n">
        <f aca="false">$D$109/1000000/12*IF($I$109="Y",BW$57,IF(BW$6&gt;=EOMONTH($H$109,0),1,0))</f>
        <v>0</v>
      </c>
      <c r="BX114" s="187" t="n">
        <f aca="false">$D$109/1000000/12*IF($I$109="Y",BX$57,IF(BX$6&gt;=EOMONTH($H$109,0),1,0))</f>
        <v>0</v>
      </c>
      <c r="BY114" s="187" t="n">
        <f aca="false">$D$109/1000000/12*IF($I$109="Y",BY$57,IF(BY$6&gt;=EOMONTH($H$109,0),1,0))</f>
        <v>0</v>
      </c>
      <c r="BZ114" s="187" t="n">
        <f aca="false">$D$109/1000000/12*IF($I$109="Y",BZ$57,IF(BZ$6&gt;=EOMONTH($H$109,0),1,0))</f>
        <v>0</v>
      </c>
      <c r="CA114" s="187" t="n">
        <f aca="false">$D$109/1000000/12*IF($I$109="Y",CA$57,IF(CA$6&gt;=EOMONTH($H$109,0),1,0))</f>
        <v>0</v>
      </c>
    </row>
    <row r="115" customFormat="false" ht="15" hidden="false" customHeight="false" outlineLevel="0" collapsed="false">
      <c r="B115" s="10" t="s">
        <v>384</v>
      </c>
      <c r="K115" s="187" t="n">
        <f aca="false">SUMIFS($T115:$CA115,$T$5:$CA$5,2030)</f>
        <v>0</v>
      </c>
      <c r="L115" s="187" t="n">
        <f aca="false">SUMIFS($T115:$CA115,$T$5:$CA$5,2026)</f>
        <v>0</v>
      </c>
      <c r="M115" s="187" t="n">
        <f aca="false">SUMIFS($T115:$CA115,$T$5:$CA$5,2027)</f>
        <v>0</v>
      </c>
      <c r="N115" s="187" t="n">
        <f aca="false">SUMIFS($T115:$CA115,$T$5:$CA$5,2028)</f>
        <v>0</v>
      </c>
      <c r="O115" s="187" t="n">
        <f aca="false">SUMIFS($T115:$CA115,$T$5:$CA$5,2029)</f>
        <v>0</v>
      </c>
      <c r="P115" s="187" t="n">
        <f aca="false">SUMIFS($T115:$CA115,$T$5:$CA$5,2030)</f>
        <v>0</v>
      </c>
      <c r="T115" s="187" t="n">
        <f aca="false">$D$110/1000000/12*IF($I$110="Y",T$57,IF(T$6&gt;=EOMONTH($H$110,0),1,0))</f>
        <v>0</v>
      </c>
      <c r="U115" s="187" t="n">
        <f aca="false">$D$110/1000000/12*IF($I$110="Y",U$57,IF(U$6&gt;=EOMONTH($H$110,0),1,0))</f>
        <v>0</v>
      </c>
      <c r="V115" s="187" t="n">
        <f aca="false">$D$110/1000000/12*IF($I$110="Y",V$57,IF(V$6&gt;=EOMONTH($H$110,0),1,0))</f>
        <v>0</v>
      </c>
      <c r="W115" s="187" t="n">
        <f aca="false">$D$110/1000000/12*IF($I$110="Y",W$57,IF(W$6&gt;=EOMONTH($H$110,0),1,0))</f>
        <v>0</v>
      </c>
      <c r="X115" s="187" t="n">
        <f aca="false">$D$110/1000000/12*IF($I$110="Y",X$57,IF(X$6&gt;=EOMONTH($H$110,0),1,0))</f>
        <v>0</v>
      </c>
      <c r="Y115" s="187" t="n">
        <f aca="false">$D$110/1000000/12*IF($I$110="Y",Y$57,IF(Y$6&gt;=EOMONTH($H$110,0),1,0))</f>
        <v>0</v>
      </c>
      <c r="Z115" s="187" t="n">
        <f aca="false">$D$110/1000000/12*IF($I$110="Y",Z$57,IF(Z$6&gt;=EOMONTH($H$110,0),1,0))</f>
        <v>0</v>
      </c>
      <c r="AA115" s="187" t="n">
        <f aca="false">$D$110/1000000/12*IF($I$110="Y",AA$57,IF(AA$6&gt;=EOMONTH($H$110,0),1,0))</f>
        <v>0</v>
      </c>
      <c r="AB115" s="187" t="n">
        <f aca="false">$D$110/1000000/12*IF($I$110="Y",AB$57,IF(AB$6&gt;=EOMONTH($H$110,0),1,0))</f>
        <v>0</v>
      </c>
      <c r="AC115" s="187" t="n">
        <f aca="false">$D$110/1000000/12*IF($I$110="Y",AC$57,IF(AC$6&gt;=EOMONTH($H$110,0),1,0))</f>
        <v>0</v>
      </c>
      <c r="AD115" s="187" t="n">
        <f aca="false">$D$110/1000000/12*IF($I$110="Y",AD$57,IF(AD$6&gt;=EOMONTH($H$110,0),1,0))</f>
        <v>0</v>
      </c>
      <c r="AE115" s="187" t="n">
        <f aca="false">$D$110/1000000/12*IF($I$110="Y",AE$57,IF(AE$6&gt;=EOMONTH($H$110,0),1,0))</f>
        <v>0</v>
      </c>
      <c r="AF115" s="187" t="n">
        <f aca="false">$D$110/1000000/12*IF($I$110="Y",AF$57,IF(AF$6&gt;=EOMONTH($H$110,0),1,0))</f>
        <v>0</v>
      </c>
      <c r="AG115" s="187" t="n">
        <f aca="false">$D$110/1000000/12*IF($I$110="Y",AG$57,IF(AG$6&gt;=EOMONTH($H$110,0),1,0))</f>
        <v>0</v>
      </c>
      <c r="AH115" s="187" t="n">
        <f aca="false">$D$110/1000000/12*IF($I$110="Y",AH$57,IF(AH$6&gt;=EOMONTH($H$110,0),1,0))</f>
        <v>0</v>
      </c>
      <c r="AI115" s="187" t="n">
        <f aca="false">$D$110/1000000/12*IF($I$110="Y",AI$57,IF(AI$6&gt;=EOMONTH($H$110,0),1,0))</f>
        <v>0</v>
      </c>
      <c r="AJ115" s="187" t="n">
        <f aca="false">$D$110/1000000/12*IF($I$110="Y",AJ$57,IF(AJ$6&gt;=EOMONTH($H$110,0),1,0))</f>
        <v>0</v>
      </c>
      <c r="AK115" s="187" t="n">
        <f aca="false">$D$110/1000000/12*IF($I$110="Y",AK$57,IF(AK$6&gt;=EOMONTH($H$110,0),1,0))</f>
        <v>0</v>
      </c>
      <c r="AL115" s="187" t="n">
        <f aca="false">$D$110/1000000/12*IF($I$110="Y",AL$57,IF(AL$6&gt;=EOMONTH($H$110,0),1,0))</f>
        <v>0</v>
      </c>
      <c r="AM115" s="187" t="n">
        <f aca="false">$D$110/1000000/12*IF($I$110="Y",AM$57,IF(AM$6&gt;=EOMONTH($H$110,0),1,0))</f>
        <v>0</v>
      </c>
      <c r="AN115" s="187" t="n">
        <f aca="false">$D$110/1000000/12*IF($I$110="Y",AN$57,IF(AN$6&gt;=EOMONTH($H$110,0),1,0))</f>
        <v>0</v>
      </c>
      <c r="AO115" s="187" t="n">
        <f aca="false">$D$110/1000000/12*IF($I$110="Y",AO$57,IF(AO$6&gt;=EOMONTH($H$110,0),1,0))</f>
        <v>0</v>
      </c>
      <c r="AP115" s="187" t="n">
        <f aca="false">$D$110/1000000/12*IF($I$110="Y",AP$57,IF(AP$6&gt;=EOMONTH($H$110,0),1,0))</f>
        <v>0</v>
      </c>
      <c r="AQ115" s="187" t="n">
        <f aca="false">$D$110/1000000/12*IF($I$110="Y",AQ$57,IF(AQ$6&gt;=EOMONTH($H$110,0),1,0))</f>
        <v>0</v>
      </c>
      <c r="AR115" s="187" t="n">
        <f aca="false">$D$110/1000000/12*IF($I$110="Y",AR$57,IF(AR$6&gt;=EOMONTH($H$110,0),1,0))</f>
        <v>0</v>
      </c>
      <c r="AS115" s="187" t="n">
        <f aca="false">$D$110/1000000/12*IF($I$110="Y",AS$57,IF(AS$6&gt;=EOMONTH($H$110,0),1,0))</f>
        <v>0</v>
      </c>
      <c r="AT115" s="187" t="n">
        <f aca="false">$D$110/1000000/12*IF($I$110="Y",AT$57,IF(AT$6&gt;=EOMONTH($H$110,0),1,0))</f>
        <v>0</v>
      </c>
      <c r="AU115" s="187" t="n">
        <f aca="false">$D$110/1000000/12*IF($I$110="Y",AU$57,IF(AU$6&gt;=EOMONTH($H$110,0),1,0))</f>
        <v>0</v>
      </c>
      <c r="AV115" s="187" t="n">
        <f aca="false">$D$110/1000000/12*IF($I$110="Y",AV$57,IF(AV$6&gt;=EOMONTH($H$110,0),1,0))</f>
        <v>0</v>
      </c>
      <c r="AW115" s="187" t="n">
        <f aca="false">$D$110/1000000/12*IF($I$110="Y",AW$57,IF(AW$6&gt;=EOMONTH($H$110,0),1,0))</f>
        <v>0</v>
      </c>
      <c r="AX115" s="187" t="n">
        <f aca="false">$D$110/1000000/12*IF($I$110="Y",AX$57,IF(AX$6&gt;=EOMONTH($H$110,0),1,0))</f>
        <v>0</v>
      </c>
      <c r="AY115" s="187" t="n">
        <f aca="false">$D$110/1000000/12*IF($I$110="Y",AY$57,IF(AY$6&gt;=EOMONTH($H$110,0),1,0))</f>
        <v>0</v>
      </c>
      <c r="AZ115" s="187" t="n">
        <f aca="false">$D$110/1000000/12*IF($I$110="Y",AZ$57,IF(AZ$6&gt;=EOMONTH($H$110,0),1,0))</f>
        <v>0</v>
      </c>
      <c r="BA115" s="187" t="n">
        <f aca="false">$D$110/1000000/12*IF($I$110="Y",BA$57,IF(BA$6&gt;=EOMONTH($H$110,0),1,0))</f>
        <v>0</v>
      </c>
      <c r="BB115" s="187" t="n">
        <f aca="false">$D$110/1000000/12*IF($I$110="Y",BB$57,IF(BB$6&gt;=EOMONTH($H$110,0),1,0))</f>
        <v>0</v>
      </c>
      <c r="BC115" s="187" t="n">
        <f aca="false">$D$110/1000000/12*IF($I$110="Y",BC$57,IF(BC$6&gt;=EOMONTH($H$110,0),1,0))</f>
        <v>0</v>
      </c>
      <c r="BD115" s="187" t="n">
        <f aca="false">$D$110/1000000/12*IF($I$110="Y",BD$57,IF(BD$6&gt;=EOMONTH($H$110,0),1,0))</f>
        <v>0</v>
      </c>
      <c r="BE115" s="187" t="n">
        <f aca="false">$D$110/1000000/12*IF($I$110="Y",BE$57,IF(BE$6&gt;=EOMONTH($H$110,0),1,0))</f>
        <v>0</v>
      </c>
      <c r="BF115" s="187" t="n">
        <f aca="false">$D$110/1000000/12*IF($I$110="Y",BF$57,IF(BF$6&gt;=EOMONTH($H$110,0),1,0))</f>
        <v>0</v>
      </c>
      <c r="BG115" s="187" t="n">
        <f aca="false">$D$110/1000000/12*IF($I$110="Y",BG$57,IF(BG$6&gt;=EOMONTH($H$110,0),1,0))</f>
        <v>0</v>
      </c>
      <c r="BH115" s="187" t="n">
        <f aca="false">$D$110/1000000/12*IF($I$110="Y",BH$57,IF(BH$6&gt;=EOMONTH($H$110,0),1,0))</f>
        <v>0</v>
      </c>
      <c r="BI115" s="187" t="n">
        <f aca="false">$D$110/1000000/12*IF($I$110="Y",BI$57,IF(BI$6&gt;=EOMONTH($H$110,0),1,0))</f>
        <v>0</v>
      </c>
      <c r="BJ115" s="187" t="n">
        <f aca="false">$D$110/1000000/12*IF($I$110="Y",BJ$57,IF(BJ$6&gt;=EOMONTH($H$110,0),1,0))</f>
        <v>0</v>
      </c>
      <c r="BK115" s="187" t="n">
        <f aca="false">$D$110/1000000/12*IF($I$110="Y",BK$57,IF(BK$6&gt;=EOMONTH($H$110,0),1,0))</f>
        <v>0</v>
      </c>
      <c r="BL115" s="187" t="n">
        <f aca="false">$D$110/1000000/12*IF($I$110="Y",BL$57,IF(BL$6&gt;=EOMONTH($H$110,0),1,0))</f>
        <v>0</v>
      </c>
      <c r="BM115" s="187" t="n">
        <f aca="false">$D$110/1000000/12*IF($I$110="Y",BM$57,IF(BM$6&gt;=EOMONTH($H$110,0),1,0))</f>
        <v>0</v>
      </c>
      <c r="BN115" s="187" t="n">
        <f aca="false">$D$110/1000000/12*IF($I$110="Y",BN$57,IF(BN$6&gt;=EOMONTH($H$110,0),1,0))</f>
        <v>0</v>
      </c>
      <c r="BO115" s="187" t="n">
        <f aca="false">$D$110/1000000/12*IF($I$110="Y",BO$57,IF(BO$6&gt;=EOMONTH($H$110,0),1,0))</f>
        <v>0</v>
      </c>
      <c r="BP115" s="187" t="n">
        <f aca="false">$D$110/1000000/12*IF($I$110="Y",BP$57,IF(BP$6&gt;=EOMONTH($H$110,0),1,0))</f>
        <v>0</v>
      </c>
      <c r="BQ115" s="187" t="n">
        <f aca="false">$D$110/1000000/12*IF($I$110="Y",BQ$57,IF(BQ$6&gt;=EOMONTH($H$110,0),1,0))</f>
        <v>0</v>
      </c>
      <c r="BR115" s="187" t="n">
        <f aca="false">$D$110/1000000/12*IF($I$110="Y",BR$57,IF(BR$6&gt;=EOMONTH($H$110,0),1,0))</f>
        <v>0</v>
      </c>
      <c r="BS115" s="187" t="n">
        <f aca="false">$D$110/1000000/12*IF($I$110="Y",BS$57,IF(BS$6&gt;=EOMONTH($H$110,0),1,0))</f>
        <v>0</v>
      </c>
      <c r="BT115" s="187" t="n">
        <f aca="false">$D$110/1000000/12*IF($I$110="Y",BT$57,IF(BT$6&gt;=EOMONTH($H$110,0),1,0))</f>
        <v>0</v>
      </c>
      <c r="BU115" s="187" t="n">
        <f aca="false">$D$110/1000000/12*IF($I$110="Y",BU$57,IF(BU$6&gt;=EOMONTH($H$110,0),1,0))</f>
        <v>0</v>
      </c>
      <c r="BV115" s="187" t="n">
        <f aca="false">$D$110/1000000/12*IF($I$110="Y",BV$57,IF(BV$6&gt;=EOMONTH($H$110,0),1,0))</f>
        <v>0</v>
      </c>
      <c r="BW115" s="187" t="n">
        <f aca="false">$D$110/1000000/12*IF($I$110="Y",BW$57,IF(BW$6&gt;=EOMONTH($H$110,0),1,0))</f>
        <v>0</v>
      </c>
      <c r="BX115" s="187" t="n">
        <f aca="false">$D$110/1000000/12*IF($I$110="Y",BX$57,IF(BX$6&gt;=EOMONTH($H$110,0),1,0))</f>
        <v>0</v>
      </c>
      <c r="BY115" s="187" t="n">
        <f aca="false">$D$110/1000000/12*IF($I$110="Y",BY$57,IF(BY$6&gt;=EOMONTH($H$110,0),1,0))</f>
        <v>0</v>
      </c>
      <c r="BZ115" s="187" t="n">
        <f aca="false">$D$110/1000000/12*IF($I$110="Y",BZ$57,IF(BZ$6&gt;=EOMONTH($H$110,0),1,0))</f>
        <v>0</v>
      </c>
      <c r="CA115" s="187" t="n">
        <f aca="false">$D$110/1000000/12*IF($I$110="Y",CA$57,IF(CA$6&gt;=EOMONTH($H$110,0),1,0))</f>
        <v>0</v>
      </c>
    </row>
    <row r="116" customFormat="false" ht="15" hidden="false" customHeight="false" outlineLevel="0" collapsed="false">
      <c r="B116" s="10" t="s">
        <v>385</v>
      </c>
      <c r="K116" s="187" t="n">
        <f aca="false">SUMIFS($T116:$CA116,$T$5:$CA$5,2030)</f>
        <v>0</v>
      </c>
      <c r="L116" s="187" t="n">
        <f aca="false">SUMIFS($T116:$CA116,$T$5:$CA$5,2026)</f>
        <v>0</v>
      </c>
      <c r="M116" s="187" t="n">
        <f aca="false">SUMIFS($T116:$CA116,$T$5:$CA$5,2027)</f>
        <v>0</v>
      </c>
      <c r="N116" s="187" t="n">
        <f aca="false">SUMIFS($T116:$CA116,$T$5:$CA$5,2028)</f>
        <v>0</v>
      </c>
      <c r="O116" s="187" t="n">
        <f aca="false">SUMIFS($T116:$CA116,$T$5:$CA$5,2029)</f>
        <v>0</v>
      </c>
      <c r="P116" s="187" t="n">
        <f aca="false">SUMIFS($T116:$CA116,$T$5:$CA$5,2030)</f>
        <v>0</v>
      </c>
      <c r="T116" s="187" t="n">
        <f aca="false">$D$111/1000000/12*IF($I$111="Y",T$57,IF(T$6&gt;=EOMONTH($H$111,0),1,0))</f>
        <v>0</v>
      </c>
      <c r="U116" s="187" t="n">
        <f aca="false">$D$111/1000000/12*IF($I$111="Y",U$57,IF(U$6&gt;=EOMONTH($H$111,0),1,0))</f>
        <v>0</v>
      </c>
      <c r="V116" s="187" t="n">
        <f aca="false">$D$111/1000000/12*IF($I$111="Y",V$57,IF(V$6&gt;=EOMONTH($H$111,0),1,0))</f>
        <v>0</v>
      </c>
      <c r="W116" s="187" t="n">
        <f aca="false">$D$111/1000000/12*IF($I$111="Y",W$57,IF(W$6&gt;=EOMONTH($H$111,0),1,0))</f>
        <v>0</v>
      </c>
      <c r="X116" s="187" t="n">
        <f aca="false">$D$111/1000000/12*IF($I$111="Y",X$57,IF(X$6&gt;=EOMONTH($H$111,0),1,0))</f>
        <v>0</v>
      </c>
      <c r="Y116" s="187" t="n">
        <f aca="false">$D$111/1000000/12*IF($I$111="Y",Y$57,IF(Y$6&gt;=EOMONTH($H$111,0),1,0))</f>
        <v>0</v>
      </c>
      <c r="Z116" s="187" t="n">
        <f aca="false">$D$111/1000000/12*IF($I$111="Y",Z$57,IF(Z$6&gt;=EOMONTH($H$111,0),1,0))</f>
        <v>0</v>
      </c>
      <c r="AA116" s="187" t="n">
        <f aca="false">$D$111/1000000/12*IF($I$111="Y",AA$57,IF(AA$6&gt;=EOMONTH($H$111,0),1,0))</f>
        <v>0</v>
      </c>
      <c r="AB116" s="187" t="n">
        <f aca="false">$D$111/1000000/12*IF($I$111="Y",AB$57,IF(AB$6&gt;=EOMONTH($H$111,0),1,0))</f>
        <v>0</v>
      </c>
      <c r="AC116" s="187" t="n">
        <f aca="false">$D$111/1000000/12*IF($I$111="Y",AC$57,IF(AC$6&gt;=EOMONTH($H$111,0),1,0))</f>
        <v>0</v>
      </c>
      <c r="AD116" s="187" t="n">
        <f aca="false">$D$111/1000000/12*IF($I$111="Y",AD$57,IF(AD$6&gt;=EOMONTH($H$111,0),1,0))</f>
        <v>0</v>
      </c>
      <c r="AE116" s="187" t="n">
        <f aca="false">$D$111/1000000/12*IF($I$111="Y",AE$57,IF(AE$6&gt;=EOMONTH($H$111,0),1,0))</f>
        <v>0</v>
      </c>
      <c r="AF116" s="187" t="n">
        <f aca="false">$D$111/1000000/12*IF($I$111="Y",AF$57,IF(AF$6&gt;=EOMONTH($H$111,0),1,0))</f>
        <v>0</v>
      </c>
      <c r="AG116" s="187" t="n">
        <f aca="false">$D$111/1000000/12*IF($I$111="Y",AG$57,IF(AG$6&gt;=EOMONTH($H$111,0),1,0))</f>
        <v>0</v>
      </c>
      <c r="AH116" s="187" t="n">
        <f aca="false">$D$111/1000000/12*IF($I$111="Y",AH$57,IF(AH$6&gt;=EOMONTH($H$111,0),1,0))</f>
        <v>0</v>
      </c>
      <c r="AI116" s="187" t="n">
        <f aca="false">$D$111/1000000/12*IF($I$111="Y",AI$57,IF(AI$6&gt;=EOMONTH($H$111,0),1,0))</f>
        <v>0</v>
      </c>
      <c r="AJ116" s="187" t="n">
        <f aca="false">$D$111/1000000/12*IF($I$111="Y",AJ$57,IF(AJ$6&gt;=EOMONTH($H$111,0),1,0))</f>
        <v>0</v>
      </c>
      <c r="AK116" s="187" t="n">
        <f aca="false">$D$111/1000000/12*IF($I$111="Y",AK$57,IF(AK$6&gt;=EOMONTH($H$111,0),1,0))</f>
        <v>0</v>
      </c>
      <c r="AL116" s="187" t="n">
        <f aca="false">$D$111/1000000/12*IF($I$111="Y",AL$57,IF(AL$6&gt;=EOMONTH($H$111,0),1,0))</f>
        <v>0</v>
      </c>
      <c r="AM116" s="187" t="n">
        <f aca="false">$D$111/1000000/12*IF($I$111="Y",AM$57,IF(AM$6&gt;=EOMONTH($H$111,0),1,0))</f>
        <v>0</v>
      </c>
      <c r="AN116" s="187" t="n">
        <f aca="false">$D$111/1000000/12*IF($I$111="Y",AN$57,IF(AN$6&gt;=EOMONTH($H$111,0),1,0))</f>
        <v>0</v>
      </c>
      <c r="AO116" s="187" t="n">
        <f aca="false">$D$111/1000000/12*IF($I$111="Y",AO$57,IF(AO$6&gt;=EOMONTH($H$111,0),1,0))</f>
        <v>0</v>
      </c>
      <c r="AP116" s="187" t="n">
        <f aca="false">$D$111/1000000/12*IF($I$111="Y",AP$57,IF(AP$6&gt;=EOMONTH($H$111,0),1,0))</f>
        <v>0</v>
      </c>
      <c r="AQ116" s="187" t="n">
        <f aca="false">$D$111/1000000/12*IF($I$111="Y",AQ$57,IF(AQ$6&gt;=EOMONTH($H$111,0),1,0))</f>
        <v>0</v>
      </c>
      <c r="AR116" s="187" t="n">
        <f aca="false">$D$111/1000000/12*IF($I$111="Y",AR$57,IF(AR$6&gt;=EOMONTH($H$111,0),1,0))</f>
        <v>0</v>
      </c>
      <c r="AS116" s="187" t="n">
        <f aca="false">$D$111/1000000/12*IF($I$111="Y",AS$57,IF(AS$6&gt;=EOMONTH($H$111,0),1,0))</f>
        <v>0</v>
      </c>
      <c r="AT116" s="187" t="n">
        <f aca="false">$D$111/1000000/12*IF($I$111="Y",AT$57,IF(AT$6&gt;=EOMONTH($H$111,0),1,0))</f>
        <v>0</v>
      </c>
      <c r="AU116" s="187" t="n">
        <f aca="false">$D$111/1000000/12*IF($I$111="Y",AU$57,IF(AU$6&gt;=EOMONTH($H$111,0),1,0))</f>
        <v>0</v>
      </c>
      <c r="AV116" s="187" t="n">
        <f aca="false">$D$111/1000000/12*IF($I$111="Y",AV$57,IF(AV$6&gt;=EOMONTH($H$111,0),1,0))</f>
        <v>0</v>
      </c>
      <c r="AW116" s="187" t="n">
        <f aca="false">$D$111/1000000/12*IF($I$111="Y",AW$57,IF(AW$6&gt;=EOMONTH($H$111,0),1,0))</f>
        <v>0</v>
      </c>
      <c r="AX116" s="187" t="n">
        <f aca="false">$D$111/1000000/12*IF($I$111="Y",AX$57,IF(AX$6&gt;=EOMONTH($H$111,0),1,0))</f>
        <v>0</v>
      </c>
      <c r="AY116" s="187" t="n">
        <f aca="false">$D$111/1000000/12*IF($I$111="Y",AY$57,IF(AY$6&gt;=EOMONTH($H$111,0),1,0))</f>
        <v>0</v>
      </c>
      <c r="AZ116" s="187" t="n">
        <f aca="false">$D$111/1000000/12*IF($I$111="Y",AZ$57,IF(AZ$6&gt;=EOMONTH($H$111,0),1,0))</f>
        <v>0</v>
      </c>
      <c r="BA116" s="187" t="n">
        <f aca="false">$D$111/1000000/12*IF($I$111="Y",BA$57,IF(BA$6&gt;=EOMONTH($H$111,0),1,0))</f>
        <v>0</v>
      </c>
      <c r="BB116" s="187" t="n">
        <f aca="false">$D$111/1000000/12*IF($I$111="Y",BB$57,IF(BB$6&gt;=EOMONTH($H$111,0),1,0))</f>
        <v>0</v>
      </c>
      <c r="BC116" s="187" t="n">
        <f aca="false">$D$111/1000000/12*IF($I$111="Y",BC$57,IF(BC$6&gt;=EOMONTH($H$111,0),1,0))</f>
        <v>0</v>
      </c>
      <c r="BD116" s="187" t="n">
        <f aca="false">$D$111/1000000/12*IF($I$111="Y",BD$57,IF(BD$6&gt;=EOMONTH($H$111,0),1,0))</f>
        <v>0</v>
      </c>
      <c r="BE116" s="187" t="n">
        <f aca="false">$D$111/1000000/12*IF($I$111="Y",BE$57,IF(BE$6&gt;=EOMONTH($H$111,0),1,0))</f>
        <v>0</v>
      </c>
      <c r="BF116" s="187" t="n">
        <f aca="false">$D$111/1000000/12*IF($I$111="Y",BF$57,IF(BF$6&gt;=EOMONTH($H$111,0),1,0))</f>
        <v>0</v>
      </c>
      <c r="BG116" s="187" t="n">
        <f aca="false">$D$111/1000000/12*IF($I$111="Y",BG$57,IF(BG$6&gt;=EOMONTH($H$111,0),1,0))</f>
        <v>0</v>
      </c>
      <c r="BH116" s="187" t="n">
        <f aca="false">$D$111/1000000/12*IF($I$111="Y",BH$57,IF(BH$6&gt;=EOMONTH($H$111,0),1,0))</f>
        <v>0</v>
      </c>
      <c r="BI116" s="187" t="n">
        <f aca="false">$D$111/1000000/12*IF($I$111="Y",BI$57,IF(BI$6&gt;=EOMONTH($H$111,0),1,0))</f>
        <v>0</v>
      </c>
      <c r="BJ116" s="187" t="n">
        <f aca="false">$D$111/1000000/12*IF($I$111="Y",BJ$57,IF(BJ$6&gt;=EOMONTH($H$111,0),1,0))</f>
        <v>0</v>
      </c>
      <c r="BK116" s="187" t="n">
        <f aca="false">$D$111/1000000/12*IF($I$111="Y",BK$57,IF(BK$6&gt;=EOMONTH($H$111,0),1,0))</f>
        <v>0</v>
      </c>
      <c r="BL116" s="187" t="n">
        <f aca="false">$D$111/1000000/12*IF($I$111="Y",BL$57,IF(BL$6&gt;=EOMONTH($H$111,0),1,0))</f>
        <v>0</v>
      </c>
      <c r="BM116" s="187" t="n">
        <f aca="false">$D$111/1000000/12*IF($I$111="Y",BM$57,IF(BM$6&gt;=EOMONTH($H$111,0),1,0))</f>
        <v>0</v>
      </c>
      <c r="BN116" s="187" t="n">
        <f aca="false">$D$111/1000000/12*IF($I$111="Y",BN$57,IF(BN$6&gt;=EOMONTH($H$111,0),1,0))</f>
        <v>0</v>
      </c>
      <c r="BO116" s="187" t="n">
        <f aca="false">$D$111/1000000/12*IF($I$111="Y",BO$57,IF(BO$6&gt;=EOMONTH($H$111,0),1,0))</f>
        <v>0</v>
      </c>
      <c r="BP116" s="187" t="n">
        <f aca="false">$D$111/1000000/12*IF($I$111="Y",BP$57,IF(BP$6&gt;=EOMONTH($H$111,0),1,0))</f>
        <v>0</v>
      </c>
      <c r="BQ116" s="187" t="n">
        <f aca="false">$D$111/1000000/12*IF($I$111="Y",BQ$57,IF(BQ$6&gt;=EOMONTH($H$111,0),1,0))</f>
        <v>0</v>
      </c>
      <c r="BR116" s="187" t="n">
        <f aca="false">$D$111/1000000/12*IF($I$111="Y",BR$57,IF(BR$6&gt;=EOMONTH($H$111,0),1,0))</f>
        <v>0</v>
      </c>
      <c r="BS116" s="187" t="n">
        <f aca="false">$D$111/1000000/12*IF($I$111="Y",BS$57,IF(BS$6&gt;=EOMONTH($H$111,0),1,0))</f>
        <v>0</v>
      </c>
      <c r="BT116" s="187" t="n">
        <f aca="false">$D$111/1000000/12*IF($I$111="Y",BT$57,IF(BT$6&gt;=EOMONTH($H$111,0),1,0))</f>
        <v>0</v>
      </c>
      <c r="BU116" s="187" t="n">
        <f aca="false">$D$111/1000000/12*IF($I$111="Y",BU$57,IF(BU$6&gt;=EOMONTH($H$111,0),1,0))</f>
        <v>0</v>
      </c>
      <c r="BV116" s="187" t="n">
        <f aca="false">$D$111/1000000/12*IF($I$111="Y",BV$57,IF(BV$6&gt;=EOMONTH($H$111,0),1,0))</f>
        <v>0</v>
      </c>
      <c r="BW116" s="187" t="n">
        <f aca="false">$D$111/1000000/12*IF($I$111="Y",BW$57,IF(BW$6&gt;=EOMONTH($H$111,0),1,0))</f>
        <v>0</v>
      </c>
      <c r="BX116" s="187" t="n">
        <f aca="false">$D$111/1000000/12*IF($I$111="Y",BX$57,IF(BX$6&gt;=EOMONTH($H$111,0),1,0))</f>
        <v>0</v>
      </c>
      <c r="BY116" s="187" t="n">
        <f aca="false">$D$111/1000000/12*IF($I$111="Y",BY$57,IF(BY$6&gt;=EOMONTH($H$111,0),1,0))</f>
        <v>0</v>
      </c>
      <c r="BZ116" s="187" t="n">
        <f aca="false">$D$111/1000000/12*IF($I$111="Y",BZ$57,IF(BZ$6&gt;=EOMONTH($H$111,0),1,0))</f>
        <v>0</v>
      </c>
      <c r="CA116" s="187" t="n">
        <f aca="false">$D$111/1000000/12*IF($I$111="Y",CA$57,IF(CA$6&gt;=EOMONTH($H$111,0),1,0))</f>
        <v>0</v>
      </c>
    </row>
    <row r="117" customFormat="false" ht="15" hidden="false" customHeight="false" outlineLevel="0" collapsed="false">
      <c r="B117" s="3" t="s">
        <v>386</v>
      </c>
      <c r="K117" s="187" t="n">
        <f aca="false">SUM(K114:K116)</f>
        <v>0</v>
      </c>
      <c r="L117" s="187" t="n">
        <f aca="false">SUM(L114:L116)</f>
        <v>0</v>
      </c>
      <c r="M117" s="187" t="n">
        <f aca="false">SUM(M114:M116)</f>
        <v>0</v>
      </c>
      <c r="N117" s="187" t="n">
        <f aca="false">SUM(N114:N116)</f>
        <v>0</v>
      </c>
      <c r="O117" s="187" t="n">
        <f aca="false">SUM(O114:O116)</f>
        <v>0</v>
      </c>
      <c r="P117" s="187" t="n">
        <f aca="false">SUM(P114:P116)</f>
        <v>0</v>
      </c>
    </row>
    <row r="119" customFormat="false" ht="18" hidden="false" customHeight="true" outlineLevel="0" collapsed="false">
      <c r="B119" s="5" t="s">
        <v>387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1" customFormat="false" ht="15" hidden="false" customHeight="false" outlineLevel="0" collapsed="false">
      <c r="B121" s="193" t="s">
        <v>388</v>
      </c>
      <c r="F121" s="195" t="s">
        <v>389</v>
      </c>
    </row>
    <row r="122" customFormat="false" ht="15" hidden="false" customHeight="false" outlineLevel="0" collapsed="false">
      <c r="B122" s="193" t="s">
        <v>390</v>
      </c>
      <c r="F122" s="195" t="s">
        <v>391</v>
      </c>
    </row>
    <row r="123" customFormat="false" ht="15" hidden="false" customHeight="false" outlineLevel="0" collapsed="false">
      <c r="B123" s="193" t="s">
        <v>392</v>
      </c>
      <c r="F123" s="195" t="s">
        <v>393</v>
      </c>
    </row>
    <row r="124" customFormat="false" ht="15" hidden="false" customHeight="false" outlineLevel="0" collapsed="false">
      <c r="B124" s="193" t="s">
        <v>394</v>
      </c>
      <c r="F124" s="195" t="s">
        <v>395</v>
      </c>
    </row>
    <row r="125" customFormat="false" ht="15" hidden="false" customHeight="false" outlineLevel="0" collapsed="false">
      <c r="B125" s="193" t="s">
        <v>396</v>
      </c>
      <c r="F125" s="195" t="s">
        <v>397</v>
      </c>
    </row>
    <row r="126" customFormat="false" ht="15" hidden="false" customHeight="false" outlineLevel="0" collapsed="false">
      <c r="B126" s="193" t="s">
        <v>398</v>
      </c>
      <c r="F126" s="195" t="s">
        <v>399</v>
      </c>
    </row>
    <row r="127" customFormat="false" ht="15" hidden="false" customHeight="false" outlineLevel="0" collapsed="false">
      <c r="B127" s="193" t="s">
        <v>400</v>
      </c>
      <c r="F127" s="195" t="s">
        <v>401</v>
      </c>
    </row>
    <row r="128" customFormat="false" ht="15" hidden="false" customHeight="false" outlineLevel="0" collapsed="false">
      <c r="B128" s="193" t="s">
        <v>402</v>
      </c>
      <c r="F128" s="195" t="s">
        <v>403</v>
      </c>
    </row>
    <row r="129" customFormat="false" ht="15" hidden="false" customHeight="false" outlineLevel="0" collapsed="false">
      <c r="B129" s="193" t="s">
        <v>404</v>
      </c>
      <c r="F129" s="195" t="s">
        <v>405</v>
      </c>
    </row>
    <row r="130" customFormat="false" ht="15" hidden="false" customHeight="false" outlineLevel="0" collapsed="false">
      <c r="B130" s="193" t="s">
        <v>406</v>
      </c>
      <c r="F130" s="195" t="s">
        <v>407</v>
      </c>
    </row>
    <row r="132" customFormat="false" ht="18" hidden="false" customHeight="true" outlineLevel="0" collapsed="false">
      <c r="B132" s="5" t="s">
        <v>408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09:I11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53</v>
      </c>
      <c r="F6" s="22" t="s">
        <v>409</v>
      </c>
      <c r="G6" s="23"/>
      <c r="Q6" s="16"/>
      <c r="R6" s="16"/>
    </row>
    <row r="7" customFormat="false" ht="16.5" hidden="false" customHeight="true" outlineLevel="0" collapsed="false">
      <c r="D7" s="21" t="s">
        <v>54</v>
      </c>
      <c r="F7" s="196" t="s">
        <v>250</v>
      </c>
      <c r="G7" s="197"/>
      <c r="I7" s="14"/>
      <c r="J7" s="14"/>
      <c r="K7" s="14"/>
    </row>
    <row r="8" s="14" customFormat="true" ht="16.5" hidden="false" customHeight="true" outlineLevel="0" collapsed="false">
      <c r="D8" s="21" t="s">
        <v>56</v>
      </c>
      <c r="F8" s="26" t="s">
        <v>248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60</v>
      </c>
      <c r="F11" s="198" t="n">
        <f aca="false">'SALES-1 Model'!$D$13</f>
        <v>46478</v>
      </c>
      <c r="M11" s="21"/>
      <c r="Q11" s="16"/>
      <c r="R11" s="16"/>
    </row>
    <row r="12" s="14" customFormat="true" ht="16.5" hidden="false" customHeight="true" outlineLevel="0" collapsed="false">
      <c r="D12" s="21" t="s">
        <v>61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62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410</v>
      </c>
    </row>
    <row r="17" s="14" customFormat="true" ht="17.25" hidden="false" customHeight="true" outlineLevel="0" collapsed="false">
      <c r="D17" s="32" t="s">
        <v>68</v>
      </c>
      <c r="E17" s="33"/>
      <c r="F17" s="33"/>
      <c r="G17" s="33"/>
      <c r="H17" s="32" t="s">
        <v>69</v>
      </c>
      <c r="I17" s="32" t="s">
        <v>70</v>
      </c>
      <c r="J17" s="34" t="s">
        <v>71</v>
      </c>
    </row>
    <row r="18" s="14" customFormat="true" ht="17.25" hidden="false" customHeight="true" outlineLevel="0" collapsed="false">
      <c r="D18" s="33"/>
      <c r="E18" s="33" t="s">
        <v>411</v>
      </c>
      <c r="F18" s="33"/>
      <c r="G18" s="36"/>
      <c r="H18" s="199" t="s">
        <v>412</v>
      </c>
      <c r="I18" s="37" t="s">
        <v>93</v>
      </c>
      <c r="J18" s="200" t="n">
        <f aca="false">'SALES-1 Model'!$D$26/1000000</f>
        <v>0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413</v>
      </c>
      <c r="F19" s="33"/>
      <c r="G19" s="36"/>
      <c r="H19" s="199" t="s">
        <v>412</v>
      </c>
      <c r="I19" s="37" t="s">
        <v>268</v>
      </c>
      <c r="J19" s="201" t="n">
        <f aca="false">'SALES-1 Model'!$D$27</f>
        <v>0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414</v>
      </c>
      <c r="F20" s="33"/>
      <c r="G20" s="36"/>
      <c r="H20" s="199" t="s">
        <v>412</v>
      </c>
      <c r="I20" s="37" t="s">
        <v>93</v>
      </c>
      <c r="J20" s="202" t="n">
        <f aca="false">'SALES-1 Model'!$D$49/1000000</f>
        <v>0</v>
      </c>
      <c r="L20" s="203"/>
      <c r="P20" s="16"/>
      <c r="Q20" s="35"/>
      <c r="R20" s="16"/>
    </row>
    <row r="21" s="14" customFormat="true" ht="17.25" hidden="false" customHeight="true" outlineLevel="0" collapsed="false">
      <c r="D21" s="33"/>
      <c r="E21" s="40" t="s">
        <v>415</v>
      </c>
      <c r="F21" s="40"/>
      <c r="G21" s="41"/>
      <c r="H21" s="204" t="s">
        <v>412</v>
      </c>
      <c r="I21" s="42" t="s">
        <v>93</v>
      </c>
      <c r="J21" s="205" t="n">
        <f aca="false">'SALES-1 Model'!$D$28*'SALES-1 Model'!$D$29/1000000</f>
        <v>0</v>
      </c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95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416</v>
      </c>
      <c r="F24" s="33"/>
      <c r="G24" s="36"/>
      <c r="H24" s="33" t="s">
        <v>417</v>
      </c>
      <c r="I24" s="37" t="s">
        <v>418</v>
      </c>
      <c r="J24" s="206" t="n">
        <f aca="false">'SALES-1 Model'!$D$32</f>
        <v>0.7</v>
      </c>
      <c r="Q24" s="16"/>
      <c r="R24" s="16"/>
    </row>
    <row r="25" s="14" customFormat="true" ht="17.25" hidden="false" customHeight="true" outlineLevel="0" collapsed="false">
      <c r="D25" s="33"/>
      <c r="E25" s="33" t="s">
        <v>419</v>
      </c>
      <c r="F25" s="33"/>
      <c r="G25" s="36"/>
      <c r="H25" s="33" t="s">
        <v>417</v>
      </c>
      <c r="I25" s="37" t="s">
        <v>268</v>
      </c>
      <c r="J25" s="206" t="n">
        <f aca="false">(('SALES-1 Model'!$D$38+'SALES-1 Model'!$D$39)/2)*'SALES-1 Model'!$D$40</f>
        <v>0.21125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102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7" t="s">
        <v>420</v>
      </c>
      <c r="F29" s="40"/>
      <c r="G29" s="41"/>
      <c r="H29" s="40"/>
      <c r="I29" s="42" t="s">
        <v>93</v>
      </c>
      <c r="J29" s="208" t="n">
        <f aca="false">('SALES-1 Model'!$D$50+'SALES-1 Model'!$D$51+'SALES-1 Model'!$D$52)/1000000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199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118</v>
      </c>
      <c r="CD60" s="19"/>
      <c r="CE60" s="19"/>
      <c r="CF60" s="19"/>
      <c r="CG60" s="19"/>
      <c r="CI60" s="19" t="s">
        <v>119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9"/>
      <c r="CD62" s="130"/>
      <c r="CE62" s="130"/>
      <c r="CF62" s="130"/>
      <c r="CG62" s="130"/>
      <c r="CI62" s="209" t="s">
        <v>421</v>
      </c>
      <c r="CJ62" s="209"/>
      <c r="CK62" s="209"/>
      <c r="CL62" s="209"/>
      <c r="CM62" s="209"/>
    </row>
    <row r="63" s="14" customFormat="true" ht="16.5" hidden="false" customHeight="true" outlineLevel="0" collapsed="false">
      <c r="D63" s="30" t="s">
        <v>120</v>
      </c>
      <c r="E63" s="31"/>
      <c r="F63" s="31"/>
      <c r="G63" s="31"/>
      <c r="H63" s="30" t="s">
        <v>121</v>
      </c>
      <c r="I63" s="31" t="s">
        <v>68</v>
      </c>
      <c r="J63" s="31" t="s">
        <v>95</v>
      </c>
      <c r="K63" s="31" t="s">
        <v>122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123</v>
      </c>
      <c r="R63" s="31" t="s">
        <v>66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93</v>
      </c>
      <c r="H64" s="16"/>
      <c r="I64" s="65" t="str">
        <f aca="false">$H$18</f>
        <v>TTM 6/1/26</v>
      </c>
      <c r="J64" s="65" t="s">
        <v>125</v>
      </c>
      <c r="K64" s="65" t="s">
        <v>126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127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 t="s">
        <v>422</v>
      </c>
      <c r="H66" s="71" t="s">
        <v>423</v>
      </c>
      <c r="I66" s="210" t="n">
        <f aca="false">'SALES-1 Model'!$D$63</f>
        <v>0</v>
      </c>
      <c r="J66" s="210" t="n">
        <f aca="false">I66+'SALES-1 Model'!$K$63</f>
        <v>0</v>
      </c>
      <c r="K66" s="211" t="n">
        <f aca="false">'SALES-1 Model'!$K$63</f>
        <v>0</v>
      </c>
      <c r="L66" s="210" t="n">
        <f aca="false">'SALES-1 Model'!L63</f>
        <v>0</v>
      </c>
      <c r="M66" s="210" t="n">
        <f aca="false">'SALES-1 Model'!M63</f>
        <v>0</v>
      </c>
      <c r="N66" s="210" t="n">
        <f aca="false">'SALES-1 Model'!N63</f>
        <v>0</v>
      </c>
      <c r="O66" s="210" t="n">
        <f aca="false">'SALES-1 Model'!O63</f>
        <v>0</v>
      </c>
      <c r="P66" s="212" t="n">
        <f aca="false">'SALES-1 Model'!P63</f>
        <v>0</v>
      </c>
      <c r="Q66" s="75" t="s">
        <v>252</v>
      </c>
      <c r="R66" s="16" t="str">
        <f aca="false">IF(K66=P66, "", "Error")</f>
        <v/>
      </c>
      <c r="T66" s="210" t="n">
        <f aca="false">'SALES-1 Model'!T63</f>
        <v>0</v>
      </c>
      <c r="U66" s="210" t="n">
        <f aca="false">'SALES-1 Model'!U63</f>
        <v>0</v>
      </c>
      <c r="V66" s="210" t="n">
        <f aca="false">'SALES-1 Model'!V63</f>
        <v>0</v>
      </c>
      <c r="W66" s="210" t="n">
        <f aca="false">'SALES-1 Model'!W63</f>
        <v>0</v>
      </c>
      <c r="X66" s="210" t="n">
        <f aca="false">'SALES-1 Model'!X63</f>
        <v>0</v>
      </c>
      <c r="Y66" s="210" t="n">
        <f aca="false">'SALES-1 Model'!Y63</f>
        <v>0</v>
      </c>
      <c r="Z66" s="210" t="n">
        <f aca="false">'SALES-1 Model'!Z63</f>
        <v>0</v>
      </c>
      <c r="AA66" s="210" t="n">
        <f aca="false">'SALES-1 Model'!AA63</f>
        <v>0</v>
      </c>
      <c r="AB66" s="210" t="n">
        <f aca="false">'SALES-1 Model'!AB63</f>
        <v>0</v>
      </c>
      <c r="AC66" s="210" t="n">
        <f aca="false">'SALES-1 Model'!AC63</f>
        <v>0</v>
      </c>
      <c r="AD66" s="210" t="n">
        <f aca="false">'SALES-1 Model'!AD63</f>
        <v>0</v>
      </c>
      <c r="AE66" s="212" t="n">
        <f aca="false">'SALES-1 Model'!AE63</f>
        <v>0</v>
      </c>
      <c r="AF66" s="213" t="n">
        <f aca="false">'SALES-1 Model'!AF63</f>
        <v>0</v>
      </c>
      <c r="AG66" s="210" t="n">
        <f aca="false">'SALES-1 Model'!AG63</f>
        <v>0</v>
      </c>
      <c r="AH66" s="210" t="n">
        <f aca="false">'SALES-1 Model'!AH63</f>
        <v>0</v>
      </c>
      <c r="AI66" s="210" t="n">
        <f aca="false">'SALES-1 Model'!AI63</f>
        <v>0</v>
      </c>
      <c r="AJ66" s="210" t="n">
        <f aca="false">'SALES-1 Model'!AJ63</f>
        <v>0</v>
      </c>
      <c r="AK66" s="210" t="n">
        <f aca="false">'SALES-1 Model'!AK63</f>
        <v>0</v>
      </c>
      <c r="AL66" s="210" t="n">
        <f aca="false">'SALES-1 Model'!AL63</f>
        <v>0</v>
      </c>
      <c r="AM66" s="210" t="n">
        <f aca="false">'SALES-1 Model'!AM63</f>
        <v>0</v>
      </c>
      <c r="AN66" s="210" t="n">
        <f aca="false">'SALES-1 Model'!AN63</f>
        <v>0</v>
      </c>
      <c r="AO66" s="210" t="n">
        <f aca="false">'SALES-1 Model'!AO63</f>
        <v>0</v>
      </c>
      <c r="AP66" s="210" t="n">
        <f aca="false">'SALES-1 Model'!AP63</f>
        <v>0</v>
      </c>
      <c r="AQ66" s="212" t="n">
        <f aca="false">'SALES-1 Model'!AQ63</f>
        <v>0</v>
      </c>
      <c r="AR66" s="213" t="n">
        <f aca="false">'SALES-1 Model'!AR63</f>
        <v>0</v>
      </c>
      <c r="AS66" s="210" t="n">
        <f aca="false">'SALES-1 Model'!AS63</f>
        <v>0</v>
      </c>
      <c r="AT66" s="210" t="n">
        <f aca="false">'SALES-1 Model'!AT63</f>
        <v>0</v>
      </c>
      <c r="AU66" s="210" t="n">
        <f aca="false">'SALES-1 Model'!AU63</f>
        <v>0</v>
      </c>
      <c r="AV66" s="210" t="n">
        <f aca="false">'SALES-1 Model'!AV63</f>
        <v>0</v>
      </c>
      <c r="AW66" s="210" t="n">
        <f aca="false">'SALES-1 Model'!AW63</f>
        <v>0</v>
      </c>
      <c r="AX66" s="210" t="n">
        <f aca="false">'SALES-1 Model'!AX63</f>
        <v>0</v>
      </c>
      <c r="AY66" s="210" t="n">
        <f aca="false">'SALES-1 Model'!AY63</f>
        <v>0</v>
      </c>
      <c r="AZ66" s="210" t="n">
        <f aca="false">'SALES-1 Model'!AZ63</f>
        <v>0</v>
      </c>
      <c r="BA66" s="210" t="n">
        <f aca="false">'SALES-1 Model'!BA63</f>
        <v>0</v>
      </c>
      <c r="BB66" s="210" t="n">
        <f aca="false">'SALES-1 Model'!BB63</f>
        <v>0</v>
      </c>
      <c r="BC66" s="212" t="n">
        <f aca="false">'SALES-1 Model'!BC63</f>
        <v>0</v>
      </c>
      <c r="BD66" s="213" t="n">
        <f aca="false">'SALES-1 Model'!BD63</f>
        <v>0</v>
      </c>
      <c r="BE66" s="210" t="n">
        <f aca="false">'SALES-1 Model'!BE63</f>
        <v>0</v>
      </c>
      <c r="BF66" s="210" t="n">
        <f aca="false">'SALES-1 Model'!BF63</f>
        <v>0</v>
      </c>
      <c r="BG66" s="210" t="n">
        <f aca="false">'SALES-1 Model'!BG63</f>
        <v>0</v>
      </c>
      <c r="BH66" s="210" t="n">
        <f aca="false">'SALES-1 Model'!BH63</f>
        <v>0</v>
      </c>
      <c r="BI66" s="210" t="n">
        <f aca="false">'SALES-1 Model'!BI63</f>
        <v>0</v>
      </c>
      <c r="BJ66" s="210" t="n">
        <f aca="false">'SALES-1 Model'!BJ63</f>
        <v>0</v>
      </c>
      <c r="BK66" s="210" t="n">
        <f aca="false">'SALES-1 Model'!BK63</f>
        <v>0</v>
      </c>
      <c r="BL66" s="210" t="n">
        <f aca="false">'SALES-1 Model'!BL63</f>
        <v>0</v>
      </c>
      <c r="BM66" s="210" t="n">
        <f aca="false">'SALES-1 Model'!BM63</f>
        <v>0</v>
      </c>
      <c r="BN66" s="210" t="n">
        <f aca="false">'SALES-1 Model'!BN63</f>
        <v>0</v>
      </c>
      <c r="BO66" s="212" t="n">
        <f aca="false">'SALES-1 Model'!BO63</f>
        <v>0</v>
      </c>
      <c r="BP66" s="213" t="n">
        <f aca="false">'SALES-1 Model'!BP63</f>
        <v>0</v>
      </c>
      <c r="BQ66" s="210" t="n">
        <f aca="false">'SALES-1 Model'!BQ63</f>
        <v>0</v>
      </c>
      <c r="BR66" s="210" t="n">
        <f aca="false">'SALES-1 Model'!BR63</f>
        <v>0</v>
      </c>
      <c r="BS66" s="210" t="n">
        <f aca="false">'SALES-1 Model'!BS63</f>
        <v>0</v>
      </c>
      <c r="BT66" s="210" t="n">
        <f aca="false">'SALES-1 Model'!BT63</f>
        <v>0</v>
      </c>
      <c r="BU66" s="210" t="n">
        <f aca="false">'SALES-1 Model'!BU63</f>
        <v>0</v>
      </c>
      <c r="BV66" s="210" t="n">
        <f aca="false">'SALES-1 Model'!BV63</f>
        <v>0</v>
      </c>
      <c r="BW66" s="210" t="n">
        <f aca="false">'SALES-1 Model'!BW63</f>
        <v>0</v>
      </c>
      <c r="BX66" s="210" t="n">
        <f aca="false">'SALES-1 Model'!BX63</f>
        <v>0</v>
      </c>
      <c r="BY66" s="210" t="n">
        <f aca="false">'SALES-1 Model'!BY63</f>
        <v>0</v>
      </c>
      <c r="BZ66" s="210" t="n">
        <f aca="false">'SALES-1 Model'!BZ63</f>
        <v>0</v>
      </c>
      <c r="CA66" s="210" t="n">
        <f aca="false">'SALES-1 Model'!CA63</f>
        <v>0</v>
      </c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 t="s">
        <v>424</v>
      </c>
      <c r="H67" s="71" t="s">
        <v>425</v>
      </c>
      <c r="I67" s="210" t="n">
        <f aca="false">'SALES-1 Model'!$D$64</f>
        <v>0</v>
      </c>
      <c r="J67" s="210" t="n">
        <f aca="false">I67+'SALES-1 Model'!$K$64</f>
        <v>0</v>
      </c>
      <c r="K67" s="211" t="n">
        <f aca="false">'SALES-1 Model'!$K$64</f>
        <v>0</v>
      </c>
      <c r="L67" s="210" t="n">
        <f aca="false">'SALES-1 Model'!L64</f>
        <v>0</v>
      </c>
      <c r="M67" s="210" t="n">
        <f aca="false">'SALES-1 Model'!M64</f>
        <v>0</v>
      </c>
      <c r="N67" s="210" t="n">
        <f aca="false">'SALES-1 Model'!N64</f>
        <v>0</v>
      </c>
      <c r="O67" s="210" t="n">
        <f aca="false">'SALES-1 Model'!O64</f>
        <v>0</v>
      </c>
      <c r="P67" s="212" t="n">
        <f aca="false">'SALES-1 Model'!P64</f>
        <v>0</v>
      </c>
      <c r="Q67" s="75" t="s">
        <v>252</v>
      </c>
      <c r="R67" s="16" t="str">
        <f aca="false">IF(K67=P67, "", "Error")</f>
        <v/>
      </c>
      <c r="T67" s="210" t="n">
        <f aca="false">'SALES-1 Model'!T64</f>
        <v>0</v>
      </c>
      <c r="U67" s="210" t="n">
        <f aca="false">'SALES-1 Model'!U64</f>
        <v>0</v>
      </c>
      <c r="V67" s="210" t="n">
        <f aca="false">'SALES-1 Model'!V64</f>
        <v>0</v>
      </c>
      <c r="W67" s="210" t="n">
        <f aca="false">'SALES-1 Model'!W64</f>
        <v>0</v>
      </c>
      <c r="X67" s="210" t="n">
        <f aca="false">'SALES-1 Model'!X64</f>
        <v>0</v>
      </c>
      <c r="Y67" s="210" t="n">
        <f aca="false">'SALES-1 Model'!Y64</f>
        <v>0</v>
      </c>
      <c r="Z67" s="210" t="n">
        <f aca="false">'SALES-1 Model'!Z64</f>
        <v>0</v>
      </c>
      <c r="AA67" s="210" t="n">
        <f aca="false">'SALES-1 Model'!AA64</f>
        <v>0</v>
      </c>
      <c r="AB67" s="210" t="n">
        <f aca="false">'SALES-1 Model'!AB64</f>
        <v>0</v>
      </c>
      <c r="AC67" s="210" t="n">
        <f aca="false">'SALES-1 Model'!AC64</f>
        <v>0</v>
      </c>
      <c r="AD67" s="210" t="n">
        <f aca="false">'SALES-1 Model'!AD64</f>
        <v>0</v>
      </c>
      <c r="AE67" s="212" t="n">
        <f aca="false">'SALES-1 Model'!AE64</f>
        <v>0</v>
      </c>
      <c r="AF67" s="213" t="n">
        <f aca="false">'SALES-1 Model'!AF64</f>
        <v>0</v>
      </c>
      <c r="AG67" s="210" t="n">
        <f aca="false">'SALES-1 Model'!AG64</f>
        <v>0</v>
      </c>
      <c r="AH67" s="210" t="n">
        <f aca="false">'SALES-1 Model'!AH64</f>
        <v>0</v>
      </c>
      <c r="AI67" s="210" t="n">
        <f aca="false">'SALES-1 Model'!AI64</f>
        <v>0</v>
      </c>
      <c r="AJ67" s="210" t="n">
        <f aca="false">'SALES-1 Model'!AJ64</f>
        <v>0</v>
      </c>
      <c r="AK67" s="210" t="n">
        <f aca="false">'SALES-1 Model'!AK64</f>
        <v>0</v>
      </c>
      <c r="AL67" s="210" t="n">
        <f aca="false">'SALES-1 Model'!AL64</f>
        <v>0</v>
      </c>
      <c r="AM67" s="210" t="n">
        <f aca="false">'SALES-1 Model'!AM64</f>
        <v>0</v>
      </c>
      <c r="AN67" s="210" t="n">
        <f aca="false">'SALES-1 Model'!AN64</f>
        <v>0</v>
      </c>
      <c r="AO67" s="210" t="n">
        <f aca="false">'SALES-1 Model'!AO64</f>
        <v>0</v>
      </c>
      <c r="AP67" s="210" t="n">
        <f aca="false">'SALES-1 Model'!AP64</f>
        <v>0</v>
      </c>
      <c r="AQ67" s="212" t="n">
        <f aca="false">'SALES-1 Model'!AQ64</f>
        <v>0</v>
      </c>
      <c r="AR67" s="213" t="n">
        <f aca="false">'SALES-1 Model'!AR64</f>
        <v>0</v>
      </c>
      <c r="AS67" s="210" t="n">
        <f aca="false">'SALES-1 Model'!AS64</f>
        <v>0</v>
      </c>
      <c r="AT67" s="210" t="n">
        <f aca="false">'SALES-1 Model'!AT64</f>
        <v>0</v>
      </c>
      <c r="AU67" s="210" t="n">
        <f aca="false">'SALES-1 Model'!AU64</f>
        <v>0</v>
      </c>
      <c r="AV67" s="210" t="n">
        <f aca="false">'SALES-1 Model'!AV64</f>
        <v>0</v>
      </c>
      <c r="AW67" s="210" t="n">
        <f aca="false">'SALES-1 Model'!AW64</f>
        <v>0</v>
      </c>
      <c r="AX67" s="210" t="n">
        <f aca="false">'SALES-1 Model'!AX64</f>
        <v>0</v>
      </c>
      <c r="AY67" s="210" t="n">
        <f aca="false">'SALES-1 Model'!AY64</f>
        <v>0</v>
      </c>
      <c r="AZ67" s="210" t="n">
        <f aca="false">'SALES-1 Model'!AZ64</f>
        <v>0</v>
      </c>
      <c r="BA67" s="210" t="n">
        <f aca="false">'SALES-1 Model'!BA64</f>
        <v>0</v>
      </c>
      <c r="BB67" s="210" t="n">
        <f aca="false">'SALES-1 Model'!BB64</f>
        <v>0</v>
      </c>
      <c r="BC67" s="212" t="n">
        <f aca="false">'SALES-1 Model'!BC64</f>
        <v>0</v>
      </c>
      <c r="BD67" s="213" t="n">
        <f aca="false">'SALES-1 Model'!BD64</f>
        <v>0</v>
      </c>
      <c r="BE67" s="210" t="n">
        <f aca="false">'SALES-1 Model'!BE64</f>
        <v>0</v>
      </c>
      <c r="BF67" s="210" t="n">
        <f aca="false">'SALES-1 Model'!BF64</f>
        <v>0</v>
      </c>
      <c r="BG67" s="210" t="n">
        <f aca="false">'SALES-1 Model'!BG64</f>
        <v>0</v>
      </c>
      <c r="BH67" s="210" t="n">
        <f aca="false">'SALES-1 Model'!BH64</f>
        <v>0</v>
      </c>
      <c r="BI67" s="210" t="n">
        <f aca="false">'SALES-1 Model'!BI64</f>
        <v>0</v>
      </c>
      <c r="BJ67" s="210" t="n">
        <f aca="false">'SALES-1 Model'!BJ64</f>
        <v>0</v>
      </c>
      <c r="BK67" s="210" t="n">
        <f aca="false">'SALES-1 Model'!BK64</f>
        <v>0</v>
      </c>
      <c r="BL67" s="210" t="n">
        <f aca="false">'SALES-1 Model'!BL64</f>
        <v>0</v>
      </c>
      <c r="BM67" s="210" t="n">
        <f aca="false">'SALES-1 Model'!BM64</f>
        <v>0</v>
      </c>
      <c r="BN67" s="210" t="n">
        <f aca="false">'SALES-1 Model'!BN64</f>
        <v>0</v>
      </c>
      <c r="BO67" s="212" t="n">
        <f aca="false">'SALES-1 Model'!BO64</f>
        <v>0</v>
      </c>
      <c r="BP67" s="213" t="n">
        <f aca="false">'SALES-1 Model'!BP64</f>
        <v>0</v>
      </c>
      <c r="BQ67" s="210" t="n">
        <f aca="false">'SALES-1 Model'!BQ64</f>
        <v>0</v>
      </c>
      <c r="BR67" s="210" t="n">
        <f aca="false">'SALES-1 Model'!BR64</f>
        <v>0</v>
      </c>
      <c r="BS67" s="210" t="n">
        <f aca="false">'SALES-1 Model'!BS64</f>
        <v>0</v>
      </c>
      <c r="BT67" s="210" t="n">
        <f aca="false">'SALES-1 Model'!BT64</f>
        <v>0</v>
      </c>
      <c r="BU67" s="210" t="n">
        <f aca="false">'SALES-1 Model'!BU64</f>
        <v>0</v>
      </c>
      <c r="BV67" s="210" t="n">
        <f aca="false">'SALES-1 Model'!BV64</f>
        <v>0</v>
      </c>
      <c r="BW67" s="210" t="n">
        <f aca="false">'SALES-1 Model'!BW64</f>
        <v>0</v>
      </c>
      <c r="BX67" s="210" t="n">
        <f aca="false">'SALES-1 Model'!BX64</f>
        <v>0</v>
      </c>
      <c r="BY67" s="210" t="n">
        <f aca="false">'SALES-1 Model'!BY64</f>
        <v>0</v>
      </c>
      <c r="BZ67" s="210" t="n">
        <f aca="false">'SALES-1 Model'!BZ64</f>
        <v>0</v>
      </c>
      <c r="CA67" s="210" t="n">
        <f aca="false">'SALES-1 Model'!CA64</f>
        <v>0</v>
      </c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128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129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4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4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4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4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4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130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131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426</v>
      </c>
      <c r="H79" s="71" t="s">
        <v>427</v>
      </c>
      <c r="I79" s="215" t="n">
        <f aca="false">'SALES-1 Model'!$D$65</f>
        <v>0</v>
      </c>
      <c r="J79" s="215" t="n">
        <f aca="false">I79-'SALES-1 Model'!$K$65</f>
        <v>0</v>
      </c>
      <c r="K79" s="211" t="n">
        <f aca="false">'SALES-1 Model'!$K$65</f>
        <v>0</v>
      </c>
      <c r="L79" s="215" t="n">
        <f aca="false">'SALES-1 Model'!L65</f>
        <v>0</v>
      </c>
      <c r="M79" s="215" t="n">
        <f aca="false">'SALES-1 Model'!M65</f>
        <v>0</v>
      </c>
      <c r="N79" s="215" t="n">
        <f aca="false">'SALES-1 Model'!N65</f>
        <v>0</v>
      </c>
      <c r="O79" s="215" t="n">
        <f aca="false">'SALES-1 Model'!O65</f>
        <v>0</v>
      </c>
      <c r="P79" s="215" t="n">
        <f aca="false">'SALES-1 Model'!P65</f>
        <v>0</v>
      </c>
      <c r="Q79" s="93" t="s">
        <v>252</v>
      </c>
      <c r="R79" s="16" t="str">
        <f aca="false">IF(K79=P79, "", "Error")</f>
        <v/>
      </c>
      <c r="T79" s="215" t="n">
        <f aca="false">'SALES-1 Model'!T65</f>
        <v>0</v>
      </c>
      <c r="U79" s="215" t="n">
        <f aca="false">'SALES-1 Model'!U65</f>
        <v>0</v>
      </c>
      <c r="V79" s="215" t="n">
        <f aca="false">'SALES-1 Model'!V65</f>
        <v>0</v>
      </c>
      <c r="W79" s="215" t="n">
        <f aca="false">'SALES-1 Model'!W65</f>
        <v>0</v>
      </c>
      <c r="X79" s="215" t="n">
        <f aca="false">'SALES-1 Model'!X65</f>
        <v>0</v>
      </c>
      <c r="Y79" s="215" t="n">
        <f aca="false">'SALES-1 Model'!Y65</f>
        <v>0</v>
      </c>
      <c r="Z79" s="215" t="n">
        <f aca="false">'SALES-1 Model'!Z65</f>
        <v>0</v>
      </c>
      <c r="AA79" s="215" t="n">
        <f aca="false">'SALES-1 Model'!AA65</f>
        <v>0</v>
      </c>
      <c r="AB79" s="215" t="n">
        <f aca="false">'SALES-1 Model'!AB65</f>
        <v>0</v>
      </c>
      <c r="AC79" s="215" t="n">
        <f aca="false">'SALES-1 Model'!AC65</f>
        <v>0</v>
      </c>
      <c r="AD79" s="215" t="n">
        <f aca="false">'SALES-1 Model'!AD65</f>
        <v>0</v>
      </c>
      <c r="AE79" s="216" t="n">
        <f aca="false">'SALES-1 Model'!AE65</f>
        <v>0</v>
      </c>
      <c r="AF79" s="217" t="n">
        <f aca="false">'SALES-1 Model'!AF65</f>
        <v>0</v>
      </c>
      <c r="AG79" s="217" t="n">
        <f aca="false">'SALES-1 Model'!AG65</f>
        <v>0</v>
      </c>
      <c r="AH79" s="217" t="n">
        <f aca="false">'SALES-1 Model'!AH65</f>
        <v>0</v>
      </c>
      <c r="AI79" s="217" t="n">
        <f aca="false">'SALES-1 Model'!AI65</f>
        <v>0</v>
      </c>
      <c r="AJ79" s="217" t="n">
        <f aca="false">'SALES-1 Model'!AJ65</f>
        <v>0</v>
      </c>
      <c r="AK79" s="217" t="n">
        <f aca="false">'SALES-1 Model'!AK65</f>
        <v>0</v>
      </c>
      <c r="AL79" s="217" t="n">
        <f aca="false">'SALES-1 Model'!AL65</f>
        <v>0</v>
      </c>
      <c r="AM79" s="217" t="n">
        <f aca="false">'SALES-1 Model'!AM65</f>
        <v>0</v>
      </c>
      <c r="AN79" s="217" t="n">
        <f aca="false">'SALES-1 Model'!AN65</f>
        <v>0</v>
      </c>
      <c r="AO79" s="217" t="n">
        <f aca="false">'SALES-1 Model'!AO65</f>
        <v>0</v>
      </c>
      <c r="AP79" s="217" t="n">
        <f aca="false">'SALES-1 Model'!AP65</f>
        <v>0</v>
      </c>
      <c r="AQ79" s="217" t="n">
        <f aca="false">'SALES-1 Model'!AQ65</f>
        <v>0</v>
      </c>
      <c r="AR79" s="217" t="n">
        <f aca="false">'SALES-1 Model'!AR65</f>
        <v>0</v>
      </c>
      <c r="AS79" s="217" t="n">
        <f aca="false">'SALES-1 Model'!AS65</f>
        <v>0</v>
      </c>
      <c r="AT79" s="217" t="n">
        <f aca="false">'SALES-1 Model'!AT65</f>
        <v>0</v>
      </c>
      <c r="AU79" s="217" t="n">
        <f aca="false">'SALES-1 Model'!AU65</f>
        <v>0</v>
      </c>
      <c r="AV79" s="217" t="n">
        <f aca="false">'SALES-1 Model'!AV65</f>
        <v>0</v>
      </c>
      <c r="AW79" s="217" t="n">
        <f aca="false">'SALES-1 Model'!AW65</f>
        <v>0</v>
      </c>
      <c r="AX79" s="217" t="n">
        <f aca="false">'SALES-1 Model'!AX65</f>
        <v>0</v>
      </c>
      <c r="AY79" s="217" t="n">
        <f aca="false">'SALES-1 Model'!AY65</f>
        <v>0</v>
      </c>
      <c r="AZ79" s="217" t="n">
        <f aca="false">'SALES-1 Model'!AZ65</f>
        <v>0</v>
      </c>
      <c r="BA79" s="217" t="n">
        <f aca="false">'SALES-1 Model'!BA65</f>
        <v>0</v>
      </c>
      <c r="BB79" s="217" t="n">
        <f aca="false">'SALES-1 Model'!BB65</f>
        <v>0</v>
      </c>
      <c r="BC79" s="217" t="n">
        <f aca="false">'SALES-1 Model'!BC65</f>
        <v>0</v>
      </c>
      <c r="BD79" s="217" t="n">
        <f aca="false">'SALES-1 Model'!BD65</f>
        <v>0</v>
      </c>
      <c r="BE79" s="217" t="n">
        <f aca="false">'SALES-1 Model'!BE65</f>
        <v>0</v>
      </c>
      <c r="BF79" s="217" t="n">
        <f aca="false">'SALES-1 Model'!BF65</f>
        <v>0</v>
      </c>
      <c r="BG79" s="217" t="n">
        <f aca="false">'SALES-1 Model'!BG65</f>
        <v>0</v>
      </c>
      <c r="BH79" s="217" t="n">
        <f aca="false">'SALES-1 Model'!BH65</f>
        <v>0</v>
      </c>
      <c r="BI79" s="217" t="n">
        <f aca="false">'SALES-1 Model'!BI65</f>
        <v>0</v>
      </c>
      <c r="BJ79" s="217" t="n">
        <f aca="false">'SALES-1 Model'!BJ65</f>
        <v>0</v>
      </c>
      <c r="BK79" s="217" t="n">
        <f aca="false">'SALES-1 Model'!BK65</f>
        <v>0</v>
      </c>
      <c r="BL79" s="217" t="n">
        <f aca="false">'SALES-1 Model'!BL65</f>
        <v>0</v>
      </c>
      <c r="BM79" s="217" t="n">
        <f aca="false">'SALES-1 Model'!BM65</f>
        <v>0</v>
      </c>
      <c r="BN79" s="217" t="n">
        <f aca="false">'SALES-1 Model'!BN65</f>
        <v>0</v>
      </c>
      <c r="BO79" s="217" t="n">
        <f aca="false">'SALES-1 Model'!BO65</f>
        <v>0</v>
      </c>
      <c r="BP79" s="217" t="n">
        <f aca="false">'SALES-1 Model'!BP65</f>
        <v>0</v>
      </c>
      <c r="BQ79" s="217" t="n">
        <f aca="false">'SALES-1 Model'!BQ65</f>
        <v>0</v>
      </c>
      <c r="BR79" s="217" t="n">
        <f aca="false">'SALES-1 Model'!BR65</f>
        <v>0</v>
      </c>
      <c r="BS79" s="217" t="n">
        <f aca="false">'SALES-1 Model'!BS65</f>
        <v>0</v>
      </c>
      <c r="BT79" s="217" t="n">
        <f aca="false">'SALES-1 Model'!BT65</f>
        <v>0</v>
      </c>
      <c r="BU79" s="217" t="n">
        <f aca="false">'SALES-1 Model'!BU65</f>
        <v>0</v>
      </c>
      <c r="BV79" s="217" t="n">
        <f aca="false">'SALES-1 Model'!BV65</f>
        <v>0</v>
      </c>
      <c r="BW79" s="217" t="n">
        <f aca="false">'SALES-1 Model'!BW65</f>
        <v>0</v>
      </c>
      <c r="BX79" s="217" t="n">
        <f aca="false">'SALES-1 Model'!BX65</f>
        <v>0</v>
      </c>
      <c r="BY79" s="217" t="n">
        <f aca="false">'SALES-1 Model'!BY65</f>
        <v>0</v>
      </c>
      <c r="BZ79" s="217" t="n">
        <f aca="false">'SALES-1 Model'!BZ65</f>
        <v>0</v>
      </c>
      <c r="CA79" s="217" t="n">
        <f aca="false">'SALES-1 Model'!CA65</f>
        <v>0</v>
      </c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4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4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4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4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134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135</v>
      </c>
      <c r="F88" s="109"/>
      <c r="G88" s="109"/>
      <c r="H88" s="110"/>
      <c r="I88" s="218" t="n">
        <f aca="false">SUM(I68, I76, I84)</f>
        <v>0</v>
      </c>
      <c r="J88" s="218" t="n">
        <f aca="false">SUM(J68, J76, J84)</f>
        <v>0</v>
      </c>
      <c r="K88" s="218" t="n">
        <f aca="false">SUM(K68, K76, K84)</f>
        <v>0</v>
      </c>
      <c r="L88" s="218" t="n">
        <f aca="false">SUM(L68, L76, L84)</f>
        <v>0</v>
      </c>
      <c r="M88" s="218" t="n">
        <f aca="false">SUM(M68, M76, M84)</f>
        <v>0</v>
      </c>
      <c r="N88" s="218" t="n">
        <f aca="false">SUM(N68, N76, N84)</f>
        <v>0</v>
      </c>
      <c r="O88" s="218" t="n">
        <f aca="false">SUM(O68, O76, O84)</f>
        <v>0</v>
      </c>
      <c r="P88" s="218" t="n">
        <f aca="false">SUM(P68, P76, P84)</f>
        <v>0</v>
      </c>
      <c r="Q88" s="16"/>
      <c r="R88" s="16"/>
      <c r="T88" s="219" t="n">
        <f aca="false">SUM(T68, T76, T84)</f>
        <v>0</v>
      </c>
      <c r="U88" s="219" t="n">
        <f aca="false">SUM(U68, U76, U84)</f>
        <v>0</v>
      </c>
      <c r="V88" s="219" t="n">
        <f aca="false">SUM(V68, V76, V84)</f>
        <v>0</v>
      </c>
      <c r="W88" s="219" t="n">
        <f aca="false">SUM(W68, W76, W84)</f>
        <v>0</v>
      </c>
      <c r="X88" s="219" t="n">
        <f aca="false">SUM(X68, X76, X84)</f>
        <v>0</v>
      </c>
      <c r="Y88" s="219" t="n">
        <f aca="false">SUM(Y68, Y76, Y84)</f>
        <v>0</v>
      </c>
      <c r="Z88" s="219" t="n">
        <f aca="false">SUM(Z68, Z76, Z84)</f>
        <v>0</v>
      </c>
      <c r="AA88" s="219" t="n">
        <f aca="false">SUM(AA68, AA76, AA84)</f>
        <v>0</v>
      </c>
      <c r="AB88" s="219" t="n">
        <f aca="false">SUM(AB68, AB76, AB84)</f>
        <v>0</v>
      </c>
      <c r="AC88" s="219" t="n">
        <f aca="false">SUM(AC68, AC76, AC84)</f>
        <v>0</v>
      </c>
      <c r="AD88" s="219" t="n">
        <f aca="false">SUM(AD68, AD76, AD84)</f>
        <v>0</v>
      </c>
      <c r="AE88" s="219" t="n">
        <f aca="false">SUM(AE68, AE76, AE84)</f>
        <v>0</v>
      </c>
      <c r="AF88" s="219" t="n">
        <f aca="false">SUM(AF68, AF76, AF84)</f>
        <v>0</v>
      </c>
      <c r="AG88" s="219" t="n">
        <f aca="false">SUM(AG68, AG76, AG84)</f>
        <v>0</v>
      </c>
      <c r="AH88" s="219" t="n">
        <f aca="false">SUM(AH68, AH76, AH84)</f>
        <v>0</v>
      </c>
      <c r="AI88" s="219" t="n">
        <f aca="false">SUM(AI68, AI76, AI84)</f>
        <v>0</v>
      </c>
      <c r="AJ88" s="219" t="n">
        <f aca="false">SUM(AJ68, AJ76, AJ84)</f>
        <v>0</v>
      </c>
      <c r="AK88" s="219" t="n">
        <f aca="false">SUM(AK68, AK76, AK84)</f>
        <v>0</v>
      </c>
      <c r="AL88" s="219" t="n">
        <f aca="false">SUM(AL68, AL76, AL84)</f>
        <v>0</v>
      </c>
      <c r="AM88" s="219" t="n">
        <f aca="false">SUM(AM68, AM76, AM84)</f>
        <v>0</v>
      </c>
      <c r="AN88" s="219" t="n">
        <f aca="false">SUM(AN68, AN76, AN84)</f>
        <v>0</v>
      </c>
      <c r="AO88" s="219" t="n">
        <f aca="false">SUM(AO68, AO76, AO84)</f>
        <v>0</v>
      </c>
      <c r="AP88" s="219" t="n">
        <f aca="false">SUM(AP68, AP76, AP84)</f>
        <v>0</v>
      </c>
      <c r="AQ88" s="219" t="n">
        <f aca="false">SUM(AQ68, AQ76, AQ84)</f>
        <v>0</v>
      </c>
      <c r="AR88" s="219" t="n">
        <f aca="false">SUM(AR68, AR76, AR84)</f>
        <v>0</v>
      </c>
      <c r="AS88" s="219" t="n">
        <f aca="false">SUM(AS68, AS76, AS84)</f>
        <v>0</v>
      </c>
      <c r="AT88" s="219" t="n">
        <f aca="false">SUM(AT68, AT76, AT84)</f>
        <v>0</v>
      </c>
      <c r="AU88" s="219" t="n">
        <f aca="false">SUM(AU68, AU76, AU84)</f>
        <v>0</v>
      </c>
      <c r="AV88" s="219" t="n">
        <f aca="false">SUM(AV68, AV76, AV84)</f>
        <v>0</v>
      </c>
      <c r="AW88" s="219" t="n">
        <f aca="false">SUM(AW68, AW76, AW84)</f>
        <v>0</v>
      </c>
      <c r="AX88" s="219" t="n">
        <f aca="false">SUM(AX68, AX76, AX84)</f>
        <v>0</v>
      </c>
      <c r="AY88" s="219" t="n">
        <f aca="false">SUM(AY68, AY76, AY84)</f>
        <v>0</v>
      </c>
      <c r="AZ88" s="219" t="n">
        <f aca="false">SUM(AZ68, AZ76, AZ84)</f>
        <v>0</v>
      </c>
      <c r="BA88" s="219" t="n">
        <f aca="false">SUM(BA68, BA76, BA84)</f>
        <v>0</v>
      </c>
      <c r="BB88" s="219" t="n">
        <f aca="false">SUM(BB68, BB76, BB84)</f>
        <v>0</v>
      </c>
      <c r="BC88" s="219" t="n">
        <f aca="false">SUM(BC68, BC76, BC84)</f>
        <v>0</v>
      </c>
      <c r="BD88" s="219" t="n">
        <f aca="false">SUM(BD68, BD76, BD84)</f>
        <v>0</v>
      </c>
      <c r="BE88" s="219" t="n">
        <f aca="false">SUM(BE68, BE76, BE84)</f>
        <v>0</v>
      </c>
      <c r="BF88" s="219" t="n">
        <f aca="false">SUM(BF68, BF76, BF84)</f>
        <v>0</v>
      </c>
      <c r="BG88" s="219" t="n">
        <f aca="false">SUM(BG68, BG76, BG84)</f>
        <v>0</v>
      </c>
      <c r="BH88" s="219" t="n">
        <f aca="false">SUM(BH68, BH76, BH84)</f>
        <v>0</v>
      </c>
      <c r="BI88" s="219" t="n">
        <f aca="false">SUM(BI68, BI76, BI84)</f>
        <v>0</v>
      </c>
      <c r="BJ88" s="219" t="n">
        <f aca="false">SUM(BJ68, BJ76, BJ84)</f>
        <v>0</v>
      </c>
      <c r="BK88" s="219" t="n">
        <f aca="false">SUM(BK68, BK76, BK84)</f>
        <v>0</v>
      </c>
      <c r="BL88" s="219" t="n">
        <f aca="false">SUM(BL68, BL76, BL84)</f>
        <v>0</v>
      </c>
      <c r="BM88" s="219" t="n">
        <f aca="false">SUM(BM68, BM76, BM84)</f>
        <v>0</v>
      </c>
      <c r="BN88" s="219" t="n">
        <f aca="false">SUM(BN68, BN76, BN84)</f>
        <v>0</v>
      </c>
      <c r="BO88" s="219" t="n">
        <f aca="false">SUM(BO68, BO76, BO84)</f>
        <v>0</v>
      </c>
      <c r="BP88" s="219" t="n">
        <f aca="false">SUM(BP68, BP76, BP84)</f>
        <v>0</v>
      </c>
      <c r="BQ88" s="219" t="n">
        <f aca="false">SUM(BQ68, BQ76, BQ84)</f>
        <v>0</v>
      </c>
      <c r="BR88" s="219" t="n">
        <f aca="false">SUM(BR68, BR76, BR84)</f>
        <v>0</v>
      </c>
      <c r="BS88" s="219" t="n">
        <f aca="false">SUM(BS68, BS76, BS84)</f>
        <v>0</v>
      </c>
      <c r="BT88" s="219" t="n">
        <f aca="false">SUM(BT68, BT76, BT84)</f>
        <v>0</v>
      </c>
      <c r="BU88" s="219" t="n">
        <f aca="false">SUM(BU68, BU76, BU84)</f>
        <v>0</v>
      </c>
      <c r="BV88" s="219" t="n">
        <f aca="false">SUM(BV68, BV76, BV84)</f>
        <v>0</v>
      </c>
      <c r="BW88" s="219" t="n">
        <f aca="false">SUM(BW68, BW76, BW84)</f>
        <v>0</v>
      </c>
      <c r="BX88" s="219" t="n">
        <f aca="false">SUM(BX68, BX76, BX84)</f>
        <v>0</v>
      </c>
      <c r="BY88" s="219" t="n">
        <f aca="false">SUM(BY68, BY76, BY84)</f>
        <v>0</v>
      </c>
      <c r="BZ88" s="219" t="n">
        <f aca="false">SUM(BZ68, BZ76, BZ84)</f>
        <v>0</v>
      </c>
      <c r="CA88" s="219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9" t="s">
        <v>421</v>
      </c>
      <c r="CJ90" s="209"/>
      <c r="CK90" s="209"/>
      <c r="CL90" s="209"/>
      <c r="CM90" s="209"/>
    </row>
    <row r="91" s="14" customFormat="true" ht="16.5" hidden="false" customHeight="true" outlineLevel="0" collapsed="false">
      <c r="D91" s="30" t="s">
        <v>136</v>
      </c>
      <c r="E91" s="31"/>
      <c r="F91" s="31"/>
      <c r="G91" s="31"/>
      <c r="H91" s="220" t="s">
        <v>121</v>
      </c>
      <c r="I91" s="31" t="s">
        <v>68</v>
      </c>
      <c r="J91" s="31" t="s">
        <v>95</v>
      </c>
      <c r="K91" s="31" t="s">
        <v>122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123</v>
      </c>
      <c r="R91" s="31" t="s">
        <v>66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93</v>
      </c>
      <c r="H92" s="29"/>
      <c r="I92" s="65" t="str">
        <f aca="false">$H$18</f>
        <v>TTM 6/1/26</v>
      </c>
      <c r="J92" s="65" t="s">
        <v>125</v>
      </c>
      <c r="K92" s="65" t="s">
        <v>126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127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4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4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128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129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4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4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4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4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4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130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131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374</v>
      </c>
      <c r="H107" s="29" t="s">
        <v>375</v>
      </c>
      <c r="I107" s="91" t="n">
        <v>0</v>
      </c>
      <c r="J107" s="215" t="n">
        <f aca="false">I107+'SALES-1 Model'!$K$114</f>
        <v>0</v>
      </c>
      <c r="K107" s="211" t="n">
        <f aca="false">'SALES-1 Model'!$K$114</f>
        <v>0</v>
      </c>
      <c r="L107" s="215" t="n">
        <f aca="false">'SALES-1 Model'!L114</f>
        <v>0</v>
      </c>
      <c r="M107" s="215" t="n">
        <f aca="false">'SALES-1 Model'!M114</f>
        <v>0</v>
      </c>
      <c r="N107" s="215" t="n">
        <f aca="false">'SALES-1 Model'!N114</f>
        <v>0</v>
      </c>
      <c r="O107" s="215" t="n">
        <f aca="false">'SALES-1 Model'!O114</f>
        <v>0</v>
      </c>
      <c r="P107" s="215" t="n">
        <f aca="false">'SALES-1 Model'!P114</f>
        <v>0</v>
      </c>
      <c r="Q107" s="93" t="s">
        <v>252</v>
      </c>
      <c r="R107" s="16" t="str">
        <f aca="false">IF(K107=P107, "", "Error")</f>
        <v/>
      </c>
      <c r="T107" s="215" t="n">
        <f aca="false">'SALES-1 Model'!T114</f>
        <v>0</v>
      </c>
      <c r="U107" s="215" t="n">
        <f aca="false">'SALES-1 Model'!U114</f>
        <v>0</v>
      </c>
      <c r="V107" s="215" t="n">
        <f aca="false">'SALES-1 Model'!V114</f>
        <v>0</v>
      </c>
      <c r="W107" s="215" t="n">
        <f aca="false">'SALES-1 Model'!W114</f>
        <v>0</v>
      </c>
      <c r="X107" s="215" t="n">
        <f aca="false">'SALES-1 Model'!X114</f>
        <v>0</v>
      </c>
      <c r="Y107" s="215" t="n">
        <f aca="false">'SALES-1 Model'!Y114</f>
        <v>0</v>
      </c>
      <c r="Z107" s="215" t="n">
        <f aca="false">'SALES-1 Model'!Z114</f>
        <v>0</v>
      </c>
      <c r="AA107" s="215" t="n">
        <f aca="false">'SALES-1 Model'!AA114</f>
        <v>0</v>
      </c>
      <c r="AB107" s="215" t="n">
        <f aca="false">'SALES-1 Model'!AB114</f>
        <v>0</v>
      </c>
      <c r="AC107" s="215" t="n">
        <f aca="false">'SALES-1 Model'!AC114</f>
        <v>0</v>
      </c>
      <c r="AD107" s="215" t="n">
        <f aca="false">'SALES-1 Model'!AD114</f>
        <v>0</v>
      </c>
      <c r="AE107" s="216" t="n">
        <f aca="false">'SALES-1 Model'!AE114</f>
        <v>0</v>
      </c>
      <c r="AF107" s="217" t="n">
        <f aca="false">'SALES-1 Model'!AF114</f>
        <v>0</v>
      </c>
      <c r="AG107" s="217" t="n">
        <f aca="false">'SALES-1 Model'!AG114</f>
        <v>0</v>
      </c>
      <c r="AH107" s="217" t="n">
        <f aca="false">'SALES-1 Model'!AH114</f>
        <v>0</v>
      </c>
      <c r="AI107" s="217" t="n">
        <f aca="false">'SALES-1 Model'!AI114</f>
        <v>0</v>
      </c>
      <c r="AJ107" s="217" t="n">
        <f aca="false">'SALES-1 Model'!AJ114</f>
        <v>0</v>
      </c>
      <c r="AK107" s="217" t="n">
        <f aca="false">'SALES-1 Model'!AK114</f>
        <v>0</v>
      </c>
      <c r="AL107" s="217" t="n">
        <f aca="false">'SALES-1 Model'!AL114</f>
        <v>0</v>
      </c>
      <c r="AM107" s="217" t="n">
        <f aca="false">'SALES-1 Model'!AM114</f>
        <v>0</v>
      </c>
      <c r="AN107" s="217" t="n">
        <f aca="false">'SALES-1 Model'!AN114</f>
        <v>0</v>
      </c>
      <c r="AO107" s="217" t="n">
        <f aca="false">'SALES-1 Model'!AO114</f>
        <v>0</v>
      </c>
      <c r="AP107" s="217" t="n">
        <f aca="false">'SALES-1 Model'!AP114</f>
        <v>0</v>
      </c>
      <c r="AQ107" s="217" t="n">
        <f aca="false">'SALES-1 Model'!AQ114</f>
        <v>0</v>
      </c>
      <c r="AR107" s="217" t="n">
        <f aca="false">'SALES-1 Model'!AR114</f>
        <v>0</v>
      </c>
      <c r="AS107" s="217" t="n">
        <f aca="false">'SALES-1 Model'!AS114</f>
        <v>0</v>
      </c>
      <c r="AT107" s="217" t="n">
        <f aca="false">'SALES-1 Model'!AT114</f>
        <v>0</v>
      </c>
      <c r="AU107" s="217" t="n">
        <f aca="false">'SALES-1 Model'!AU114</f>
        <v>0</v>
      </c>
      <c r="AV107" s="217" t="n">
        <f aca="false">'SALES-1 Model'!AV114</f>
        <v>0</v>
      </c>
      <c r="AW107" s="217" t="n">
        <f aca="false">'SALES-1 Model'!AW114</f>
        <v>0</v>
      </c>
      <c r="AX107" s="217" t="n">
        <f aca="false">'SALES-1 Model'!AX114</f>
        <v>0</v>
      </c>
      <c r="AY107" s="217" t="n">
        <f aca="false">'SALES-1 Model'!AY114</f>
        <v>0</v>
      </c>
      <c r="AZ107" s="217" t="n">
        <f aca="false">'SALES-1 Model'!AZ114</f>
        <v>0</v>
      </c>
      <c r="BA107" s="217" t="n">
        <f aca="false">'SALES-1 Model'!BA114</f>
        <v>0</v>
      </c>
      <c r="BB107" s="217" t="n">
        <f aca="false">'SALES-1 Model'!BB114</f>
        <v>0</v>
      </c>
      <c r="BC107" s="217" t="n">
        <f aca="false">'SALES-1 Model'!BC114</f>
        <v>0</v>
      </c>
      <c r="BD107" s="217" t="n">
        <f aca="false">'SALES-1 Model'!BD114</f>
        <v>0</v>
      </c>
      <c r="BE107" s="217" t="n">
        <f aca="false">'SALES-1 Model'!BE114</f>
        <v>0</v>
      </c>
      <c r="BF107" s="217" t="n">
        <f aca="false">'SALES-1 Model'!BF114</f>
        <v>0</v>
      </c>
      <c r="BG107" s="217" t="n">
        <f aca="false">'SALES-1 Model'!BG114</f>
        <v>0</v>
      </c>
      <c r="BH107" s="217" t="n">
        <f aca="false">'SALES-1 Model'!BH114</f>
        <v>0</v>
      </c>
      <c r="BI107" s="217" t="n">
        <f aca="false">'SALES-1 Model'!BI114</f>
        <v>0</v>
      </c>
      <c r="BJ107" s="217" t="n">
        <f aca="false">'SALES-1 Model'!BJ114</f>
        <v>0</v>
      </c>
      <c r="BK107" s="217" t="n">
        <f aca="false">'SALES-1 Model'!BK114</f>
        <v>0</v>
      </c>
      <c r="BL107" s="217" t="n">
        <f aca="false">'SALES-1 Model'!BL114</f>
        <v>0</v>
      </c>
      <c r="BM107" s="217" t="n">
        <f aca="false">'SALES-1 Model'!BM114</f>
        <v>0</v>
      </c>
      <c r="BN107" s="217" t="n">
        <f aca="false">'SALES-1 Model'!BN114</f>
        <v>0</v>
      </c>
      <c r="BO107" s="217" t="n">
        <f aca="false">'SALES-1 Model'!BO114</f>
        <v>0</v>
      </c>
      <c r="BP107" s="217" t="n">
        <f aca="false">'SALES-1 Model'!BP114</f>
        <v>0</v>
      </c>
      <c r="BQ107" s="217" t="n">
        <f aca="false">'SALES-1 Model'!BQ114</f>
        <v>0</v>
      </c>
      <c r="BR107" s="217" t="n">
        <f aca="false">'SALES-1 Model'!BR114</f>
        <v>0</v>
      </c>
      <c r="BS107" s="217" t="n">
        <f aca="false">'SALES-1 Model'!BS114</f>
        <v>0</v>
      </c>
      <c r="BT107" s="217" t="n">
        <f aca="false">'SALES-1 Model'!BT114</f>
        <v>0</v>
      </c>
      <c r="BU107" s="217" t="n">
        <f aca="false">'SALES-1 Model'!BU114</f>
        <v>0</v>
      </c>
      <c r="BV107" s="217" t="n">
        <f aca="false">'SALES-1 Model'!BV114</f>
        <v>0</v>
      </c>
      <c r="BW107" s="217" t="n">
        <f aca="false">'SALES-1 Model'!BW114</f>
        <v>0</v>
      </c>
      <c r="BX107" s="217" t="n">
        <f aca="false">'SALES-1 Model'!BX114</f>
        <v>0</v>
      </c>
      <c r="BY107" s="217" t="n">
        <f aca="false">'SALES-1 Model'!BY114</f>
        <v>0</v>
      </c>
      <c r="BZ107" s="217" t="n">
        <f aca="false">'SALES-1 Model'!BZ114</f>
        <v>0</v>
      </c>
      <c r="CA107" s="217" t="n">
        <f aca="false">'SALES-1 Model'!CA114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377</v>
      </c>
      <c r="H108" s="29" t="s">
        <v>378</v>
      </c>
      <c r="I108" s="91" t="n">
        <v>0</v>
      </c>
      <c r="J108" s="215" t="n">
        <f aca="false">I108+'SALES-1 Model'!$K$115</f>
        <v>0</v>
      </c>
      <c r="K108" s="211" t="n">
        <f aca="false">'SALES-1 Model'!$K$115</f>
        <v>0</v>
      </c>
      <c r="L108" s="215" t="n">
        <f aca="false">'SALES-1 Model'!L115</f>
        <v>0</v>
      </c>
      <c r="M108" s="215" t="n">
        <f aca="false">'SALES-1 Model'!M115</f>
        <v>0</v>
      </c>
      <c r="N108" s="215" t="n">
        <f aca="false">'SALES-1 Model'!N115</f>
        <v>0</v>
      </c>
      <c r="O108" s="215" t="n">
        <f aca="false">'SALES-1 Model'!O115</f>
        <v>0</v>
      </c>
      <c r="P108" s="215" t="n">
        <f aca="false">'SALES-1 Model'!P115</f>
        <v>0</v>
      </c>
      <c r="Q108" s="93" t="s">
        <v>252</v>
      </c>
      <c r="R108" s="16" t="str">
        <f aca="false">IF(K108=P108, "", "Error")</f>
        <v/>
      </c>
      <c r="T108" s="215" t="n">
        <f aca="false">'SALES-1 Model'!T115</f>
        <v>0</v>
      </c>
      <c r="U108" s="215" t="n">
        <f aca="false">'SALES-1 Model'!U115</f>
        <v>0</v>
      </c>
      <c r="V108" s="215" t="n">
        <f aca="false">'SALES-1 Model'!V115</f>
        <v>0</v>
      </c>
      <c r="W108" s="215" t="n">
        <f aca="false">'SALES-1 Model'!W115</f>
        <v>0</v>
      </c>
      <c r="X108" s="215" t="n">
        <f aca="false">'SALES-1 Model'!X115</f>
        <v>0</v>
      </c>
      <c r="Y108" s="215" t="n">
        <f aca="false">'SALES-1 Model'!Y115</f>
        <v>0</v>
      </c>
      <c r="Z108" s="215" t="n">
        <f aca="false">'SALES-1 Model'!Z115</f>
        <v>0</v>
      </c>
      <c r="AA108" s="215" t="n">
        <f aca="false">'SALES-1 Model'!AA115</f>
        <v>0</v>
      </c>
      <c r="AB108" s="215" t="n">
        <f aca="false">'SALES-1 Model'!AB115</f>
        <v>0</v>
      </c>
      <c r="AC108" s="215" t="n">
        <f aca="false">'SALES-1 Model'!AC115</f>
        <v>0</v>
      </c>
      <c r="AD108" s="215" t="n">
        <f aca="false">'SALES-1 Model'!AD115</f>
        <v>0</v>
      </c>
      <c r="AE108" s="216" t="n">
        <f aca="false">'SALES-1 Model'!AE115</f>
        <v>0</v>
      </c>
      <c r="AF108" s="216" t="n">
        <f aca="false">'SALES-1 Model'!AF115</f>
        <v>0</v>
      </c>
      <c r="AG108" s="216" t="n">
        <f aca="false">'SALES-1 Model'!AG115</f>
        <v>0</v>
      </c>
      <c r="AH108" s="216" t="n">
        <f aca="false">'SALES-1 Model'!AH115</f>
        <v>0</v>
      </c>
      <c r="AI108" s="216" t="n">
        <f aca="false">'SALES-1 Model'!AI115</f>
        <v>0</v>
      </c>
      <c r="AJ108" s="216" t="n">
        <f aca="false">'SALES-1 Model'!AJ115</f>
        <v>0</v>
      </c>
      <c r="AK108" s="216" t="n">
        <f aca="false">'SALES-1 Model'!AK115</f>
        <v>0</v>
      </c>
      <c r="AL108" s="216" t="n">
        <f aca="false">'SALES-1 Model'!AL115</f>
        <v>0</v>
      </c>
      <c r="AM108" s="216" t="n">
        <f aca="false">'SALES-1 Model'!AM115</f>
        <v>0</v>
      </c>
      <c r="AN108" s="216" t="n">
        <f aca="false">'SALES-1 Model'!AN115</f>
        <v>0</v>
      </c>
      <c r="AO108" s="216" t="n">
        <f aca="false">'SALES-1 Model'!AO115</f>
        <v>0</v>
      </c>
      <c r="AP108" s="216" t="n">
        <f aca="false">'SALES-1 Model'!AP115</f>
        <v>0</v>
      </c>
      <c r="AQ108" s="216" t="n">
        <f aca="false">'SALES-1 Model'!AQ115</f>
        <v>0</v>
      </c>
      <c r="AR108" s="216" t="n">
        <f aca="false">'SALES-1 Model'!AR115</f>
        <v>0</v>
      </c>
      <c r="AS108" s="216" t="n">
        <f aca="false">'SALES-1 Model'!AS115</f>
        <v>0</v>
      </c>
      <c r="AT108" s="216" t="n">
        <f aca="false">'SALES-1 Model'!AT115</f>
        <v>0</v>
      </c>
      <c r="AU108" s="216" t="n">
        <f aca="false">'SALES-1 Model'!AU115</f>
        <v>0</v>
      </c>
      <c r="AV108" s="216" t="n">
        <f aca="false">'SALES-1 Model'!AV115</f>
        <v>0</v>
      </c>
      <c r="AW108" s="216" t="n">
        <f aca="false">'SALES-1 Model'!AW115</f>
        <v>0</v>
      </c>
      <c r="AX108" s="216" t="n">
        <f aca="false">'SALES-1 Model'!AX115</f>
        <v>0</v>
      </c>
      <c r="AY108" s="216" t="n">
        <f aca="false">'SALES-1 Model'!AY115</f>
        <v>0</v>
      </c>
      <c r="AZ108" s="216" t="n">
        <f aca="false">'SALES-1 Model'!AZ115</f>
        <v>0</v>
      </c>
      <c r="BA108" s="216" t="n">
        <f aca="false">'SALES-1 Model'!BA115</f>
        <v>0</v>
      </c>
      <c r="BB108" s="216" t="n">
        <f aca="false">'SALES-1 Model'!BB115</f>
        <v>0</v>
      </c>
      <c r="BC108" s="216" t="n">
        <f aca="false">'SALES-1 Model'!BC115</f>
        <v>0</v>
      </c>
      <c r="BD108" s="216" t="n">
        <f aca="false">'SALES-1 Model'!BD115</f>
        <v>0</v>
      </c>
      <c r="BE108" s="216" t="n">
        <f aca="false">'SALES-1 Model'!BE115</f>
        <v>0</v>
      </c>
      <c r="BF108" s="216" t="n">
        <f aca="false">'SALES-1 Model'!BF115</f>
        <v>0</v>
      </c>
      <c r="BG108" s="216" t="n">
        <f aca="false">'SALES-1 Model'!BG115</f>
        <v>0</v>
      </c>
      <c r="BH108" s="216" t="n">
        <f aca="false">'SALES-1 Model'!BH115</f>
        <v>0</v>
      </c>
      <c r="BI108" s="216" t="n">
        <f aca="false">'SALES-1 Model'!BI115</f>
        <v>0</v>
      </c>
      <c r="BJ108" s="216" t="n">
        <f aca="false">'SALES-1 Model'!BJ115</f>
        <v>0</v>
      </c>
      <c r="BK108" s="216" t="n">
        <f aca="false">'SALES-1 Model'!BK115</f>
        <v>0</v>
      </c>
      <c r="BL108" s="216" t="n">
        <f aca="false">'SALES-1 Model'!BL115</f>
        <v>0</v>
      </c>
      <c r="BM108" s="216" t="n">
        <f aca="false">'SALES-1 Model'!BM115</f>
        <v>0</v>
      </c>
      <c r="BN108" s="216" t="n">
        <f aca="false">'SALES-1 Model'!BN115</f>
        <v>0</v>
      </c>
      <c r="BO108" s="216" t="n">
        <f aca="false">'SALES-1 Model'!BO115</f>
        <v>0</v>
      </c>
      <c r="BP108" s="216" t="n">
        <f aca="false">'SALES-1 Model'!BP115</f>
        <v>0</v>
      </c>
      <c r="BQ108" s="216" t="n">
        <f aca="false">'SALES-1 Model'!BQ115</f>
        <v>0</v>
      </c>
      <c r="BR108" s="216" t="n">
        <f aca="false">'SALES-1 Model'!BR115</f>
        <v>0</v>
      </c>
      <c r="BS108" s="216" t="n">
        <f aca="false">'SALES-1 Model'!BS115</f>
        <v>0</v>
      </c>
      <c r="BT108" s="216" t="n">
        <f aca="false">'SALES-1 Model'!BT115</f>
        <v>0</v>
      </c>
      <c r="BU108" s="216" t="n">
        <f aca="false">'SALES-1 Model'!BU115</f>
        <v>0</v>
      </c>
      <c r="BV108" s="216" t="n">
        <f aca="false">'SALES-1 Model'!BV115</f>
        <v>0</v>
      </c>
      <c r="BW108" s="216" t="n">
        <f aca="false">'SALES-1 Model'!BW115</f>
        <v>0</v>
      </c>
      <c r="BX108" s="216" t="n">
        <f aca="false">'SALES-1 Model'!BX115</f>
        <v>0</v>
      </c>
      <c r="BY108" s="216" t="n">
        <f aca="false">'SALES-1 Model'!BY115</f>
        <v>0</v>
      </c>
      <c r="BZ108" s="216" t="n">
        <f aca="false">'SALES-1 Model'!BZ115</f>
        <v>0</v>
      </c>
      <c r="CA108" s="216" t="n">
        <f aca="false">'SALES-1 Model'!CA115</f>
        <v>0</v>
      </c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380</v>
      </c>
      <c r="H109" s="29" t="s">
        <v>381</v>
      </c>
      <c r="I109" s="91" t="n">
        <v>0</v>
      </c>
      <c r="J109" s="215" t="n">
        <f aca="false">I109+'SALES-1 Model'!$K$116</f>
        <v>0</v>
      </c>
      <c r="K109" s="211" t="n">
        <f aca="false">'SALES-1 Model'!$K$116</f>
        <v>0</v>
      </c>
      <c r="L109" s="215" t="n">
        <f aca="false">'SALES-1 Model'!L116</f>
        <v>0</v>
      </c>
      <c r="M109" s="215" t="n">
        <f aca="false">'SALES-1 Model'!M116</f>
        <v>0</v>
      </c>
      <c r="N109" s="215" t="n">
        <f aca="false">'SALES-1 Model'!N116</f>
        <v>0</v>
      </c>
      <c r="O109" s="215" t="n">
        <f aca="false">'SALES-1 Model'!O116</f>
        <v>0</v>
      </c>
      <c r="P109" s="215" t="n">
        <f aca="false">'SALES-1 Model'!P116</f>
        <v>0</v>
      </c>
      <c r="Q109" s="93" t="s">
        <v>252</v>
      </c>
      <c r="R109" s="16" t="str">
        <f aca="false">IF(K109=P109, "", "Error")</f>
        <v/>
      </c>
      <c r="T109" s="215" t="n">
        <f aca="false">'SALES-1 Model'!T116</f>
        <v>0</v>
      </c>
      <c r="U109" s="215" t="n">
        <f aca="false">'SALES-1 Model'!U116</f>
        <v>0</v>
      </c>
      <c r="V109" s="215" t="n">
        <f aca="false">'SALES-1 Model'!V116</f>
        <v>0</v>
      </c>
      <c r="W109" s="215" t="n">
        <f aca="false">'SALES-1 Model'!W116</f>
        <v>0</v>
      </c>
      <c r="X109" s="215" t="n">
        <f aca="false">'SALES-1 Model'!X116</f>
        <v>0</v>
      </c>
      <c r="Y109" s="215" t="n">
        <f aca="false">'SALES-1 Model'!Y116</f>
        <v>0</v>
      </c>
      <c r="Z109" s="215" t="n">
        <f aca="false">'SALES-1 Model'!Z116</f>
        <v>0</v>
      </c>
      <c r="AA109" s="215" t="n">
        <f aca="false">'SALES-1 Model'!AA116</f>
        <v>0</v>
      </c>
      <c r="AB109" s="215" t="n">
        <f aca="false">'SALES-1 Model'!AB116</f>
        <v>0</v>
      </c>
      <c r="AC109" s="215" t="n">
        <f aca="false">'SALES-1 Model'!AC116</f>
        <v>0</v>
      </c>
      <c r="AD109" s="215" t="n">
        <f aca="false">'SALES-1 Model'!AD116</f>
        <v>0</v>
      </c>
      <c r="AE109" s="216" t="n">
        <f aca="false">'SALES-1 Model'!AE116</f>
        <v>0</v>
      </c>
      <c r="AF109" s="216" t="n">
        <f aca="false">'SALES-1 Model'!AF116</f>
        <v>0</v>
      </c>
      <c r="AG109" s="216" t="n">
        <f aca="false">'SALES-1 Model'!AG116</f>
        <v>0</v>
      </c>
      <c r="AH109" s="216" t="n">
        <f aca="false">'SALES-1 Model'!AH116</f>
        <v>0</v>
      </c>
      <c r="AI109" s="216" t="n">
        <f aca="false">'SALES-1 Model'!AI116</f>
        <v>0</v>
      </c>
      <c r="AJ109" s="216" t="n">
        <f aca="false">'SALES-1 Model'!AJ116</f>
        <v>0</v>
      </c>
      <c r="AK109" s="216" t="n">
        <f aca="false">'SALES-1 Model'!AK116</f>
        <v>0</v>
      </c>
      <c r="AL109" s="216" t="n">
        <f aca="false">'SALES-1 Model'!AL116</f>
        <v>0</v>
      </c>
      <c r="AM109" s="216" t="n">
        <f aca="false">'SALES-1 Model'!AM116</f>
        <v>0</v>
      </c>
      <c r="AN109" s="216" t="n">
        <f aca="false">'SALES-1 Model'!AN116</f>
        <v>0</v>
      </c>
      <c r="AO109" s="216" t="n">
        <f aca="false">'SALES-1 Model'!AO116</f>
        <v>0</v>
      </c>
      <c r="AP109" s="216" t="n">
        <f aca="false">'SALES-1 Model'!AP116</f>
        <v>0</v>
      </c>
      <c r="AQ109" s="216" t="n">
        <f aca="false">'SALES-1 Model'!AQ116</f>
        <v>0</v>
      </c>
      <c r="AR109" s="216" t="n">
        <f aca="false">'SALES-1 Model'!AR116</f>
        <v>0</v>
      </c>
      <c r="AS109" s="216" t="n">
        <f aca="false">'SALES-1 Model'!AS116</f>
        <v>0</v>
      </c>
      <c r="AT109" s="216" t="n">
        <f aca="false">'SALES-1 Model'!AT116</f>
        <v>0</v>
      </c>
      <c r="AU109" s="216" t="n">
        <f aca="false">'SALES-1 Model'!AU116</f>
        <v>0</v>
      </c>
      <c r="AV109" s="216" t="n">
        <f aca="false">'SALES-1 Model'!AV116</f>
        <v>0</v>
      </c>
      <c r="AW109" s="216" t="n">
        <f aca="false">'SALES-1 Model'!AW116</f>
        <v>0</v>
      </c>
      <c r="AX109" s="216" t="n">
        <f aca="false">'SALES-1 Model'!AX116</f>
        <v>0</v>
      </c>
      <c r="AY109" s="216" t="n">
        <f aca="false">'SALES-1 Model'!AY116</f>
        <v>0</v>
      </c>
      <c r="AZ109" s="216" t="n">
        <f aca="false">'SALES-1 Model'!AZ116</f>
        <v>0</v>
      </c>
      <c r="BA109" s="216" t="n">
        <f aca="false">'SALES-1 Model'!BA116</f>
        <v>0</v>
      </c>
      <c r="BB109" s="216" t="n">
        <f aca="false">'SALES-1 Model'!BB116</f>
        <v>0</v>
      </c>
      <c r="BC109" s="216" t="n">
        <f aca="false">'SALES-1 Model'!BC116</f>
        <v>0</v>
      </c>
      <c r="BD109" s="216" t="n">
        <f aca="false">'SALES-1 Model'!BD116</f>
        <v>0</v>
      </c>
      <c r="BE109" s="216" t="n">
        <f aca="false">'SALES-1 Model'!BE116</f>
        <v>0</v>
      </c>
      <c r="BF109" s="216" t="n">
        <f aca="false">'SALES-1 Model'!BF116</f>
        <v>0</v>
      </c>
      <c r="BG109" s="216" t="n">
        <f aca="false">'SALES-1 Model'!BG116</f>
        <v>0</v>
      </c>
      <c r="BH109" s="216" t="n">
        <f aca="false">'SALES-1 Model'!BH116</f>
        <v>0</v>
      </c>
      <c r="BI109" s="216" t="n">
        <f aca="false">'SALES-1 Model'!BI116</f>
        <v>0</v>
      </c>
      <c r="BJ109" s="216" t="n">
        <f aca="false">'SALES-1 Model'!BJ116</f>
        <v>0</v>
      </c>
      <c r="BK109" s="216" t="n">
        <f aca="false">'SALES-1 Model'!BK116</f>
        <v>0</v>
      </c>
      <c r="BL109" s="216" t="n">
        <f aca="false">'SALES-1 Model'!BL116</f>
        <v>0</v>
      </c>
      <c r="BM109" s="216" t="n">
        <f aca="false">'SALES-1 Model'!BM116</f>
        <v>0</v>
      </c>
      <c r="BN109" s="216" t="n">
        <f aca="false">'SALES-1 Model'!BN116</f>
        <v>0</v>
      </c>
      <c r="BO109" s="216" t="n">
        <f aca="false">'SALES-1 Model'!BO116</f>
        <v>0</v>
      </c>
      <c r="BP109" s="216" t="n">
        <f aca="false">'SALES-1 Model'!BP116</f>
        <v>0</v>
      </c>
      <c r="BQ109" s="216" t="n">
        <f aca="false">'SALES-1 Model'!BQ116</f>
        <v>0</v>
      </c>
      <c r="BR109" s="216" t="n">
        <f aca="false">'SALES-1 Model'!BR116</f>
        <v>0</v>
      </c>
      <c r="BS109" s="216" t="n">
        <f aca="false">'SALES-1 Model'!BS116</f>
        <v>0</v>
      </c>
      <c r="BT109" s="216" t="n">
        <f aca="false">'SALES-1 Model'!BT116</f>
        <v>0</v>
      </c>
      <c r="BU109" s="216" t="n">
        <f aca="false">'SALES-1 Model'!BU116</f>
        <v>0</v>
      </c>
      <c r="BV109" s="216" t="n">
        <f aca="false">'SALES-1 Model'!BV116</f>
        <v>0</v>
      </c>
      <c r="BW109" s="216" t="n">
        <f aca="false">'SALES-1 Model'!BW116</f>
        <v>0</v>
      </c>
      <c r="BX109" s="216" t="n">
        <f aca="false">'SALES-1 Model'!BX116</f>
        <v>0</v>
      </c>
      <c r="BY109" s="216" t="n">
        <f aca="false">'SALES-1 Model'!BY116</f>
        <v>0</v>
      </c>
      <c r="BZ109" s="216" t="n">
        <f aca="false">'SALES-1 Model'!BZ116</f>
        <v>0</v>
      </c>
      <c r="CA109" s="216" t="n">
        <f aca="false">'SALES-1 Model'!CA116</f>
        <v>0</v>
      </c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4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4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134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141</v>
      </c>
      <c r="F115" s="109"/>
      <c r="G115" s="109"/>
      <c r="H115" s="109"/>
      <c r="I115" s="221" t="n">
        <f aca="false">SUM(-I96, I104, I112)</f>
        <v>0</v>
      </c>
      <c r="J115" s="221" t="n">
        <f aca="false">SUM(-J96, J104, J112)</f>
        <v>0</v>
      </c>
      <c r="K115" s="221" t="n">
        <f aca="false">SUM(-K96, K104, K112)</f>
        <v>0</v>
      </c>
      <c r="L115" s="221" t="n">
        <f aca="false">SUM(-L96, L104, L112)</f>
        <v>0</v>
      </c>
      <c r="M115" s="221" t="n">
        <f aca="false">SUM(-M96, M104, M112)</f>
        <v>0</v>
      </c>
      <c r="N115" s="221" t="n">
        <f aca="false">SUM(-N96, N104, N112)</f>
        <v>0</v>
      </c>
      <c r="O115" s="221" t="n">
        <f aca="false">SUM(-O96, O104, O112)</f>
        <v>0</v>
      </c>
      <c r="P115" s="221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2"/>
      <c r="J116" s="222"/>
      <c r="K116" s="222"/>
      <c r="L116" s="222"/>
      <c r="M116" s="222"/>
      <c r="N116" s="222"/>
      <c r="O116" s="222"/>
      <c r="P116" s="222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142</v>
      </c>
      <c r="F117" s="123"/>
      <c r="G117" s="123"/>
      <c r="H117" s="123"/>
      <c r="I117" s="223" t="n">
        <f aca="false">SUM(I88, -I115)</f>
        <v>0</v>
      </c>
      <c r="J117" s="223" t="n">
        <f aca="false">SUM(J88, -J115)</f>
        <v>0</v>
      </c>
      <c r="K117" s="224" t="n">
        <f aca="false">SUM(K88, -K115)</f>
        <v>0</v>
      </c>
      <c r="L117" s="223" t="n">
        <f aca="false">SUM(L88, -L115)</f>
        <v>0</v>
      </c>
      <c r="M117" s="223" t="n">
        <f aca="false">SUM(M88, -M115)</f>
        <v>0</v>
      </c>
      <c r="N117" s="223" t="n">
        <f aca="false">SUM(N88, -N115)</f>
        <v>0</v>
      </c>
      <c r="O117" s="223" t="n">
        <f aca="false">SUM(O88, -O115)</f>
        <v>0</v>
      </c>
      <c r="P117" s="223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143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118</v>
      </c>
      <c r="CD120" s="19"/>
      <c r="CE120" s="19"/>
      <c r="CF120" s="19"/>
      <c r="CG120" s="19"/>
      <c r="CI120" s="19" t="s">
        <v>119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144</v>
      </c>
      <c r="E123" s="31"/>
      <c r="F123" s="31"/>
      <c r="G123" s="31"/>
      <c r="H123" s="31"/>
      <c r="I123" s="31"/>
      <c r="J123" s="31"/>
      <c r="K123" s="30" t="s">
        <v>121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123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145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146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147</v>
      </c>
      <c r="F130" s="109"/>
      <c r="G130" s="109"/>
      <c r="H130" s="109"/>
      <c r="I130" s="132"/>
      <c r="J130" s="132"/>
      <c r="K130" s="225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148</v>
      </c>
      <c r="E133" s="31"/>
      <c r="F133" s="31"/>
      <c r="G133" s="31"/>
      <c r="H133" s="31"/>
      <c r="I133" s="31"/>
      <c r="J133" s="31"/>
      <c r="K133" s="30" t="s">
        <v>121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149</v>
      </c>
      <c r="Q135" s="16"/>
      <c r="R135" s="16"/>
    </row>
    <row r="136" s="14" customFormat="true" ht="16.5" hidden="false" customHeight="true" outlineLevel="0" collapsed="false">
      <c r="D136" s="134"/>
      <c r="E136" s="91" t="s">
        <v>365</v>
      </c>
      <c r="L136" s="215" t="n">
        <f aca="false">'SALES-1 Model'!L100</f>
        <v>0.105306666666667</v>
      </c>
      <c r="M136" s="215" t="n">
        <f aca="false">'SALES-1 Model'!M100</f>
        <v>0.421226666666667</v>
      </c>
      <c r="N136" s="215" t="n">
        <f aca="false">'SALES-1 Model'!N100</f>
        <v>0</v>
      </c>
      <c r="O136" s="215" t="n">
        <f aca="false">'SALES-1 Model'!O100</f>
        <v>0</v>
      </c>
      <c r="P136" s="215" t="n">
        <f aca="false">'SALES-1 Model'!P100</f>
        <v>0</v>
      </c>
      <c r="Q136" s="93" t="s">
        <v>252</v>
      </c>
      <c r="R136" s="16"/>
      <c r="T136" s="226" t="n">
        <f aca="false">'SALES-1 Model'!T100</f>
        <v>0</v>
      </c>
      <c r="U136" s="226" t="n">
        <f aca="false">'SALES-1 Model'!U100</f>
        <v>0</v>
      </c>
      <c r="V136" s="226" t="n">
        <f aca="false">'SALES-1 Model'!V100</f>
        <v>0</v>
      </c>
      <c r="W136" s="226" t="n">
        <f aca="false">'SALES-1 Model'!W100</f>
        <v>0</v>
      </c>
      <c r="X136" s="226" t="n">
        <f aca="false">'SALES-1 Model'!X100</f>
        <v>0</v>
      </c>
      <c r="Y136" s="226" t="n">
        <f aca="false">'SALES-1 Model'!Y100</f>
        <v>0</v>
      </c>
      <c r="Z136" s="226" t="n">
        <f aca="false">'SALES-1 Model'!Z100</f>
        <v>0</v>
      </c>
      <c r="AA136" s="226" t="n">
        <f aca="false">'SALES-1 Model'!AA100</f>
        <v>0</v>
      </c>
      <c r="AB136" s="226" t="n">
        <f aca="false">'SALES-1 Model'!AB100</f>
        <v>0</v>
      </c>
      <c r="AC136" s="226" t="n">
        <f aca="false">'SALES-1 Model'!AC100</f>
        <v>0</v>
      </c>
      <c r="AD136" s="226" t="n">
        <f aca="false">'SALES-1 Model'!AD100</f>
        <v>0</v>
      </c>
      <c r="AE136" s="226" t="n">
        <f aca="false">'SALES-1 Model'!AE100</f>
        <v>0.105306666666667</v>
      </c>
      <c r="AF136" s="226" t="n">
        <f aca="false">'SALES-1 Model'!AF100</f>
        <v>0.105306666666667</v>
      </c>
      <c r="AG136" s="226" t="n">
        <f aca="false">'SALES-1 Model'!AG100</f>
        <v>0.105306666666667</v>
      </c>
      <c r="AH136" s="226" t="n">
        <f aca="false">'SALES-1 Model'!AH100</f>
        <v>0.105306666666667</v>
      </c>
      <c r="AI136" s="226" t="n">
        <f aca="false">'SALES-1 Model'!AI100</f>
        <v>0.105306666666667</v>
      </c>
      <c r="AJ136" s="226" t="n">
        <f aca="false">'SALES-1 Model'!AJ100</f>
        <v>0</v>
      </c>
      <c r="AK136" s="226" t="n">
        <f aca="false">'SALES-1 Model'!AK100</f>
        <v>0</v>
      </c>
      <c r="AL136" s="226" t="n">
        <f aca="false">'SALES-1 Model'!AL100</f>
        <v>0</v>
      </c>
      <c r="AM136" s="226" t="n">
        <f aca="false">'SALES-1 Model'!AM100</f>
        <v>0</v>
      </c>
      <c r="AN136" s="226" t="n">
        <f aca="false">'SALES-1 Model'!AN100</f>
        <v>0</v>
      </c>
      <c r="AO136" s="226" t="n">
        <f aca="false">'SALES-1 Model'!AO100</f>
        <v>0</v>
      </c>
      <c r="AP136" s="226" t="n">
        <f aca="false">'SALES-1 Model'!AP100</f>
        <v>0</v>
      </c>
      <c r="AQ136" s="226" t="n">
        <f aca="false">'SALES-1 Model'!AQ100</f>
        <v>0</v>
      </c>
      <c r="AR136" s="226" t="n">
        <f aca="false">'SALES-1 Model'!AR100</f>
        <v>0</v>
      </c>
      <c r="AS136" s="226" t="n">
        <f aca="false">'SALES-1 Model'!AS100</f>
        <v>0</v>
      </c>
      <c r="AT136" s="226" t="n">
        <f aca="false">'SALES-1 Model'!AT100</f>
        <v>0</v>
      </c>
      <c r="AU136" s="226" t="n">
        <f aca="false">'SALES-1 Model'!AU100</f>
        <v>0</v>
      </c>
      <c r="AV136" s="226" t="n">
        <f aca="false">'SALES-1 Model'!AV100</f>
        <v>0</v>
      </c>
      <c r="AW136" s="226" t="n">
        <f aca="false">'SALES-1 Model'!AW100</f>
        <v>0</v>
      </c>
      <c r="AX136" s="226" t="n">
        <f aca="false">'SALES-1 Model'!AX100</f>
        <v>0</v>
      </c>
      <c r="AY136" s="226" t="n">
        <f aca="false">'SALES-1 Model'!AY100</f>
        <v>0</v>
      </c>
      <c r="AZ136" s="226" t="n">
        <f aca="false">'SALES-1 Model'!AZ100</f>
        <v>0</v>
      </c>
      <c r="BA136" s="226" t="n">
        <f aca="false">'SALES-1 Model'!BA100</f>
        <v>0</v>
      </c>
      <c r="BB136" s="226" t="n">
        <f aca="false">'SALES-1 Model'!BB100</f>
        <v>0</v>
      </c>
      <c r="BC136" s="226" t="n">
        <f aca="false">'SALES-1 Model'!BC100</f>
        <v>0</v>
      </c>
      <c r="BD136" s="226" t="n">
        <f aca="false">'SALES-1 Model'!BD100</f>
        <v>0</v>
      </c>
      <c r="BE136" s="226" t="n">
        <f aca="false">'SALES-1 Model'!BE100</f>
        <v>0</v>
      </c>
      <c r="BF136" s="226" t="n">
        <f aca="false">'SALES-1 Model'!BF100</f>
        <v>0</v>
      </c>
      <c r="BG136" s="226" t="n">
        <f aca="false">'SALES-1 Model'!BG100</f>
        <v>0</v>
      </c>
      <c r="BH136" s="226" t="n">
        <f aca="false">'SALES-1 Model'!BH100</f>
        <v>0</v>
      </c>
      <c r="BI136" s="226" t="n">
        <f aca="false">'SALES-1 Model'!BI100</f>
        <v>0</v>
      </c>
      <c r="BJ136" s="226" t="n">
        <f aca="false">'SALES-1 Model'!BJ100</f>
        <v>0</v>
      </c>
      <c r="BK136" s="226" t="n">
        <f aca="false">'SALES-1 Model'!BK100</f>
        <v>0</v>
      </c>
      <c r="BL136" s="226" t="n">
        <f aca="false">'SALES-1 Model'!BL100</f>
        <v>0</v>
      </c>
      <c r="BM136" s="226" t="n">
        <f aca="false">'SALES-1 Model'!BM100</f>
        <v>0</v>
      </c>
      <c r="BN136" s="226" t="n">
        <f aca="false">'SALES-1 Model'!BN100</f>
        <v>0</v>
      </c>
      <c r="BO136" s="226" t="n">
        <f aca="false">'SALES-1 Model'!BO100</f>
        <v>0</v>
      </c>
      <c r="BP136" s="226" t="n">
        <f aca="false">'SALES-1 Model'!BP100</f>
        <v>0</v>
      </c>
      <c r="BQ136" s="226" t="n">
        <f aca="false">'SALES-1 Model'!BQ100</f>
        <v>0</v>
      </c>
      <c r="BR136" s="226" t="n">
        <f aca="false">'SALES-1 Model'!BR100</f>
        <v>0</v>
      </c>
      <c r="BS136" s="226" t="n">
        <f aca="false">'SALES-1 Model'!BS100</f>
        <v>0</v>
      </c>
      <c r="BT136" s="226" t="n">
        <f aca="false">'SALES-1 Model'!BT100</f>
        <v>0</v>
      </c>
      <c r="BU136" s="226" t="n">
        <f aca="false">'SALES-1 Model'!BU100</f>
        <v>0</v>
      </c>
      <c r="BV136" s="226" t="n">
        <f aca="false">'SALES-1 Model'!BV100</f>
        <v>0</v>
      </c>
      <c r="BW136" s="226" t="n">
        <f aca="false">'SALES-1 Model'!BW100</f>
        <v>0</v>
      </c>
      <c r="BX136" s="226" t="n">
        <f aca="false">'SALES-1 Model'!BX100</f>
        <v>0</v>
      </c>
      <c r="BY136" s="226" t="n">
        <f aca="false">'SALES-1 Model'!BY100</f>
        <v>0</v>
      </c>
      <c r="BZ136" s="227" t="n">
        <f aca="false">'SALES-1 Model'!BZ100</f>
        <v>0</v>
      </c>
      <c r="CA136" s="227" t="n">
        <f aca="false">'SALES-1 Model'!CA100</f>
        <v>0</v>
      </c>
      <c r="CC136" s="79" t="n">
        <f aca="false">SUMIFS($T136:$CA136, $T$1:$CA$1, CC$63)</f>
        <v>0.105306666666667</v>
      </c>
      <c r="CD136" s="79" t="n">
        <f aca="false">SUMIFS($T136:$CA136, $T$1:$CA$1, CD$63)</f>
        <v>0.421226666666667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366</v>
      </c>
      <c r="L137" s="215" t="n">
        <f aca="false">'SALES-1 Model'!L101</f>
        <v>0</v>
      </c>
      <c r="M137" s="215" t="n">
        <f aca="false">'SALES-1 Model'!M101</f>
        <v>0</v>
      </c>
      <c r="N137" s="215" t="n">
        <f aca="false">'SALES-1 Model'!N101</f>
        <v>0</v>
      </c>
      <c r="O137" s="215" t="n">
        <f aca="false">'SALES-1 Model'!O101</f>
        <v>0</v>
      </c>
      <c r="P137" s="215" t="n">
        <f aca="false">'SALES-1 Model'!P101</f>
        <v>0</v>
      </c>
      <c r="Q137" s="93" t="s">
        <v>252</v>
      </c>
      <c r="R137" s="16"/>
      <c r="T137" s="226" t="n">
        <f aca="false">'SALES-1 Model'!T101</f>
        <v>0</v>
      </c>
      <c r="U137" s="226" t="n">
        <f aca="false">'SALES-1 Model'!U101</f>
        <v>0</v>
      </c>
      <c r="V137" s="226" t="n">
        <f aca="false">'SALES-1 Model'!V101</f>
        <v>0</v>
      </c>
      <c r="W137" s="226" t="n">
        <f aca="false">'SALES-1 Model'!W101</f>
        <v>0</v>
      </c>
      <c r="X137" s="226" t="n">
        <f aca="false">'SALES-1 Model'!X101</f>
        <v>0</v>
      </c>
      <c r="Y137" s="226" t="n">
        <f aca="false">'SALES-1 Model'!Y101</f>
        <v>0</v>
      </c>
      <c r="Z137" s="226" t="n">
        <f aca="false">'SALES-1 Model'!Z101</f>
        <v>0</v>
      </c>
      <c r="AA137" s="226" t="n">
        <f aca="false">'SALES-1 Model'!AA101</f>
        <v>0</v>
      </c>
      <c r="AB137" s="226" t="n">
        <f aca="false">'SALES-1 Model'!AB101</f>
        <v>0</v>
      </c>
      <c r="AC137" s="226" t="n">
        <f aca="false">'SALES-1 Model'!AC101</f>
        <v>0</v>
      </c>
      <c r="AD137" s="226" t="n">
        <f aca="false">'SALES-1 Model'!AD101</f>
        <v>0</v>
      </c>
      <c r="AE137" s="226" t="n">
        <f aca="false">'SALES-1 Model'!AE101</f>
        <v>0</v>
      </c>
      <c r="AF137" s="226" t="n">
        <f aca="false">'SALES-1 Model'!AF101</f>
        <v>0</v>
      </c>
      <c r="AG137" s="226" t="n">
        <f aca="false">'SALES-1 Model'!AG101</f>
        <v>0</v>
      </c>
      <c r="AH137" s="226" t="n">
        <f aca="false">'SALES-1 Model'!AH101</f>
        <v>0</v>
      </c>
      <c r="AI137" s="226" t="n">
        <f aca="false">'SALES-1 Model'!AI101</f>
        <v>0</v>
      </c>
      <c r="AJ137" s="226" t="n">
        <f aca="false">'SALES-1 Model'!AJ101</f>
        <v>0</v>
      </c>
      <c r="AK137" s="226" t="n">
        <f aca="false">'SALES-1 Model'!AK101</f>
        <v>0</v>
      </c>
      <c r="AL137" s="226" t="n">
        <f aca="false">'SALES-1 Model'!AL101</f>
        <v>0</v>
      </c>
      <c r="AM137" s="226" t="n">
        <f aca="false">'SALES-1 Model'!AM101</f>
        <v>0</v>
      </c>
      <c r="AN137" s="226" t="n">
        <f aca="false">'SALES-1 Model'!AN101</f>
        <v>0</v>
      </c>
      <c r="AO137" s="226" t="n">
        <f aca="false">'SALES-1 Model'!AO101</f>
        <v>0</v>
      </c>
      <c r="AP137" s="226" t="n">
        <f aca="false">'SALES-1 Model'!AP101</f>
        <v>0</v>
      </c>
      <c r="AQ137" s="226" t="n">
        <f aca="false">'SALES-1 Model'!AQ101</f>
        <v>0</v>
      </c>
      <c r="AR137" s="226" t="n">
        <f aca="false">'SALES-1 Model'!AR101</f>
        <v>0</v>
      </c>
      <c r="AS137" s="226" t="n">
        <f aca="false">'SALES-1 Model'!AS101</f>
        <v>0</v>
      </c>
      <c r="AT137" s="226" t="n">
        <f aca="false">'SALES-1 Model'!AT101</f>
        <v>0</v>
      </c>
      <c r="AU137" s="226" t="n">
        <f aca="false">'SALES-1 Model'!AU101</f>
        <v>0</v>
      </c>
      <c r="AV137" s="226" t="n">
        <f aca="false">'SALES-1 Model'!AV101</f>
        <v>0</v>
      </c>
      <c r="AW137" s="226" t="n">
        <f aca="false">'SALES-1 Model'!AW101</f>
        <v>0</v>
      </c>
      <c r="AX137" s="226" t="n">
        <f aca="false">'SALES-1 Model'!AX101</f>
        <v>0</v>
      </c>
      <c r="AY137" s="226" t="n">
        <f aca="false">'SALES-1 Model'!AY101</f>
        <v>0</v>
      </c>
      <c r="AZ137" s="226" t="n">
        <f aca="false">'SALES-1 Model'!AZ101</f>
        <v>0</v>
      </c>
      <c r="BA137" s="226" t="n">
        <f aca="false">'SALES-1 Model'!BA101</f>
        <v>0</v>
      </c>
      <c r="BB137" s="226" t="n">
        <f aca="false">'SALES-1 Model'!BB101</f>
        <v>0</v>
      </c>
      <c r="BC137" s="226" t="n">
        <f aca="false">'SALES-1 Model'!BC101</f>
        <v>0</v>
      </c>
      <c r="BD137" s="226" t="n">
        <f aca="false">'SALES-1 Model'!BD101</f>
        <v>0</v>
      </c>
      <c r="BE137" s="226" t="n">
        <f aca="false">'SALES-1 Model'!BE101</f>
        <v>0</v>
      </c>
      <c r="BF137" s="226" t="n">
        <f aca="false">'SALES-1 Model'!BF101</f>
        <v>0</v>
      </c>
      <c r="BG137" s="226" t="n">
        <f aca="false">'SALES-1 Model'!BG101</f>
        <v>0</v>
      </c>
      <c r="BH137" s="226" t="n">
        <f aca="false">'SALES-1 Model'!BH101</f>
        <v>0</v>
      </c>
      <c r="BI137" s="226" t="n">
        <f aca="false">'SALES-1 Model'!BI101</f>
        <v>0</v>
      </c>
      <c r="BJ137" s="226" t="n">
        <f aca="false">'SALES-1 Model'!BJ101</f>
        <v>0</v>
      </c>
      <c r="BK137" s="226" t="n">
        <f aca="false">'SALES-1 Model'!BK101</f>
        <v>0</v>
      </c>
      <c r="BL137" s="226" t="n">
        <f aca="false">'SALES-1 Model'!BL101</f>
        <v>0</v>
      </c>
      <c r="BM137" s="226" t="n">
        <f aca="false">'SALES-1 Model'!BM101</f>
        <v>0</v>
      </c>
      <c r="BN137" s="226" t="n">
        <f aca="false">'SALES-1 Model'!BN101</f>
        <v>0</v>
      </c>
      <c r="BO137" s="226" t="n">
        <f aca="false">'SALES-1 Model'!BO101</f>
        <v>0</v>
      </c>
      <c r="BP137" s="226" t="n">
        <f aca="false">'SALES-1 Model'!BP101</f>
        <v>0</v>
      </c>
      <c r="BQ137" s="226" t="n">
        <f aca="false">'SALES-1 Model'!BQ101</f>
        <v>0</v>
      </c>
      <c r="BR137" s="226" t="n">
        <f aca="false">'SALES-1 Model'!BR101</f>
        <v>0</v>
      </c>
      <c r="BS137" s="226" t="n">
        <f aca="false">'SALES-1 Model'!BS101</f>
        <v>0</v>
      </c>
      <c r="BT137" s="226" t="n">
        <f aca="false">'SALES-1 Model'!BT101</f>
        <v>0</v>
      </c>
      <c r="BU137" s="226" t="n">
        <f aca="false">'SALES-1 Model'!BU101</f>
        <v>0</v>
      </c>
      <c r="BV137" s="226" t="n">
        <f aca="false">'SALES-1 Model'!BV101</f>
        <v>0</v>
      </c>
      <c r="BW137" s="226" t="n">
        <f aca="false">'SALES-1 Model'!BW101</f>
        <v>0</v>
      </c>
      <c r="BX137" s="226" t="n">
        <f aca="false">'SALES-1 Model'!BX101</f>
        <v>0</v>
      </c>
      <c r="BY137" s="226" t="n">
        <f aca="false">'SALES-1 Model'!BY101</f>
        <v>0</v>
      </c>
      <c r="BZ137" s="227" t="n">
        <f aca="false">'SALES-1 Model'!BZ101</f>
        <v>0</v>
      </c>
      <c r="CA137" s="227" t="n">
        <f aca="false">'SALES-1 Model'!CA101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151</v>
      </c>
      <c r="L138" s="82" t="n">
        <f aca="false">SUM(L136:L137)</f>
        <v>0.105306666666667</v>
      </c>
      <c r="M138" s="82" t="n">
        <f aca="false">SUM(M136:M137)</f>
        <v>0.421226666666667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0.105306666666667</v>
      </c>
      <c r="AF138" s="131" t="n">
        <f aca="false">SUM(AF136:AF137)</f>
        <v>0.105306666666667</v>
      </c>
      <c r="AG138" s="131" t="n">
        <f aca="false">SUM(AG136:AG137)</f>
        <v>0.105306666666667</v>
      </c>
      <c r="AH138" s="131" t="n">
        <f aca="false">SUM(AH136:AH137)</f>
        <v>0.105306666666667</v>
      </c>
      <c r="AI138" s="131" t="n">
        <f aca="false">SUM(AI136:AI137)</f>
        <v>0.105306666666667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0.105306666666667</v>
      </c>
      <c r="CD138" s="136" t="n">
        <f aca="false">SUM(CD136:CD137)</f>
        <v>0.421226666666667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152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367</v>
      </c>
      <c r="K141" s="29"/>
      <c r="L141" s="215" t="n">
        <f aca="false">'SALES-1 Model'!L102</f>
        <v>0.15796</v>
      </c>
      <c r="M141" s="215" t="n">
        <f aca="false">'SALES-1 Model'!M102</f>
        <v>0.598931666666667</v>
      </c>
      <c r="N141" s="215" t="n">
        <f aca="false">'SALES-1 Model'!N102</f>
        <v>0</v>
      </c>
      <c r="O141" s="215" t="n">
        <f aca="false">'SALES-1 Model'!O102</f>
        <v>0</v>
      </c>
      <c r="P141" s="215" t="n">
        <f aca="false">'SALES-1 Model'!P102</f>
        <v>0</v>
      </c>
      <c r="Q141" s="93" t="s">
        <v>252</v>
      </c>
      <c r="R141" s="16"/>
      <c r="T141" s="226" t="n">
        <f aca="false">'SALES-1 Model'!T102</f>
        <v>0</v>
      </c>
      <c r="U141" s="226" t="n">
        <f aca="false">'SALES-1 Model'!U102</f>
        <v>0</v>
      </c>
      <c r="V141" s="226" t="n">
        <f aca="false">'SALES-1 Model'!V102</f>
        <v>0</v>
      </c>
      <c r="W141" s="226" t="n">
        <f aca="false">'SALES-1 Model'!W102</f>
        <v>0</v>
      </c>
      <c r="X141" s="226" t="n">
        <f aca="false">'SALES-1 Model'!X102</f>
        <v>0</v>
      </c>
      <c r="Y141" s="226" t="n">
        <f aca="false">'SALES-1 Model'!Y102</f>
        <v>0</v>
      </c>
      <c r="Z141" s="226" t="n">
        <f aca="false">'SALES-1 Model'!Z102</f>
        <v>0</v>
      </c>
      <c r="AA141" s="226" t="n">
        <f aca="false">'SALES-1 Model'!AA102</f>
        <v>0</v>
      </c>
      <c r="AB141" s="226" t="n">
        <f aca="false">'SALES-1 Model'!AB102</f>
        <v>0</v>
      </c>
      <c r="AC141" s="226" t="n">
        <f aca="false">'SALES-1 Model'!AC102</f>
        <v>0.0658166666666667</v>
      </c>
      <c r="AD141" s="226" t="n">
        <f aca="false">'SALES-1 Model'!AD102</f>
        <v>0.0658166666666667</v>
      </c>
      <c r="AE141" s="226" t="n">
        <f aca="false">'SALES-1 Model'!AE102</f>
        <v>0.0263266666666667</v>
      </c>
      <c r="AF141" s="226" t="n">
        <f aca="false">'SALES-1 Model'!AF102</f>
        <v>0.0263266666666667</v>
      </c>
      <c r="AG141" s="226" t="n">
        <f aca="false">'SALES-1 Model'!AG102</f>
        <v>0.0263266666666667</v>
      </c>
      <c r="AH141" s="226" t="n">
        <f aca="false">'SALES-1 Model'!AH102</f>
        <v>0.0263266666666667</v>
      </c>
      <c r="AI141" s="226" t="n">
        <f aca="false">'SALES-1 Model'!AI102</f>
        <v>0.1085975</v>
      </c>
      <c r="AJ141" s="226" t="n">
        <f aca="false">'SALES-1 Model'!AJ102</f>
        <v>0.0822708333333333</v>
      </c>
      <c r="AK141" s="226" t="n">
        <f aca="false">'SALES-1 Model'!AK102</f>
        <v>0.0822708333333333</v>
      </c>
      <c r="AL141" s="226" t="n">
        <f aca="false">'SALES-1 Model'!AL102</f>
        <v>0.0822708333333333</v>
      </c>
      <c r="AM141" s="226" t="n">
        <f aca="false">'SALES-1 Model'!AM102</f>
        <v>0.0822708333333333</v>
      </c>
      <c r="AN141" s="226" t="n">
        <f aca="false">'SALES-1 Model'!AN102</f>
        <v>0.0822708333333333</v>
      </c>
      <c r="AO141" s="226" t="n">
        <f aca="false">'SALES-1 Model'!AO102</f>
        <v>0</v>
      </c>
      <c r="AP141" s="226" t="n">
        <f aca="false">'SALES-1 Model'!AP102</f>
        <v>0</v>
      </c>
      <c r="AQ141" s="226" t="n">
        <f aca="false">'SALES-1 Model'!AQ102</f>
        <v>0</v>
      </c>
      <c r="AR141" s="226" t="n">
        <f aca="false">'SALES-1 Model'!AR102</f>
        <v>0</v>
      </c>
      <c r="AS141" s="226" t="n">
        <f aca="false">'SALES-1 Model'!AS102</f>
        <v>0</v>
      </c>
      <c r="AT141" s="226" t="n">
        <f aca="false">'SALES-1 Model'!AT102</f>
        <v>0</v>
      </c>
      <c r="AU141" s="226" t="n">
        <f aca="false">'SALES-1 Model'!AU102</f>
        <v>0</v>
      </c>
      <c r="AV141" s="226" t="n">
        <f aca="false">'SALES-1 Model'!AV102</f>
        <v>0</v>
      </c>
      <c r="AW141" s="226" t="n">
        <f aca="false">'SALES-1 Model'!AW102</f>
        <v>0</v>
      </c>
      <c r="AX141" s="226" t="n">
        <f aca="false">'SALES-1 Model'!AX102</f>
        <v>0</v>
      </c>
      <c r="AY141" s="226" t="n">
        <f aca="false">'SALES-1 Model'!AY102</f>
        <v>0</v>
      </c>
      <c r="AZ141" s="226" t="n">
        <f aca="false">'SALES-1 Model'!AZ102</f>
        <v>0</v>
      </c>
      <c r="BA141" s="226" t="n">
        <f aca="false">'SALES-1 Model'!BA102</f>
        <v>0</v>
      </c>
      <c r="BB141" s="226" t="n">
        <f aca="false">'SALES-1 Model'!BB102</f>
        <v>0</v>
      </c>
      <c r="BC141" s="226" t="n">
        <f aca="false">'SALES-1 Model'!BC102</f>
        <v>0</v>
      </c>
      <c r="BD141" s="226" t="n">
        <f aca="false">'SALES-1 Model'!BD102</f>
        <v>0</v>
      </c>
      <c r="BE141" s="226" t="n">
        <f aca="false">'SALES-1 Model'!BE102</f>
        <v>0</v>
      </c>
      <c r="BF141" s="226" t="n">
        <f aca="false">'SALES-1 Model'!BF102</f>
        <v>0</v>
      </c>
      <c r="BG141" s="226" t="n">
        <f aca="false">'SALES-1 Model'!BG102</f>
        <v>0</v>
      </c>
      <c r="BH141" s="226" t="n">
        <f aca="false">'SALES-1 Model'!BH102</f>
        <v>0</v>
      </c>
      <c r="BI141" s="226" t="n">
        <f aca="false">'SALES-1 Model'!BI102</f>
        <v>0</v>
      </c>
      <c r="BJ141" s="226" t="n">
        <f aca="false">'SALES-1 Model'!BJ102</f>
        <v>0</v>
      </c>
      <c r="BK141" s="226" t="n">
        <f aca="false">'SALES-1 Model'!BK102</f>
        <v>0</v>
      </c>
      <c r="BL141" s="226" t="n">
        <f aca="false">'SALES-1 Model'!BL102</f>
        <v>0</v>
      </c>
      <c r="BM141" s="226" t="n">
        <f aca="false">'SALES-1 Model'!BM102</f>
        <v>0</v>
      </c>
      <c r="BN141" s="226" t="n">
        <f aca="false">'SALES-1 Model'!BN102</f>
        <v>0</v>
      </c>
      <c r="BO141" s="226" t="n">
        <f aca="false">'SALES-1 Model'!BO102</f>
        <v>0</v>
      </c>
      <c r="BP141" s="226" t="n">
        <f aca="false">'SALES-1 Model'!BP102</f>
        <v>0</v>
      </c>
      <c r="BQ141" s="226" t="n">
        <f aca="false">'SALES-1 Model'!BQ102</f>
        <v>0</v>
      </c>
      <c r="BR141" s="226" t="n">
        <f aca="false">'SALES-1 Model'!BR102</f>
        <v>0</v>
      </c>
      <c r="BS141" s="226" t="n">
        <f aca="false">'SALES-1 Model'!BS102</f>
        <v>0</v>
      </c>
      <c r="BT141" s="226" t="n">
        <f aca="false">'SALES-1 Model'!BT102</f>
        <v>0</v>
      </c>
      <c r="BU141" s="226" t="n">
        <f aca="false">'SALES-1 Model'!BU102</f>
        <v>0</v>
      </c>
      <c r="BV141" s="226" t="n">
        <f aca="false">'SALES-1 Model'!BV102</f>
        <v>0</v>
      </c>
      <c r="BW141" s="226" t="n">
        <f aca="false">'SALES-1 Model'!BW102</f>
        <v>0</v>
      </c>
      <c r="BX141" s="226" t="n">
        <f aca="false">'SALES-1 Model'!BX102</f>
        <v>0</v>
      </c>
      <c r="BY141" s="226" t="n">
        <f aca="false">'SALES-1 Model'!BY102</f>
        <v>0</v>
      </c>
      <c r="BZ141" s="228" t="n">
        <f aca="false">'SALES-1 Model'!BZ102</f>
        <v>0</v>
      </c>
      <c r="CA141" s="228" t="n">
        <f aca="false">'SALES-1 Model'!CA102</f>
        <v>0</v>
      </c>
      <c r="CC141" s="79" t="n">
        <f aca="false">SUMIFS($T141:$CA141, $T$1:$CA$1, CC$63)</f>
        <v>0.15796</v>
      </c>
      <c r="CD141" s="79" t="n">
        <f aca="false">SUMIFS($T141:$CA141, $T$1:$CA$1, CD$63)</f>
        <v>0.598931666666667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368</v>
      </c>
      <c r="L142" s="215" t="n">
        <f aca="false">'SALES-1 Model'!L103</f>
        <v>0.0804279666666667</v>
      </c>
      <c r="M142" s="215" t="n">
        <f aca="false">'SALES-1 Model'!M103</f>
        <v>0.160855933333333</v>
      </c>
      <c r="N142" s="215" t="n">
        <f aca="false">'SALES-1 Model'!N103</f>
        <v>0</v>
      </c>
      <c r="O142" s="215" t="n">
        <f aca="false">'SALES-1 Model'!O103</f>
        <v>0</v>
      </c>
      <c r="P142" s="215" t="n">
        <f aca="false">'SALES-1 Model'!P103</f>
        <v>0</v>
      </c>
      <c r="Q142" s="93" t="s">
        <v>252</v>
      </c>
      <c r="R142" s="16"/>
      <c r="T142" s="226" t="n">
        <f aca="false">'SALES-1 Model'!T103</f>
        <v>0</v>
      </c>
      <c r="U142" s="226" t="n">
        <f aca="false">'SALES-1 Model'!U103</f>
        <v>0</v>
      </c>
      <c r="V142" s="226" t="n">
        <f aca="false">'SALES-1 Model'!V103</f>
        <v>0</v>
      </c>
      <c r="W142" s="226" t="n">
        <f aca="false">'SALES-1 Model'!W103</f>
        <v>0</v>
      </c>
      <c r="X142" s="226" t="n">
        <f aca="false">'SALES-1 Model'!X103</f>
        <v>0</v>
      </c>
      <c r="Y142" s="226" t="n">
        <f aca="false">'SALES-1 Model'!Y103</f>
        <v>0</v>
      </c>
      <c r="Z142" s="226" t="n">
        <f aca="false">'SALES-1 Model'!Z103</f>
        <v>0</v>
      </c>
      <c r="AA142" s="226" t="n">
        <f aca="false">'SALES-1 Model'!AA103</f>
        <v>0</v>
      </c>
      <c r="AB142" s="226" t="n">
        <f aca="false">'SALES-1 Model'!AB103</f>
        <v>0</v>
      </c>
      <c r="AC142" s="226" t="n">
        <f aca="false">'SALES-1 Model'!AC103</f>
        <v>0.0268093222222222</v>
      </c>
      <c r="AD142" s="226" t="n">
        <f aca="false">'SALES-1 Model'!AD103</f>
        <v>0.0268093222222222</v>
      </c>
      <c r="AE142" s="226" t="n">
        <f aca="false">'SALES-1 Model'!AE103</f>
        <v>0.0268093222222222</v>
      </c>
      <c r="AF142" s="226" t="n">
        <f aca="false">'SALES-1 Model'!AF103</f>
        <v>0.0268093222222222</v>
      </c>
      <c r="AG142" s="226" t="n">
        <f aca="false">'SALES-1 Model'!AG103</f>
        <v>0.0268093222222222</v>
      </c>
      <c r="AH142" s="226" t="n">
        <f aca="false">'SALES-1 Model'!AH103</f>
        <v>0.0268093222222222</v>
      </c>
      <c r="AI142" s="226" t="n">
        <f aca="false">'SALES-1 Model'!AI103</f>
        <v>0.0268093222222222</v>
      </c>
      <c r="AJ142" s="226" t="n">
        <f aca="false">'SALES-1 Model'!AJ103</f>
        <v>0.0268093222222222</v>
      </c>
      <c r="AK142" s="226" t="n">
        <f aca="false">'SALES-1 Model'!AK103</f>
        <v>0.0268093222222222</v>
      </c>
      <c r="AL142" s="226" t="n">
        <f aca="false">'SALES-1 Model'!AL103</f>
        <v>0</v>
      </c>
      <c r="AM142" s="226" t="n">
        <f aca="false">'SALES-1 Model'!AM103</f>
        <v>0</v>
      </c>
      <c r="AN142" s="226" t="n">
        <f aca="false">'SALES-1 Model'!AN103</f>
        <v>0</v>
      </c>
      <c r="AO142" s="226" t="n">
        <f aca="false">'SALES-1 Model'!AO103</f>
        <v>0</v>
      </c>
      <c r="AP142" s="226" t="n">
        <f aca="false">'SALES-1 Model'!AP103</f>
        <v>0</v>
      </c>
      <c r="AQ142" s="226" t="n">
        <f aca="false">'SALES-1 Model'!AQ103</f>
        <v>0</v>
      </c>
      <c r="AR142" s="226" t="n">
        <f aca="false">'SALES-1 Model'!AR103</f>
        <v>0</v>
      </c>
      <c r="AS142" s="226" t="n">
        <f aca="false">'SALES-1 Model'!AS103</f>
        <v>0</v>
      </c>
      <c r="AT142" s="226" t="n">
        <f aca="false">'SALES-1 Model'!AT103</f>
        <v>0</v>
      </c>
      <c r="AU142" s="226" t="n">
        <f aca="false">'SALES-1 Model'!AU103</f>
        <v>0</v>
      </c>
      <c r="AV142" s="226" t="n">
        <f aca="false">'SALES-1 Model'!AV103</f>
        <v>0</v>
      </c>
      <c r="AW142" s="226" t="n">
        <f aca="false">'SALES-1 Model'!AW103</f>
        <v>0</v>
      </c>
      <c r="AX142" s="226" t="n">
        <f aca="false">'SALES-1 Model'!AX103</f>
        <v>0</v>
      </c>
      <c r="AY142" s="226" t="n">
        <f aca="false">'SALES-1 Model'!AY103</f>
        <v>0</v>
      </c>
      <c r="AZ142" s="226" t="n">
        <f aca="false">'SALES-1 Model'!AZ103</f>
        <v>0</v>
      </c>
      <c r="BA142" s="226" t="n">
        <f aca="false">'SALES-1 Model'!BA103</f>
        <v>0</v>
      </c>
      <c r="BB142" s="226" t="n">
        <f aca="false">'SALES-1 Model'!BB103</f>
        <v>0</v>
      </c>
      <c r="BC142" s="226" t="n">
        <f aca="false">'SALES-1 Model'!BC103</f>
        <v>0</v>
      </c>
      <c r="BD142" s="226" t="n">
        <f aca="false">'SALES-1 Model'!BD103</f>
        <v>0</v>
      </c>
      <c r="BE142" s="226" t="n">
        <f aca="false">'SALES-1 Model'!BE103</f>
        <v>0</v>
      </c>
      <c r="BF142" s="226" t="n">
        <f aca="false">'SALES-1 Model'!BF103</f>
        <v>0</v>
      </c>
      <c r="BG142" s="226" t="n">
        <f aca="false">'SALES-1 Model'!BG103</f>
        <v>0</v>
      </c>
      <c r="BH142" s="226" t="n">
        <f aca="false">'SALES-1 Model'!BH103</f>
        <v>0</v>
      </c>
      <c r="BI142" s="226" t="n">
        <f aca="false">'SALES-1 Model'!BI103</f>
        <v>0</v>
      </c>
      <c r="BJ142" s="226" t="n">
        <f aca="false">'SALES-1 Model'!BJ103</f>
        <v>0</v>
      </c>
      <c r="BK142" s="226" t="n">
        <f aca="false">'SALES-1 Model'!BK103</f>
        <v>0</v>
      </c>
      <c r="BL142" s="226" t="n">
        <f aca="false">'SALES-1 Model'!BL103</f>
        <v>0</v>
      </c>
      <c r="BM142" s="226" t="n">
        <f aca="false">'SALES-1 Model'!BM103</f>
        <v>0</v>
      </c>
      <c r="BN142" s="226" t="n">
        <f aca="false">'SALES-1 Model'!BN103</f>
        <v>0</v>
      </c>
      <c r="BO142" s="226" t="n">
        <f aca="false">'SALES-1 Model'!BO103</f>
        <v>0</v>
      </c>
      <c r="BP142" s="226" t="n">
        <f aca="false">'SALES-1 Model'!BP103</f>
        <v>0</v>
      </c>
      <c r="BQ142" s="226" t="n">
        <f aca="false">'SALES-1 Model'!BQ103</f>
        <v>0</v>
      </c>
      <c r="BR142" s="226" t="n">
        <f aca="false">'SALES-1 Model'!BR103</f>
        <v>0</v>
      </c>
      <c r="BS142" s="226" t="n">
        <f aca="false">'SALES-1 Model'!BS103</f>
        <v>0</v>
      </c>
      <c r="BT142" s="226" t="n">
        <f aca="false">'SALES-1 Model'!BT103</f>
        <v>0</v>
      </c>
      <c r="BU142" s="226" t="n">
        <f aca="false">'SALES-1 Model'!BU103</f>
        <v>0</v>
      </c>
      <c r="BV142" s="226" t="n">
        <f aca="false">'SALES-1 Model'!BV103</f>
        <v>0</v>
      </c>
      <c r="BW142" s="226" t="n">
        <f aca="false">'SALES-1 Model'!BW103</f>
        <v>0</v>
      </c>
      <c r="BX142" s="226" t="n">
        <f aca="false">'SALES-1 Model'!BX103</f>
        <v>0</v>
      </c>
      <c r="BY142" s="226" t="n">
        <f aca="false">'SALES-1 Model'!BY103</f>
        <v>0</v>
      </c>
      <c r="BZ142" s="228" t="n">
        <f aca="false">'SALES-1 Model'!BZ103</f>
        <v>0</v>
      </c>
      <c r="CA142" s="228" t="n">
        <f aca="false">'SALES-1 Model'!CA103</f>
        <v>0</v>
      </c>
      <c r="CC142" s="79" t="n">
        <f aca="false">SUMIFS($T142:$CA142, $T$1:$CA$1, CC$63)</f>
        <v>0.0804279666666667</v>
      </c>
      <c r="CD142" s="79" t="n">
        <f aca="false">SUMIFS($T142:$CA142, $T$1:$CA$1, CD$63)</f>
        <v>0.160855933333333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153</v>
      </c>
      <c r="L144" s="82" t="n">
        <f aca="false">SUM(L141:L143)</f>
        <v>0.238387966666667</v>
      </c>
      <c r="M144" s="82" t="n">
        <f aca="false">SUM(M141:M143)</f>
        <v>0.7597876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0.0926259888888889</v>
      </c>
      <c r="AD144" s="131" t="n">
        <f aca="false">SUM(AD141:AD143)</f>
        <v>0.0926259888888889</v>
      </c>
      <c r="AE144" s="131" t="n">
        <f aca="false">SUM(AE141:AE143)</f>
        <v>0.0531359888888889</v>
      </c>
      <c r="AF144" s="131" t="n">
        <f aca="false">SUM(AF141:AF143)</f>
        <v>0.0531359888888889</v>
      </c>
      <c r="AG144" s="131" t="n">
        <f aca="false">SUM(AG141:AG143)</f>
        <v>0.0531359888888889</v>
      </c>
      <c r="AH144" s="131" t="n">
        <f aca="false">SUM(AH141:AH143)</f>
        <v>0.0531359888888889</v>
      </c>
      <c r="AI144" s="131" t="n">
        <f aca="false">SUM(AI141:AI143)</f>
        <v>0.135406822222222</v>
      </c>
      <c r="AJ144" s="131" t="n">
        <f aca="false">SUM(AJ141:AJ143)</f>
        <v>0.109080155555556</v>
      </c>
      <c r="AK144" s="131" t="n">
        <f aca="false">SUM(AK141:AK143)</f>
        <v>0.109080155555556</v>
      </c>
      <c r="AL144" s="131" t="n">
        <f aca="false">SUM(AL141:AL143)</f>
        <v>0.0822708333333333</v>
      </c>
      <c r="AM144" s="131" t="n">
        <f aca="false">SUM(AM141:AM143)</f>
        <v>0.0822708333333333</v>
      </c>
      <c r="AN144" s="131" t="n">
        <f aca="false">SUM(AN141:AN143)</f>
        <v>0.0822708333333333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0.238387966666667</v>
      </c>
      <c r="CD144" s="136" t="n">
        <f aca="false">SUM(CD141:CD143)</f>
        <v>0.7597876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154</v>
      </c>
      <c r="F147" s="109"/>
      <c r="G147" s="109"/>
      <c r="H147" s="109"/>
      <c r="I147" s="132"/>
      <c r="J147" s="132"/>
      <c r="K147" s="132"/>
      <c r="L147" s="120" t="n">
        <f aca="false">SUM(L138, L144)</f>
        <v>0.343694633333333</v>
      </c>
      <c r="M147" s="120" t="n">
        <f aca="false">SUM(M138, M144)</f>
        <v>1.18101426666667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0.0926259888888889</v>
      </c>
      <c r="AD147" s="120" t="n">
        <f aca="false">SUM(AD138, AD144)</f>
        <v>0.0926259888888889</v>
      </c>
      <c r="AE147" s="120" t="n">
        <f aca="false">SUM(AE138, AE144)</f>
        <v>0.158442655555556</v>
      </c>
      <c r="AF147" s="120" t="n">
        <f aca="false">SUM(AF138, AF144)</f>
        <v>0.158442655555556</v>
      </c>
      <c r="AG147" s="120" t="n">
        <f aca="false">SUM(AG138, AG144)</f>
        <v>0.158442655555556</v>
      </c>
      <c r="AH147" s="120" t="n">
        <f aca="false">SUM(AH138, AH144)</f>
        <v>0.158442655555556</v>
      </c>
      <c r="AI147" s="120" t="n">
        <f aca="false">SUM(AI138, AI144)</f>
        <v>0.240713488888889</v>
      </c>
      <c r="AJ147" s="120" t="n">
        <f aca="false">SUM(AJ138, AJ144)</f>
        <v>0.109080155555556</v>
      </c>
      <c r="AK147" s="120" t="n">
        <f aca="false">SUM(AK138, AK144)</f>
        <v>0.109080155555556</v>
      </c>
      <c r="AL147" s="120" t="n">
        <f aca="false">SUM(AL138, AL144)</f>
        <v>0.0822708333333333</v>
      </c>
      <c r="AM147" s="120" t="n">
        <f aca="false">SUM(AM138, AM144)</f>
        <v>0.0822708333333333</v>
      </c>
      <c r="AN147" s="120" t="n">
        <f aca="false">SUM(AN138, AN144)</f>
        <v>0.0822708333333333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0.343694633333333</v>
      </c>
      <c r="CD147" s="120" t="n">
        <f aca="false">SUM(CD138, CD144)</f>
        <v>1.18101426666667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428</v>
      </c>
      <c r="F149" s="123"/>
      <c r="G149" s="123"/>
      <c r="H149" s="123"/>
      <c r="I149" s="126"/>
      <c r="J149" s="126"/>
      <c r="K149" s="142"/>
      <c r="L149" s="125" t="n">
        <f aca="false">SUM(L130, -L147)</f>
        <v>-0.343694633333333</v>
      </c>
      <c r="M149" s="125" t="n">
        <f aca="false">SUM(M130, -M147)</f>
        <v>-1.18101426666667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-0.0926259888888889</v>
      </c>
      <c r="AD149" s="144" t="n">
        <f aca="false">SUM(AD130, -AD147)</f>
        <v>-0.0926259888888889</v>
      </c>
      <c r="AE149" s="144" t="n">
        <f aca="false">SUM(AE130, -AE147)</f>
        <v>-0.158442655555556</v>
      </c>
      <c r="AF149" s="144" t="n">
        <f aca="false">SUM(AF130, -AF147)</f>
        <v>-0.158442655555556</v>
      </c>
      <c r="AG149" s="144" t="n">
        <f aca="false">SUM(AG130, -AG147)</f>
        <v>-0.158442655555556</v>
      </c>
      <c r="AH149" s="144" t="n">
        <f aca="false">SUM(AH130, -AH147)</f>
        <v>-0.158442655555556</v>
      </c>
      <c r="AI149" s="144" t="n">
        <f aca="false">SUM(AI130, -AI147)</f>
        <v>-0.240713488888889</v>
      </c>
      <c r="AJ149" s="144" t="n">
        <f aca="false">SUM(AJ130, -AJ147)</f>
        <v>-0.109080155555556</v>
      </c>
      <c r="AK149" s="144" t="n">
        <f aca="false">SUM(AK130, -AK147)</f>
        <v>-0.109080155555556</v>
      </c>
      <c r="AL149" s="144" t="n">
        <f aca="false">SUM(AL130, -AL147)</f>
        <v>-0.0822708333333333</v>
      </c>
      <c r="AM149" s="144" t="n">
        <f aca="false">SUM(AM130, -AM147)</f>
        <v>-0.0822708333333333</v>
      </c>
      <c r="AN149" s="144" t="n">
        <f aca="false">SUM(AN130, -AN147)</f>
        <v>-0.0822708333333333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-0.343694633333333</v>
      </c>
      <c r="CD149" s="143" t="n">
        <f aca="false">SUM(CD130, -CD147)</f>
        <v>-1.18101426666667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156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118</v>
      </c>
      <c r="CD152" s="19"/>
      <c r="CE152" s="19"/>
      <c r="CF152" s="19"/>
      <c r="CG152" s="19"/>
      <c r="CI152" s="19" t="s">
        <v>119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157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158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159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160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161</v>
      </c>
      <c r="L158" s="90" t="n">
        <f aca="false">-L147</f>
        <v>-0.343694633333333</v>
      </c>
      <c r="M158" s="90" t="n">
        <f aca="false">-M147</f>
        <v>-1.18101426666667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-1.5247089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9" t="s">
        <v>157</v>
      </c>
      <c r="F159" s="229"/>
      <c r="G159" s="229"/>
      <c r="H159" s="229"/>
      <c r="I159" s="229"/>
      <c r="J159" s="229"/>
      <c r="K159" s="229"/>
      <c r="L159" s="230" t="n">
        <f aca="false">SUM(L156:L158)</f>
        <v>-0.343694633333333</v>
      </c>
      <c r="M159" s="230" t="n">
        <f aca="false">SUM(M156:M158)</f>
        <v>-1.18101426666667</v>
      </c>
      <c r="N159" s="230" t="n">
        <f aca="false">SUM(N156:N158)</f>
        <v>0</v>
      </c>
      <c r="O159" s="230" t="n">
        <f aca="false">SUM(O156:O158)</f>
        <v>0</v>
      </c>
      <c r="P159" s="230" t="n">
        <f aca="false">SUM(P156:P158)</f>
        <v>0</v>
      </c>
      <c r="Q159" s="231" t="n">
        <f aca="false">SUM(L159:P159)</f>
        <v>-1.5247089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162</v>
      </c>
      <c r="H160" s="21"/>
      <c r="I160" s="21"/>
      <c r="J160" s="21"/>
      <c r="K160" s="21"/>
      <c r="L160" s="90" t="n">
        <f aca="false">L159</f>
        <v>-0.343694633333333</v>
      </c>
      <c r="M160" s="90" t="n">
        <f aca="false">L160+M159</f>
        <v>-1.5247089</v>
      </c>
      <c r="N160" s="90" t="n">
        <f aca="false">M160+N159</f>
        <v>-1.5247089</v>
      </c>
      <c r="O160" s="90" t="n">
        <f aca="false">N160+O159</f>
        <v>-1.5247089</v>
      </c>
      <c r="P160" s="90" t="n">
        <f aca="false">O160+P159</f>
        <v>-1.5247089</v>
      </c>
      <c r="Q160" s="146" t="n">
        <f aca="false">P160</f>
        <v>-1.5247089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163</v>
      </c>
      <c r="H161" s="21"/>
      <c r="I161" s="21"/>
      <c r="J161" s="21"/>
      <c r="K161" s="21"/>
      <c r="L161" s="148" t="n">
        <f aca="false">IF(L160&lt;0,1,0)</f>
        <v>1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1</v>
      </c>
      <c r="O161" s="148" t="n">
        <f aca="false">IF(O160&lt;0,1,IF(AND(N160&lt;0,O159&gt;0),-N160/O159,0))</f>
        <v>1</v>
      </c>
      <c r="P161" s="148" t="n">
        <f aca="false">IF(P160&lt;0,1,IF(AND(O160&lt;0,P159&gt;0),-O160/P159,0))</f>
        <v>1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429</v>
      </c>
      <c r="F163" s="150" t="s">
        <v>430</v>
      </c>
      <c r="G163" s="148" t="n">
        <f aca="false">IFERROR(K117/-SUM(L149:P149),"n/a")</f>
        <v>0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431</v>
      </c>
      <c r="F164" s="150" t="s">
        <v>432</v>
      </c>
      <c r="G164" s="232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433</v>
      </c>
      <c r="F165" s="150" t="s">
        <v>167</v>
      </c>
      <c r="G165" s="148" t="str">
        <f aca="false">IF(SUM(L161:P161)=5,"&gt;5",SUM(L161:P161))</f>
        <v>&gt;5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164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165</v>
      </c>
      <c r="F168" s="150" t="s">
        <v>166</v>
      </c>
      <c r="G168" s="90" t="n">
        <f aca="false">SUM(L168:P168)</f>
        <v>-1.29885522834525</v>
      </c>
      <c r="H168" s="21"/>
      <c r="I168" s="21"/>
      <c r="J168" s="21"/>
      <c r="K168" s="21"/>
      <c r="L168" s="90" t="n">
        <f aca="false">L159/(1+$G$167)^L$1</f>
        <v>-0.313876377473364</v>
      </c>
      <c r="M168" s="90" t="n">
        <f aca="false">M159/(1+$G$167)^M$1</f>
        <v>-0.984978850871889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-1.29885522834525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169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CA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3"/>
    <col collapsed="false" customWidth="true" hidden="false" outlineLevel="0" max="10" min="10" style="0" width="2"/>
    <col collapsed="false" customWidth="true" hidden="false" outlineLevel="0" max="11" min="11" style="0" width="12"/>
    <col collapsed="false" customWidth="true" hidden="false" outlineLevel="0" max="16" min="12" style="0" width="11"/>
    <col collapsed="false" customWidth="true" hidden="false" outlineLevel="0" max="17" min="17" style="0" width="2"/>
    <col collapsed="false" customWidth="true" hidden="false" outlineLevel="0" max="18" min="18" style="0" width="60"/>
    <col collapsed="false" customWidth="true" hidden="false" outlineLevel="0" max="19" min="19" style="0" width="2"/>
    <col collapsed="false" customWidth="true" hidden="false" outlineLevel="0" max="79" min="20" style="0" width="9"/>
  </cols>
  <sheetData>
    <row r="2" customFormat="false" ht="24" hidden="false" customHeight="true" outlineLevel="0" collapsed="false">
      <c r="B2" s="153" t="s">
        <v>434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154" t="s">
        <v>435</v>
      </c>
    </row>
    <row r="5" customFormat="false" ht="15" hidden="false" customHeight="false" outlineLevel="0" collapsed="false">
      <c r="T5" s="175" t="n">
        <v>2026</v>
      </c>
      <c r="U5" s="175" t="n">
        <v>2026</v>
      </c>
      <c r="V5" s="175" t="n">
        <v>2026</v>
      </c>
      <c r="W5" s="175" t="n">
        <v>2026</v>
      </c>
      <c r="X5" s="175" t="n">
        <v>2026</v>
      </c>
      <c r="Y5" s="175" t="n">
        <v>2026</v>
      </c>
      <c r="Z5" s="175" t="n">
        <v>2026</v>
      </c>
      <c r="AA5" s="175" t="n">
        <v>2026</v>
      </c>
      <c r="AB5" s="175" t="n">
        <v>2026</v>
      </c>
      <c r="AC5" s="175" t="n">
        <v>2026</v>
      </c>
      <c r="AD5" s="175" t="n">
        <v>2026</v>
      </c>
      <c r="AE5" s="175" t="n">
        <v>2026</v>
      </c>
      <c r="AF5" s="175" t="n">
        <v>2027</v>
      </c>
      <c r="AG5" s="175" t="n">
        <v>2027</v>
      </c>
      <c r="AH5" s="175" t="n">
        <v>2027</v>
      </c>
      <c r="AI5" s="175" t="n">
        <v>2027</v>
      </c>
      <c r="AJ5" s="175" t="n">
        <v>2027</v>
      </c>
      <c r="AK5" s="175" t="n">
        <v>2027</v>
      </c>
      <c r="AL5" s="175" t="n">
        <v>2027</v>
      </c>
      <c r="AM5" s="175" t="n">
        <v>2027</v>
      </c>
      <c r="AN5" s="175" t="n">
        <v>2027</v>
      </c>
      <c r="AO5" s="175" t="n">
        <v>2027</v>
      </c>
      <c r="AP5" s="175" t="n">
        <v>2027</v>
      </c>
      <c r="AQ5" s="175" t="n">
        <v>2027</v>
      </c>
      <c r="AR5" s="175" t="n">
        <v>2028</v>
      </c>
      <c r="AS5" s="175" t="n">
        <v>2028</v>
      </c>
      <c r="AT5" s="175" t="n">
        <v>2028</v>
      </c>
      <c r="AU5" s="175" t="n">
        <v>2028</v>
      </c>
      <c r="AV5" s="175" t="n">
        <v>2028</v>
      </c>
      <c r="AW5" s="175" t="n">
        <v>2028</v>
      </c>
      <c r="AX5" s="175" t="n">
        <v>2028</v>
      </c>
      <c r="AY5" s="175" t="n">
        <v>2028</v>
      </c>
      <c r="AZ5" s="175" t="n">
        <v>2028</v>
      </c>
      <c r="BA5" s="175" t="n">
        <v>2028</v>
      </c>
      <c r="BB5" s="175" t="n">
        <v>2028</v>
      </c>
      <c r="BC5" s="175" t="n">
        <v>2028</v>
      </c>
      <c r="BD5" s="175" t="n">
        <v>2029</v>
      </c>
      <c r="BE5" s="175" t="n">
        <v>2029</v>
      </c>
      <c r="BF5" s="175" t="n">
        <v>2029</v>
      </c>
      <c r="BG5" s="175" t="n">
        <v>2029</v>
      </c>
      <c r="BH5" s="175" t="n">
        <v>2029</v>
      </c>
      <c r="BI5" s="175" t="n">
        <v>2029</v>
      </c>
      <c r="BJ5" s="175" t="n">
        <v>2029</v>
      </c>
      <c r="BK5" s="175" t="n">
        <v>2029</v>
      </c>
      <c r="BL5" s="175" t="n">
        <v>2029</v>
      </c>
      <c r="BM5" s="175" t="n">
        <v>2029</v>
      </c>
      <c r="BN5" s="175" t="n">
        <v>2029</v>
      </c>
      <c r="BO5" s="175" t="n">
        <v>2029</v>
      </c>
      <c r="BP5" s="175" t="n">
        <v>2030</v>
      </c>
      <c r="BQ5" s="175" t="n">
        <v>2030</v>
      </c>
      <c r="BR5" s="175" t="n">
        <v>2030</v>
      </c>
      <c r="BS5" s="175" t="n">
        <v>2030</v>
      </c>
      <c r="BT5" s="175" t="n">
        <v>2030</v>
      </c>
      <c r="BU5" s="175" t="n">
        <v>2030</v>
      </c>
      <c r="BV5" s="175" t="n">
        <v>2030</v>
      </c>
      <c r="BW5" s="175" t="n">
        <v>2030</v>
      </c>
      <c r="BX5" s="175" t="n">
        <v>2030</v>
      </c>
      <c r="BY5" s="175" t="n">
        <v>2030</v>
      </c>
      <c r="BZ5" s="175" t="n">
        <v>2030</v>
      </c>
      <c r="CA5" s="175" t="n">
        <v>2030</v>
      </c>
    </row>
    <row r="6" customFormat="false" ht="15" hidden="false" customHeight="false" outlineLevel="0" collapsed="false">
      <c r="B6" s="161" t="s">
        <v>244</v>
      </c>
      <c r="K6" s="176" t="s">
        <v>245</v>
      </c>
      <c r="L6" s="176" t="n">
        <v>2026</v>
      </c>
      <c r="M6" s="176" t="n">
        <v>2027</v>
      </c>
      <c r="N6" s="176" t="n">
        <v>2028</v>
      </c>
      <c r="O6" s="176" t="n">
        <v>2029</v>
      </c>
      <c r="P6" s="176" t="n">
        <v>2030</v>
      </c>
      <c r="T6" s="177" t="n">
        <f aca="false">DATE(2026,1,31)</f>
        <v>46053</v>
      </c>
      <c r="U6" s="177" t="n">
        <f aca="false">EOMONTH(T6,1)</f>
        <v>46081</v>
      </c>
      <c r="V6" s="177" t="n">
        <f aca="false">EOMONTH(U6,1)</f>
        <v>46112</v>
      </c>
      <c r="W6" s="177" t="n">
        <f aca="false">EOMONTH(V6,1)</f>
        <v>46142</v>
      </c>
      <c r="X6" s="177" t="n">
        <f aca="false">EOMONTH(W6,1)</f>
        <v>46173</v>
      </c>
      <c r="Y6" s="177" t="n">
        <f aca="false">EOMONTH(X6,1)</f>
        <v>46203</v>
      </c>
      <c r="Z6" s="177" t="n">
        <f aca="false">EOMONTH(Y6,1)</f>
        <v>46234</v>
      </c>
      <c r="AA6" s="177" t="n">
        <f aca="false">EOMONTH(Z6,1)</f>
        <v>46265</v>
      </c>
      <c r="AB6" s="177" t="n">
        <f aca="false">EOMONTH(AA6,1)</f>
        <v>46295</v>
      </c>
      <c r="AC6" s="177" t="n">
        <f aca="false">EOMONTH(AB6,1)</f>
        <v>46326</v>
      </c>
      <c r="AD6" s="177" t="n">
        <f aca="false">EOMONTH(AC6,1)</f>
        <v>46356</v>
      </c>
      <c r="AE6" s="177" t="n">
        <f aca="false">EOMONTH(AD6,1)</f>
        <v>46387</v>
      </c>
      <c r="AF6" s="177" t="n">
        <f aca="false">EOMONTH(AE6,1)</f>
        <v>46418</v>
      </c>
      <c r="AG6" s="177" t="n">
        <f aca="false">EOMONTH(AF6,1)</f>
        <v>46446</v>
      </c>
      <c r="AH6" s="177" t="n">
        <f aca="false">EOMONTH(AG6,1)</f>
        <v>46477</v>
      </c>
      <c r="AI6" s="177" t="n">
        <f aca="false">EOMONTH(AH6,1)</f>
        <v>46507</v>
      </c>
      <c r="AJ6" s="177" t="n">
        <f aca="false">EOMONTH(AI6,1)</f>
        <v>46538</v>
      </c>
      <c r="AK6" s="177" t="n">
        <f aca="false">EOMONTH(AJ6,1)</f>
        <v>46568</v>
      </c>
      <c r="AL6" s="177" t="n">
        <f aca="false">EOMONTH(AK6,1)</f>
        <v>46599</v>
      </c>
      <c r="AM6" s="177" t="n">
        <f aca="false">EOMONTH(AL6,1)</f>
        <v>46630</v>
      </c>
      <c r="AN6" s="177" t="n">
        <f aca="false">EOMONTH(AM6,1)</f>
        <v>46660</v>
      </c>
      <c r="AO6" s="177" t="n">
        <f aca="false">EOMONTH(AN6,1)</f>
        <v>46691</v>
      </c>
      <c r="AP6" s="177" t="n">
        <f aca="false">EOMONTH(AO6,1)</f>
        <v>46721</v>
      </c>
      <c r="AQ6" s="177" t="n">
        <f aca="false">EOMONTH(AP6,1)</f>
        <v>46752</v>
      </c>
      <c r="AR6" s="177" t="n">
        <f aca="false">EOMONTH(AQ6,1)</f>
        <v>46783</v>
      </c>
      <c r="AS6" s="177" t="n">
        <f aca="false">EOMONTH(AR6,1)</f>
        <v>46812</v>
      </c>
      <c r="AT6" s="177" t="n">
        <f aca="false">EOMONTH(AS6,1)</f>
        <v>46843</v>
      </c>
      <c r="AU6" s="177" t="n">
        <f aca="false">EOMONTH(AT6,1)</f>
        <v>46873</v>
      </c>
      <c r="AV6" s="177" t="n">
        <f aca="false">EOMONTH(AU6,1)</f>
        <v>46904</v>
      </c>
      <c r="AW6" s="177" t="n">
        <f aca="false">EOMONTH(AV6,1)</f>
        <v>46934</v>
      </c>
      <c r="AX6" s="177" t="n">
        <f aca="false">EOMONTH(AW6,1)</f>
        <v>46965</v>
      </c>
      <c r="AY6" s="177" t="n">
        <f aca="false">EOMONTH(AX6,1)</f>
        <v>46996</v>
      </c>
      <c r="AZ6" s="177" t="n">
        <f aca="false">EOMONTH(AY6,1)</f>
        <v>47026</v>
      </c>
      <c r="BA6" s="177" t="n">
        <f aca="false">EOMONTH(AZ6,1)</f>
        <v>47057</v>
      </c>
      <c r="BB6" s="177" t="n">
        <f aca="false">EOMONTH(BA6,1)</f>
        <v>47087</v>
      </c>
      <c r="BC6" s="177" t="n">
        <f aca="false">EOMONTH(BB6,1)</f>
        <v>47118</v>
      </c>
      <c r="BD6" s="177" t="n">
        <f aca="false">EOMONTH(BC6,1)</f>
        <v>47149</v>
      </c>
      <c r="BE6" s="177" t="n">
        <f aca="false">EOMONTH(BD6,1)</f>
        <v>47177</v>
      </c>
      <c r="BF6" s="177" t="n">
        <f aca="false">EOMONTH(BE6,1)</f>
        <v>47208</v>
      </c>
      <c r="BG6" s="177" t="n">
        <f aca="false">EOMONTH(BF6,1)</f>
        <v>47238</v>
      </c>
      <c r="BH6" s="177" t="n">
        <f aca="false">EOMONTH(BG6,1)</f>
        <v>47269</v>
      </c>
      <c r="BI6" s="177" t="n">
        <f aca="false">EOMONTH(BH6,1)</f>
        <v>47299</v>
      </c>
      <c r="BJ6" s="177" t="n">
        <f aca="false">EOMONTH(BI6,1)</f>
        <v>47330</v>
      </c>
      <c r="BK6" s="177" t="n">
        <f aca="false">EOMONTH(BJ6,1)</f>
        <v>47361</v>
      </c>
      <c r="BL6" s="177" t="n">
        <f aca="false">EOMONTH(BK6,1)</f>
        <v>47391</v>
      </c>
      <c r="BM6" s="177" t="n">
        <f aca="false">EOMONTH(BL6,1)</f>
        <v>47422</v>
      </c>
      <c r="BN6" s="177" t="n">
        <f aca="false">EOMONTH(BM6,1)</f>
        <v>47452</v>
      </c>
      <c r="BO6" s="177" t="n">
        <f aca="false">EOMONTH(BN6,1)</f>
        <v>47483</v>
      </c>
      <c r="BP6" s="177" t="n">
        <f aca="false">EOMONTH(BO6,1)</f>
        <v>47514</v>
      </c>
      <c r="BQ6" s="177" t="n">
        <f aca="false">EOMONTH(BP6,1)</f>
        <v>47542</v>
      </c>
      <c r="BR6" s="177" t="n">
        <f aca="false">EOMONTH(BQ6,1)</f>
        <v>47573</v>
      </c>
      <c r="BS6" s="177" t="n">
        <f aca="false">EOMONTH(BR6,1)</f>
        <v>47603</v>
      </c>
      <c r="BT6" s="177" t="n">
        <f aca="false">EOMONTH(BS6,1)</f>
        <v>47634</v>
      </c>
      <c r="BU6" s="177" t="n">
        <f aca="false">EOMONTH(BT6,1)</f>
        <v>47664</v>
      </c>
      <c r="BV6" s="177" t="n">
        <f aca="false">EOMONTH(BU6,1)</f>
        <v>47695</v>
      </c>
      <c r="BW6" s="177" t="n">
        <f aca="false">EOMONTH(BV6,1)</f>
        <v>47726</v>
      </c>
      <c r="BX6" s="177" t="n">
        <f aca="false">EOMONTH(BW6,1)</f>
        <v>47756</v>
      </c>
      <c r="BY6" s="177" t="n">
        <f aca="false">EOMONTH(BX6,1)</f>
        <v>47787</v>
      </c>
      <c r="BZ6" s="177" t="n">
        <f aca="false">EOMONTH(BY6,1)</f>
        <v>47817</v>
      </c>
      <c r="CA6" s="177" t="n">
        <f aca="false">EOMONTH(BZ6,1)</f>
        <v>47848</v>
      </c>
    </row>
    <row r="8" customFormat="false" ht="18" hidden="false" customHeight="true" outlineLevel="0" collapsed="false">
      <c r="B8" s="5" t="s">
        <v>246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10" customFormat="false" ht="15" hidden="false" customHeight="false" outlineLevel="0" collapsed="false">
      <c r="B10" s="10" t="s">
        <v>247</v>
      </c>
      <c r="D10" s="9" t="s">
        <v>436</v>
      </c>
      <c r="E10" s="9"/>
      <c r="F10" s="9"/>
      <c r="G10" s="9"/>
      <c r="H10" s="9"/>
    </row>
    <row r="11" customFormat="false" ht="22.35" hidden="false" customHeight="false" outlineLevel="0" collapsed="false">
      <c r="B11" s="10" t="s">
        <v>249</v>
      </c>
      <c r="D11" s="9" t="s">
        <v>250</v>
      </c>
      <c r="E11" s="9"/>
      <c r="F11" s="9"/>
      <c r="G11" s="9"/>
      <c r="H11" s="9"/>
      <c r="I11" s="155" t="s">
        <v>251</v>
      </c>
    </row>
    <row r="12" customFormat="false" ht="15" hidden="false" customHeight="false" outlineLevel="0" collapsed="false">
      <c r="B12" s="10" t="s">
        <v>123</v>
      </c>
      <c r="D12" s="9" t="s">
        <v>252</v>
      </c>
      <c r="E12" s="9"/>
      <c r="F12" s="9"/>
      <c r="G12" s="9"/>
      <c r="H12" s="9"/>
    </row>
    <row r="13" customFormat="false" ht="22.35" hidden="false" customHeight="false" outlineLevel="0" collapsed="false">
      <c r="B13" s="3" t="s">
        <v>253</v>
      </c>
      <c r="D13" s="178" t="n">
        <f aca="false">DATE(2027,4,1)</f>
        <v>46478</v>
      </c>
      <c r="I13" s="155" t="s">
        <v>254</v>
      </c>
    </row>
    <row r="15" customFormat="false" ht="15" hidden="false" customHeight="false" outlineLevel="0" collapsed="false">
      <c r="B15" s="167" t="s">
        <v>255</v>
      </c>
    </row>
    <row r="16" customFormat="false" ht="15" hidden="false" customHeight="false" outlineLevel="0" collapsed="false">
      <c r="B16" s="167" t="s">
        <v>256</v>
      </c>
    </row>
    <row r="17" customFormat="false" ht="15" hidden="false" customHeight="false" outlineLevel="0" collapsed="false">
      <c r="B17" s="179" t="s">
        <v>257</v>
      </c>
    </row>
    <row r="18" customFormat="false" ht="15" hidden="false" customHeight="false" outlineLevel="0" collapsed="false">
      <c r="B18" s="180" t="s">
        <v>437</v>
      </c>
    </row>
    <row r="19" customFormat="false" ht="15" hidden="false" customHeight="false" outlineLevel="0" collapsed="false">
      <c r="B19" s="180" t="s">
        <v>438</v>
      </c>
    </row>
    <row r="20" customFormat="false" ht="15" hidden="false" customHeight="false" outlineLevel="0" collapsed="false">
      <c r="B20" s="180" t="s">
        <v>439</v>
      </c>
    </row>
    <row r="21" customFormat="false" ht="15" hidden="false" customHeight="false" outlineLevel="0" collapsed="false">
      <c r="B21" s="180" t="s">
        <v>440</v>
      </c>
    </row>
    <row r="22" customFormat="false" ht="15" hidden="false" customHeight="false" outlineLevel="0" collapsed="false">
      <c r="B22" s="180" t="s">
        <v>441</v>
      </c>
    </row>
    <row r="24" customFormat="false" ht="18" hidden="false" customHeight="true" outlineLevel="0" collapsed="false">
      <c r="B24" s="5" t="s">
        <v>262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customFormat="false" ht="15" hidden="false" customHeight="false" outlineLevel="0" collapsed="false">
      <c r="B26" s="181" t="s">
        <v>263</v>
      </c>
    </row>
    <row r="27" customFormat="false" ht="32.8" hidden="false" customHeight="false" outlineLevel="0" collapsed="false">
      <c r="B27" s="182" t="s">
        <v>442</v>
      </c>
      <c r="D27" s="158" t="n">
        <v>0</v>
      </c>
      <c r="E27" s="167" t="s">
        <v>265</v>
      </c>
      <c r="F27" s="155" t="s">
        <v>443</v>
      </c>
    </row>
    <row r="28" customFormat="false" ht="22.35" hidden="false" customHeight="false" outlineLevel="0" collapsed="false">
      <c r="B28" s="182" t="s">
        <v>444</v>
      </c>
      <c r="D28" s="183" t="n">
        <v>0</v>
      </c>
      <c r="E28" s="167" t="s">
        <v>268</v>
      </c>
      <c r="F28" s="155" t="s">
        <v>445</v>
      </c>
    </row>
    <row r="29" customFormat="false" ht="53.7" hidden="false" customHeight="false" outlineLevel="0" collapsed="false">
      <c r="B29" s="182" t="s">
        <v>446</v>
      </c>
      <c r="D29" s="158" t="n">
        <v>0</v>
      </c>
      <c r="E29" s="167" t="s">
        <v>265</v>
      </c>
      <c r="F29" s="155" t="s">
        <v>447</v>
      </c>
    </row>
    <row r="30" customFormat="false" ht="32.8" hidden="false" customHeight="false" outlineLevel="0" collapsed="false">
      <c r="B30" s="182" t="s">
        <v>448</v>
      </c>
      <c r="D30" s="156" t="n">
        <v>0</v>
      </c>
      <c r="E30" s="167" t="s">
        <v>271</v>
      </c>
      <c r="F30" s="155" t="s">
        <v>449</v>
      </c>
    </row>
    <row r="31" customFormat="false" ht="22.35" hidden="false" customHeight="false" outlineLevel="0" collapsed="false">
      <c r="B31" s="182" t="s">
        <v>450</v>
      </c>
      <c r="D31" s="158" t="n">
        <v>0</v>
      </c>
      <c r="E31" s="167" t="s">
        <v>265</v>
      </c>
      <c r="F31" s="155" t="s">
        <v>451</v>
      </c>
    </row>
    <row r="32" customFormat="false" ht="32.8" hidden="false" customHeight="false" outlineLevel="0" collapsed="false">
      <c r="B32" s="182" t="s">
        <v>452</v>
      </c>
      <c r="D32" s="168" t="n">
        <v>0</v>
      </c>
      <c r="E32" s="167" t="s">
        <v>268</v>
      </c>
      <c r="F32" s="155" t="s">
        <v>449</v>
      </c>
    </row>
    <row r="33" customFormat="false" ht="15" hidden="false" customHeight="false" outlineLevel="0" collapsed="false">
      <c r="B33" s="181" t="s">
        <v>453</v>
      </c>
    </row>
    <row r="34" customFormat="false" ht="32.8" hidden="false" customHeight="false" outlineLevel="0" collapsed="false">
      <c r="B34" s="182" t="s">
        <v>454</v>
      </c>
      <c r="D34" s="168" t="n">
        <v>1</v>
      </c>
      <c r="E34" s="167" t="s">
        <v>268</v>
      </c>
      <c r="F34" s="155" t="s">
        <v>455</v>
      </c>
    </row>
    <row r="35" customFormat="false" ht="74.6" hidden="false" customHeight="false" outlineLevel="0" collapsed="false">
      <c r="B35" s="182" t="s">
        <v>456</v>
      </c>
      <c r="D35" s="168" t="n">
        <v>0</v>
      </c>
      <c r="E35" s="167" t="s">
        <v>268</v>
      </c>
      <c r="F35" s="155" t="s">
        <v>457</v>
      </c>
    </row>
    <row r="36" customFormat="false" ht="15" hidden="false" customHeight="false" outlineLevel="0" collapsed="false">
      <c r="B36" s="182" t="s">
        <v>458</v>
      </c>
      <c r="D36" s="168" t="n">
        <v>0.15</v>
      </c>
      <c r="E36" s="167" t="s">
        <v>268</v>
      </c>
      <c r="F36" s="155" t="s">
        <v>459</v>
      </c>
    </row>
    <row r="37" customFormat="false" ht="15" hidden="false" customHeight="false" outlineLevel="0" collapsed="false">
      <c r="B37" s="182" t="s">
        <v>460</v>
      </c>
      <c r="D37" s="168" t="n">
        <v>0.72</v>
      </c>
      <c r="E37" s="167" t="s">
        <v>268</v>
      </c>
      <c r="F37" s="155" t="s">
        <v>461</v>
      </c>
    </row>
    <row r="38" customFormat="false" ht="74.6" hidden="false" customHeight="false" outlineLevel="0" collapsed="false">
      <c r="B38" s="182" t="s">
        <v>462</v>
      </c>
      <c r="D38" s="156" t="n">
        <v>12</v>
      </c>
      <c r="E38" s="167" t="s">
        <v>463</v>
      </c>
      <c r="F38" s="155" t="s">
        <v>464</v>
      </c>
    </row>
    <row r="39" customFormat="false" ht="32.8" hidden="false" customHeight="false" outlineLevel="0" collapsed="false">
      <c r="B39" s="182" t="s">
        <v>465</v>
      </c>
      <c r="D39" s="168" t="n">
        <v>0.375</v>
      </c>
      <c r="E39" s="167" t="s">
        <v>268</v>
      </c>
      <c r="F39" s="155" t="s">
        <v>466</v>
      </c>
    </row>
    <row r="40" customFormat="false" ht="32.8" hidden="false" customHeight="false" outlineLevel="0" collapsed="false">
      <c r="B40" s="182" t="s">
        <v>467</v>
      </c>
      <c r="D40" s="168" t="n">
        <v>0.65</v>
      </c>
      <c r="E40" s="167" t="s">
        <v>268</v>
      </c>
      <c r="F40" s="155" t="s">
        <v>468</v>
      </c>
    </row>
    <row r="41" customFormat="false" ht="15" hidden="false" customHeight="false" outlineLevel="0" collapsed="false">
      <c r="B41" s="181" t="s">
        <v>296</v>
      </c>
    </row>
    <row r="42" customFormat="false" ht="15" hidden="false" customHeight="false" outlineLevel="0" collapsed="false">
      <c r="B42" s="182" t="s">
        <v>297</v>
      </c>
      <c r="D42" s="168" t="n">
        <v>0.08</v>
      </c>
      <c r="E42" s="167" t="s">
        <v>268</v>
      </c>
    </row>
    <row r="43" customFormat="false" ht="15" hidden="false" customHeight="false" outlineLevel="0" collapsed="false">
      <c r="B43" s="182" t="s">
        <v>298</v>
      </c>
      <c r="D43" s="168" t="n">
        <v>0.1</v>
      </c>
      <c r="E43" s="167" t="s">
        <v>268</v>
      </c>
    </row>
    <row r="44" customFormat="false" ht="15" hidden="false" customHeight="false" outlineLevel="0" collapsed="false">
      <c r="B44" s="182" t="s">
        <v>299</v>
      </c>
      <c r="D44" s="9"/>
    </row>
    <row r="45" customFormat="false" ht="15" hidden="false" customHeight="false" outlineLevel="0" collapsed="false">
      <c r="B45" s="182" t="s">
        <v>299</v>
      </c>
      <c r="D45" s="9"/>
    </row>
    <row r="47" customFormat="false" ht="18" hidden="false" customHeight="true" outlineLevel="0" collapsed="false">
      <c r="B47" s="5" t="s">
        <v>300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9" customFormat="false" ht="43.25" hidden="false" customHeight="false" outlineLevel="0" collapsed="false">
      <c r="B49" s="182" t="s">
        <v>469</v>
      </c>
      <c r="D49" s="159" t="n">
        <f aca="false">$D$27*$D$28*$D$34*$D$35</f>
        <v>0</v>
      </c>
      <c r="E49" s="167" t="s">
        <v>265</v>
      </c>
      <c r="F49" s="155" t="s">
        <v>470</v>
      </c>
    </row>
    <row r="50" customFormat="false" ht="64.15" hidden="false" customHeight="false" outlineLevel="0" collapsed="false">
      <c r="B50" s="182" t="s">
        <v>471</v>
      </c>
      <c r="D50" s="159" t="n">
        <f aca="false">$D$29*$D$28*$D$36*$D$37</f>
        <v>0</v>
      </c>
      <c r="E50" s="167" t="s">
        <v>265</v>
      </c>
      <c r="F50" s="155" t="s">
        <v>472</v>
      </c>
    </row>
    <row r="51" customFormat="false" ht="53.7" hidden="false" customHeight="false" outlineLevel="0" collapsed="false">
      <c r="B51" s="182" t="s">
        <v>473</v>
      </c>
      <c r="D51" s="159" t="n">
        <f aca="false">$D$30*$D$31*$D$32*$D$39*$D$40</f>
        <v>0</v>
      </c>
      <c r="E51" s="167" t="s">
        <v>265</v>
      </c>
      <c r="F51" s="155" t="s">
        <v>474</v>
      </c>
    </row>
    <row r="53" customFormat="false" ht="18" hidden="false" customHeight="true" outlineLevel="0" collapsed="false">
      <c r="B53" s="5" t="s">
        <v>308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5" customFormat="false" ht="53.7" hidden="false" customHeight="false" outlineLevel="0" collapsed="false">
      <c r="B55" s="3" t="s">
        <v>309</v>
      </c>
      <c r="D55" s="156" t="n">
        <v>9</v>
      </c>
      <c r="F55" s="155" t="s">
        <v>310</v>
      </c>
    </row>
    <row r="56" customFormat="false" ht="15" hidden="false" customHeight="false" outlineLevel="0" collapsed="false">
      <c r="B56" s="10" t="s">
        <v>311</v>
      </c>
      <c r="T56" s="184" t="n">
        <f aca="false">MIN(1,MAX(0,((YEAR(T$6)-YEAR($D$13))*12+MONTH(T$6)-MONTH($D$13)+0.5)/MAX($D$55,0.5)))</f>
        <v>0</v>
      </c>
      <c r="U56" s="184" t="n">
        <f aca="false">MIN(1,MAX(0,((YEAR(U$6)-YEAR($D$13))*12+MONTH(U$6)-MONTH($D$13)+0.5)/MAX($D$55,0.5)))</f>
        <v>0</v>
      </c>
      <c r="V56" s="184" t="n">
        <f aca="false">MIN(1,MAX(0,((YEAR(V$6)-YEAR($D$13))*12+MONTH(V$6)-MONTH($D$13)+0.5)/MAX($D$55,0.5)))</f>
        <v>0</v>
      </c>
      <c r="W56" s="184" t="n">
        <f aca="false">MIN(1,MAX(0,((YEAR(W$6)-YEAR($D$13))*12+MONTH(W$6)-MONTH($D$13)+0.5)/MAX($D$55,0.5)))</f>
        <v>0</v>
      </c>
      <c r="X56" s="184" t="n">
        <f aca="false">MIN(1,MAX(0,((YEAR(X$6)-YEAR($D$13))*12+MONTH(X$6)-MONTH($D$13)+0.5)/MAX($D$55,0.5)))</f>
        <v>0</v>
      </c>
      <c r="Y56" s="184" t="n">
        <f aca="false">MIN(1,MAX(0,((YEAR(Y$6)-YEAR($D$13))*12+MONTH(Y$6)-MONTH($D$13)+0.5)/MAX($D$55,0.5)))</f>
        <v>0</v>
      </c>
      <c r="Z56" s="184" t="n">
        <f aca="false">MIN(1,MAX(0,((YEAR(Z$6)-YEAR($D$13))*12+MONTH(Z$6)-MONTH($D$13)+0.5)/MAX($D$55,0.5)))</f>
        <v>0</v>
      </c>
      <c r="AA56" s="184" t="n">
        <f aca="false">MIN(1,MAX(0,((YEAR(AA$6)-YEAR($D$13))*12+MONTH(AA$6)-MONTH($D$13)+0.5)/MAX($D$55,0.5)))</f>
        <v>0</v>
      </c>
      <c r="AB56" s="184" t="n">
        <f aca="false">MIN(1,MAX(0,((YEAR(AB$6)-YEAR($D$13))*12+MONTH(AB$6)-MONTH($D$13)+0.5)/MAX($D$55,0.5)))</f>
        <v>0</v>
      </c>
      <c r="AC56" s="184" t="n">
        <f aca="false">MIN(1,MAX(0,((YEAR(AC$6)-YEAR($D$13))*12+MONTH(AC$6)-MONTH($D$13)+0.5)/MAX($D$55,0.5)))</f>
        <v>0</v>
      </c>
      <c r="AD56" s="184" t="n">
        <f aca="false">MIN(1,MAX(0,((YEAR(AD$6)-YEAR($D$13))*12+MONTH(AD$6)-MONTH($D$13)+0.5)/MAX($D$55,0.5)))</f>
        <v>0</v>
      </c>
      <c r="AE56" s="184" t="n">
        <f aca="false">MIN(1,MAX(0,((YEAR(AE$6)-YEAR($D$13))*12+MONTH(AE$6)-MONTH($D$13)+0.5)/MAX($D$55,0.5)))</f>
        <v>0</v>
      </c>
      <c r="AF56" s="184" t="n">
        <f aca="false">MIN(1,MAX(0,((YEAR(AF$6)-YEAR($D$13))*12+MONTH(AF$6)-MONTH($D$13)+0.5)/MAX($D$55,0.5)))</f>
        <v>0</v>
      </c>
      <c r="AG56" s="184" t="n">
        <f aca="false">MIN(1,MAX(0,((YEAR(AG$6)-YEAR($D$13))*12+MONTH(AG$6)-MONTH($D$13)+0.5)/MAX($D$55,0.5)))</f>
        <v>0</v>
      </c>
      <c r="AH56" s="184" t="n">
        <f aca="false">MIN(1,MAX(0,((YEAR(AH$6)-YEAR($D$13))*12+MONTH(AH$6)-MONTH($D$13)+0.5)/MAX($D$55,0.5)))</f>
        <v>0</v>
      </c>
      <c r="AI56" s="184" t="n">
        <f aca="false">MIN(1,MAX(0,((YEAR(AI$6)-YEAR($D$13))*12+MONTH(AI$6)-MONTH($D$13)+0.5)/MAX($D$55,0.5)))</f>
        <v>0.0555555555555556</v>
      </c>
      <c r="AJ56" s="184" t="n">
        <f aca="false">MIN(1,MAX(0,((YEAR(AJ$6)-YEAR($D$13))*12+MONTH(AJ$6)-MONTH($D$13)+0.5)/MAX($D$55,0.5)))</f>
        <v>0.166666666666667</v>
      </c>
      <c r="AK56" s="184" t="n">
        <f aca="false">MIN(1,MAX(0,((YEAR(AK$6)-YEAR($D$13))*12+MONTH(AK$6)-MONTH($D$13)+0.5)/MAX($D$55,0.5)))</f>
        <v>0.277777777777778</v>
      </c>
      <c r="AL56" s="184" t="n">
        <f aca="false">MIN(1,MAX(0,((YEAR(AL$6)-YEAR($D$13))*12+MONTH(AL$6)-MONTH($D$13)+0.5)/MAX($D$55,0.5)))</f>
        <v>0.388888888888889</v>
      </c>
      <c r="AM56" s="184" t="n">
        <f aca="false">MIN(1,MAX(0,((YEAR(AM$6)-YEAR($D$13))*12+MONTH(AM$6)-MONTH($D$13)+0.5)/MAX($D$55,0.5)))</f>
        <v>0.5</v>
      </c>
      <c r="AN56" s="184" t="n">
        <f aca="false">MIN(1,MAX(0,((YEAR(AN$6)-YEAR($D$13))*12+MONTH(AN$6)-MONTH($D$13)+0.5)/MAX($D$55,0.5)))</f>
        <v>0.611111111111111</v>
      </c>
      <c r="AO56" s="184" t="n">
        <f aca="false">MIN(1,MAX(0,((YEAR(AO$6)-YEAR($D$13))*12+MONTH(AO$6)-MONTH($D$13)+0.5)/MAX($D$55,0.5)))</f>
        <v>0.722222222222222</v>
      </c>
      <c r="AP56" s="184" t="n">
        <f aca="false">MIN(1,MAX(0,((YEAR(AP$6)-YEAR($D$13))*12+MONTH(AP$6)-MONTH($D$13)+0.5)/MAX($D$55,0.5)))</f>
        <v>0.833333333333333</v>
      </c>
      <c r="AQ56" s="184" t="n">
        <f aca="false">MIN(1,MAX(0,((YEAR(AQ$6)-YEAR($D$13))*12+MONTH(AQ$6)-MONTH($D$13)+0.5)/MAX($D$55,0.5)))</f>
        <v>0.944444444444444</v>
      </c>
      <c r="AR56" s="184" t="n">
        <f aca="false">MIN(1,MAX(0,((YEAR(AR$6)-YEAR($D$13))*12+MONTH(AR$6)-MONTH($D$13)+0.5)/MAX($D$55,0.5)))</f>
        <v>1</v>
      </c>
      <c r="AS56" s="184" t="n">
        <f aca="false">MIN(1,MAX(0,((YEAR(AS$6)-YEAR($D$13))*12+MONTH(AS$6)-MONTH($D$13)+0.5)/MAX($D$55,0.5)))</f>
        <v>1</v>
      </c>
      <c r="AT56" s="184" t="n">
        <f aca="false">MIN(1,MAX(0,((YEAR(AT$6)-YEAR($D$13))*12+MONTH(AT$6)-MONTH($D$13)+0.5)/MAX($D$55,0.5)))</f>
        <v>1</v>
      </c>
      <c r="AU56" s="184" t="n">
        <f aca="false">MIN(1,MAX(0,((YEAR(AU$6)-YEAR($D$13))*12+MONTH(AU$6)-MONTH($D$13)+0.5)/MAX($D$55,0.5)))</f>
        <v>1</v>
      </c>
      <c r="AV56" s="184" t="n">
        <f aca="false">MIN(1,MAX(0,((YEAR(AV$6)-YEAR($D$13))*12+MONTH(AV$6)-MONTH($D$13)+0.5)/MAX($D$55,0.5)))</f>
        <v>1</v>
      </c>
      <c r="AW56" s="184" t="n">
        <f aca="false">MIN(1,MAX(0,((YEAR(AW$6)-YEAR($D$13))*12+MONTH(AW$6)-MONTH($D$13)+0.5)/MAX($D$55,0.5)))</f>
        <v>1</v>
      </c>
      <c r="AX56" s="184" t="n">
        <f aca="false">MIN(1,MAX(0,((YEAR(AX$6)-YEAR($D$13))*12+MONTH(AX$6)-MONTH($D$13)+0.5)/MAX($D$55,0.5)))</f>
        <v>1</v>
      </c>
      <c r="AY56" s="184" t="n">
        <f aca="false">MIN(1,MAX(0,((YEAR(AY$6)-YEAR($D$13))*12+MONTH(AY$6)-MONTH($D$13)+0.5)/MAX($D$55,0.5)))</f>
        <v>1</v>
      </c>
      <c r="AZ56" s="184" t="n">
        <f aca="false">MIN(1,MAX(0,((YEAR(AZ$6)-YEAR($D$13))*12+MONTH(AZ$6)-MONTH($D$13)+0.5)/MAX($D$55,0.5)))</f>
        <v>1</v>
      </c>
      <c r="BA56" s="184" t="n">
        <f aca="false">MIN(1,MAX(0,((YEAR(BA$6)-YEAR($D$13))*12+MONTH(BA$6)-MONTH($D$13)+0.5)/MAX($D$55,0.5)))</f>
        <v>1</v>
      </c>
      <c r="BB56" s="184" t="n">
        <f aca="false">MIN(1,MAX(0,((YEAR(BB$6)-YEAR($D$13))*12+MONTH(BB$6)-MONTH($D$13)+0.5)/MAX($D$55,0.5)))</f>
        <v>1</v>
      </c>
      <c r="BC56" s="184" t="n">
        <f aca="false">MIN(1,MAX(0,((YEAR(BC$6)-YEAR($D$13))*12+MONTH(BC$6)-MONTH($D$13)+0.5)/MAX($D$55,0.5)))</f>
        <v>1</v>
      </c>
      <c r="BD56" s="184" t="n">
        <f aca="false">MIN(1,MAX(0,((YEAR(BD$6)-YEAR($D$13))*12+MONTH(BD$6)-MONTH($D$13)+0.5)/MAX($D$55,0.5)))</f>
        <v>1</v>
      </c>
      <c r="BE56" s="184" t="n">
        <f aca="false">MIN(1,MAX(0,((YEAR(BE$6)-YEAR($D$13))*12+MONTH(BE$6)-MONTH($D$13)+0.5)/MAX($D$55,0.5)))</f>
        <v>1</v>
      </c>
      <c r="BF56" s="184" t="n">
        <f aca="false">MIN(1,MAX(0,((YEAR(BF$6)-YEAR($D$13))*12+MONTH(BF$6)-MONTH($D$13)+0.5)/MAX($D$55,0.5)))</f>
        <v>1</v>
      </c>
      <c r="BG56" s="184" t="n">
        <f aca="false">MIN(1,MAX(0,((YEAR(BG$6)-YEAR($D$13))*12+MONTH(BG$6)-MONTH($D$13)+0.5)/MAX($D$55,0.5)))</f>
        <v>1</v>
      </c>
      <c r="BH56" s="184" t="n">
        <f aca="false">MIN(1,MAX(0,((YEAR(BH$6)-YEAR($D$13))*12+MONTH(BH$6)-MONTH($D$13)+0.5)/MAX($D$55,0.5)))</f>
        <v>1</v>
      </c>
      <c r="BI56" s="184" t="n">
        <f aca="false">MIN(1,MAX(0,((YEAR(BI$6)-YEAR($D$13))*12+MONTH(BI$6)-MONTH($D$13)+0.5)/MAX($D$55,0.5)))</f>
        <v>1</v>
      </c>
      <c r="BJ56" s="184" t="n">
        <f aca="false">MIN(1,MAX(0,((YEAR(BJ$6)-YEAR($D$13))*12+MONTH(BJ$6)-MONTH($D$13)+0.5)/MAX($D$55,0.5)))</f>
        <v>1</v>
      </c>
      <c r="BK56" s="184" t="n">
        <f aca="false">MIN(1,MAX(0,((YEAR(BK$6)-YEAR($D$13))*12+MONTH(BK$6)-MONTH($D$13)+0.5)/MAX($D$55,0.5)))</f>
        <v>1</v>
      </c>
      <c r="BL56" s="184" t="n">
        <f aca="false">MIN(1,MAX(0,((YEAR(BL$6)-YEAR($D$13))*12+MONTH(BL$6)-MONTH($D$13)+0.5)/MAX($D$55,0.5)))</f>
        <v>1</v>
      </c>
      <c r="BM56" s="184" t="n">
        <f aca="false">MIN(1,MAX(0,((YEAR(BM$6)-YEAR($D$13))*12+MONTH(BM$6)-MONTH($D$13)+0.5)/MAX($D$55,0.5)))</f>
        <v>1</v>
      </c>
      <c r="BN56" s="184" t="n">
        <f aca="false">MIN(1,MAX(0,((YEAR(BN$6)-YEAR($D$13))*12+MONTH(BN$6)-MONTH($D$13)+0.5)/MAX($D$55,0.5)))</f>
        <v>1</v>
      </c>
      <c r="BO56" s="184" t="n">
        <f aca="false">MIN(1,MAX(0,((YEAR(BO$6)-YEAR($D$13))*12+MONTH(BO$6)-MONTH($D$13)+0.5)/MAX($D$55,0.5)))</f>
        <v>1</v>
      </c>
      <c r="BP56" s="184" t="n">
        <f aca="false">MIN(1,MAX(0,((YEAR(BP$6)-YEAR($D$13))*12+MONTH(BP$6)-MONTH($D$13)+0.5)/MAX($D$55,0.5)))</f>
        <v>1</v>
      </c>
      <c r="BQ56" s="184" t="n">
        <f aca="false">MIN(1,MAX(0,((YEAR(BQ$6)-YEAR($D$13))*12+MONTH(BQ$6)-MONTH($D$13)+0.5)/MAX($D$55,0.5)))</f>
        <v>1</v>
      </c>
      <c r="BR56" s="184" t="n">
        <f aca="false">MIN(1,MAX(0,((YEAR(BR$6)-YEAR($D$13))*12+MONTH(BR$6)-MONTH($D$13)+0.5)/MAX($D$55,0.5)))</f>
        <v>1</v>
      </c>
      <c r="BS56" s="184" t="n">
        <f aca="false">MIN(1,MAX(0,((YEAR(BS$6)-YEAR($D$13))*12+MONTH(BS$6)-MONTH($D$13)+0.5)/MAX($D$55,0.5)))</f>
        <v>1</v>
      </c>
      <c r="BT56" s="184" t="n">
        <f aca="false">MIN(1,MAX(0,((YEAR(BT$6)-YEAR($D$13))*12+MONTH(BT$6)-MONTH($D$13)+0.5)/MAX($D$55,0.5)))</f>
        <v>1</v>
      </c>
      <c r="BU56" s="184" t="n">
        <f aca="false">MIN(1,MAX(0,((YEAR(BU$6)-YEAR($D$13))*12+MONTH(BU$6)-MONTH($D$13)+0.5)/MAX($D$55,0.5)))</f>
        <v>1</v>
      </c>
      <c r="BV56" s="184" t="n">
        <f aca="false">MIN(1,MAX(0,((YEAR(BV$6)-YEAR($D$13))*12+MONTH(BV$6)-MONTH($D$13)+0.5)/MAX($D$55,0.5)))</f>
        <v>1</v>
      </c>
      <c r="BW56" s="184" t="n">
        <f aca="false">MIN(1,MAX(0,((YEAR(BW$6)-YEAR($D$13))*12+MONTH(BW$6)-MONTH($D$13)+0.5)/MAX($D$55,0.5)))</f>
        <v>1</v>
      </c>
      <c r="BX56" s="184" t="n">
        <f aca="false">MIN(1,MAX(0,((YEAR(BX$6)-YEAR($D$13))*12+MONTH(BX$6)-MONTH($D$13)+0.5)/MAX($D$55,0.5)))</f>
        <v>1</v>
      </c>
      <c r="BY56" s="184" t="n">
        <f aca="false">MIN(1,MAX(0,((YEAR(BY$6)-YEAR($D$13))*12+MONTH(BY$6)-MONTH($D$13)+0.5)/MAX($D$55,0.5)))</f>
        <v>1</v>
      </c>
      <c r="BZ56" s="184" t="n">
        <f aca="false">MIN(1,MAX(0,((YEAR(BZ$6)-YEAR($D$13))*12+MONTH(BZ$6)-MONTH($D$13)+0.5)/MAX($D$55,0.5)))</f>
        <v>1</v>
      </c>
      <c r="CA56" s="184" t="n">
        <f aca="false">MIN(1,MAX(0,((YEAR(CA$6)-YEAR($D$13))*12+MONTH(CA$6)-MONTH($D$13)+0.5)/MAX($D$55,0.5)))</f>
        <v>1</v>
      </c>
    </row>
    <row r="57" customFormat="false" ht="15" hidden="false" customHeight="false" outlineLevel="0" collapsed="false">
      <c r="B57" s="10" t="s">
        <v>312</v>
      </c>
      <c r="L57" s="184" t="n">
        <f aca="false">SUMIFS($T56:$CA56,$T$5:$CA$5,2026)/12</f>
        <v>0</v>
      </c>
      <c r="M57" s="184" t="n">
        <f aca="false">SUMIFS($T56:$CA56,$T$5:$CA$5,2027)/12</f>
        <v>0.375</v>
      </c>
      <c r="N57" s="184" t="n">
        <f aca="false">SUMIFS($T56:$CA56,$T$5:$CA$5,2028)/12</f>
        <v>1</v>
      </c>
      <c r="O57" s="184" t="n">
        <f aca="false">SUMIFS($T56:$CA56,$T$5:$CA$5,2029)/12</f>
        <v>1</v>
      </c>
      <c r="P57" s="184" t="n">
        <f aca="false">SUMIFS($T56:$CA56,$T$5:$CA$5,2030)/12</f>
        <v>1</v>
      </c>
    </row>
    <row r="59" customFormat="false" ht="18" hidden="false" customHeight="true" outlineLevel="0" collapsed="false">
      <c r="B59" s="5" t="s">
        <v>313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1" customFormat="false" ht="15" hidden="false" customHeight="false" outlineLevel="0" collapsed="false">
      <c r="B61" s="185" t="s">
        <v>314</v>
      </c>
      <c r="D61" s="169" t="s">
        <v>315</v>
      </c>
      <c r="K61" s="186" t="s">
        <v>245</v>
      </c>
    </row>
    <row r="62" customFormat="false" ht="15" hidden="false" customHeight="false" outlineLevel="0" collapsed="false">
      <c r="B62" s="10" t="s">
        <v>475</v>
      </c>
      <c r="D62" s="187" t="n">
        <f aca="false">$D$27*$D$28/1000000</f>
        <v>0</v>
      </c>
      <c r="K62" s="187" t="n">
        <f aca="false">SUMIFS($T62:$CA62,$T$5:$CA$5,2030)</f>
        <v>0</v>
      </c>
      <c r="L62" s="187" t="n">
        <f aca="false">SUMIFS($T62:$CA62,$T$5:$CA$5,2026)</f>
        <v>0</v>
      </c>
      <c r="M62" s="187" t="n">
        <f aca="false">SUMIFS($T62:$CA62,$T$5:$CA$5,2027)</f>
        <v>0</v>
      </c>
      <c r="N62" s="187" t="n">
        <f aca="false">SUMIFS($T62:$CA62,$T$5:$CA$5,2028)</f>
        <v>0</v>
      </c>
      <c r="O62" s="187" t="n">
        <f aca="false">SUMIFS($T62:$CA62,$T$5:$CA$5,2029)</f>
        <v>0</v>
      </c>
      <c r="P62" s="187" t="n">
        <f aca="false">SUMIFS($T62:$CA62,$T$5:$CA$5,2030)</f>
        <v>0</v>
      </c>
      <c r="R62" s="10"/>
      <c r="T62" s="187" t="n">
        <f aca="false">($D$49)/1000000/12*T$56</f>
        <v>0</v>
      </c>
      <c r="U62" s="187" t="n">
        <f aca="false">($D$49)/1000000/12*U$56</f>
        <v>0</v>
      </c>
      <c r="V62" s="187" t="n">
        <f aca="false">($D$49)/1000000/12*V$56</f>
        <v>0</v>
      </c>
      <c r="W62" s="187" t="n">
        <f aca="false">($D$49)/1000000/12*W$56</f>
        <v>0</v>
      </c>
      <c r="X62" s="187" t="n">
        <f aca="false">($D$49)/1000000/12*X$56</f>
        <v>0</v>
      </c>
      <c r="Y62" s="187" t="n">
        <f aca="false">($D$49)/1000000/12*Y$56</f>
        <v>0</v>
      </c>
      <c r="Z62" s="187" t="n">
        <f aca="false">($D$49)/1000000/12*Z$56</f>
        <v>0</v>
      </c>
      <c r="AA62" s="187" t="n">
        <f aca="false">($D$49)/1000000/12*AA$56</f>
        <v>0</v>
      </c>
      <c r="AB62" s="187" t="n">
        <f aca="false">($D$49)/1000000/12*AB$56</f>
        <v>0</v>
      </c>
      <c r="AC62" s="187" t="n">
        <f aca="false">($D$49)/1000000/12*AC$56</f>
        <v>0</v>
      </c>
      <c r="AD62" s="187" t="n">
        <f aca="false">($D$49)/1000000/12*AD$56</f>
        <v>0</v>
      </c>
      <c r="AE62" s="187" t="n">
        <f aca="false">($D$49)/1000000/12*AE$56</f>
        <v>0</v>
      </c>
      <c r="AF62" s="187" t="n">
        <f aca="false">($D$49)/1000000/12*AF$56</f>
        <v>0</v>
      </c>
      <c r="AG62" s="187" t="n">
        <f aca="false">($D$49)/1000000/12*AG$56</f>
        <v>0</v>
      </c>
      <c r="AH62" s="187" t="n">
        <f aca="false">($D$49)/1000000/12*AH$56</f>
        <v>0</v>
      </c>
      <c r="AI62" s="187" t="n">
        <f aca="false">($D$49)/1000000/12*AI$56</f>
        <v>0</v>
      </c>
      <c r="AJ62" s="187" t="n">
        <f aca="false">($D$49)/1000000/12*AJ$56</f>
        <v>0</v>
      </c>
      <c r="AK62" s="187" t="n">
        <f aca="false">($D$49)/1000000/12*AK$56</f>
        <v>0</v>
      </c>
      <c r="AL62" s="187" t="n">
        <f aca="false">($D$49)/1000000/12*AL$56</f>
        <v>0</v>
      </c>
      <c r="AM62" s="187" t="n">
        <f aca="false">($D$49)/1000000/12*AM$56</f>
        <v>0</v>
      </c>
      <c r="AN62" s="187" t="n">
        <f aca="false">($D$49)/1000000/12*AN$56</f>
        <v>0</v>
      </c>
      <c r="AO62" s="187" t="n">
        <f aca="false">($D$49)/1000000/12*AO$56</f>
        <v>0</v>
      </c>
      <c r="AP62" s="187" t="n">
        <f aca="false">($D$49)/1000000/12*AP$56</f>
        <v>0</v>
      </c>
      <c r="AQ62" s="187" t="n">
        <f aca="false">($D$49)/1000000/12*AQ$56</f>
        <v>0</v>
      </c>
      <c r="AR62" s="187" t="n">
        <f aca="false">($D$49)/1000000/12*AR$56</f>
        <v>0</v>
      </c>
      <c r="AS62" s="187" t="n">
        <f aca="false">($D$49)/1000000/12*AS$56</f>
        <v>0</v>
      </c>
      <c r="AT62" s="187" t="n">
        <f aca="false">($D$49)/1000000/12*AT$56</f>
        <v>0</v>
      </c>
      <c r="AU62" s="187" t="n">
        <f aca="false">($D$49)/1000000/12*AU$56</f>
        <v>0</v>
      </c>
      <c r="AV62" s="187" t="n">
        <f aca="false">($D$49)/1000000/12*AV$56</f>
        <v>0</v>
      </c>
      <c r="AW62" s="187" t="n">
        <f aca="false">($D$49)/1000000/12*AW$56</f>
        <v>0</v>
      </c>
      <c r="AX62" s="187" t="n">
        <f aca="false">($D$49)/1000000/12*AX$56</f>
        <v>0</v>
      </c>
      <c r="AY62" s="187" t="n">
        <f aca="false">($D$49)/1000000/12*AY$56</f>
        <v>0</v>
      </c>
      <c r="AZ62" s="187" t="n">
        <f aca="false">($D$49)/1000000/12*AZ$56</f>
        <v>0</v>
      </c>
      <c r="BA62" s="187" t="n">
        <f aca="false">($D$49)/1000000/12*BA$56</f>
        <v>0</v>
      </c>
      <c r="BB62" s="187" t="n">
        <f aca="false">($D$49)/1000000/12*BB$56</f>
        <v>0</v>
      </c>
      <c r="BC62" s="187" t="n">
        <f aca="false">($D$49)/1000000/12*BC$56</f>
        <v>0</v>
      </c>
      <c r="BD62" s="187" t="n">
        <f aca="false">($D$49)/1000000/12*BD$56</f>
        <v>0</v>
      </c>
      <c r="BE62" s="187" t="n">
        <f aca="false">($D$49)/1000000/12*BE$56</f>
        <v>0</v>
      </c>
      <c r="BF62" s="187" t="n">
        <f aca="false">($D$49)/1000000/12*BF$56</f>
        <v>0</v>
      </c>
      <c r="BG62" s="187" t="n">
        <f aca="false">($D$49)/1000000/12*BG$56</f>
        <v>0</v>
      </c>
      <c r="BH62" s="187" t="n">
        <f aca="false">($D$49)/1000000/12*BH$56</f>
        <v>0</v>
      </c>
      <c r="BI62" s="187" t="n">
        <f aca="false">($D$49)/1000000/12*BI$56</f>
        <v>0</v>
      </c>
      <c r="BJ62" s="187" t="n">
        <f aca="false">($D$49)/1000000/12*BJ$56</f>
        <v>0</v>
      </c>
      <c r="BK62" s="187" t="n">
        <f aca="false">($D$49)/1000000/12*BK$56</f>
        <v>0</v>
      </c>
      <c r="BL62" s="187" t="n">
        <f aca="false">($D$49)/1000000/12*BL$56</f>
        <v>0</v>
      </c>
      <c r="BM62" s="187" t="n">
        <f aca="false">($D$49)/1000000/12*BM$56</f>
        <v>0</v>
      </c>
      <c r="BN62" s="187" t="n">
        <f aca="false">($D$49)/1000000/12*BN$56</f>
        <v>0</v>
      </c>
      <c r="BO62" s="187" t="n">
        <f aca="false">($D$49)/1000000/12*BO$56</f>
        <v>0</v>
      </c>
      <c r="BP62" s="187" t="n">
        <f aca="false">($D$49)/1000000/12*BP$56</f>
        <v>0</v>
      </c>
      <c r="BQ62" s="187" t="n">
        <f aca="false">($D$49)/1000000/12*BQ$56</f>
        <v>0</v>
      </c>
      <c r="BR62" s="187" t="n">
        <f aca="false">($D$49)/1000000/12*BR$56</f>
        <v>0</v>
      </c>
      <c r="BS62" s="187" t="n">
        <f aca="false">($D$49)/1000000/12*BS$56</f>
        <v>0</v>
      </c>
      <c r="BT62" s="187" t="n">
        <f aca="false">($D$49)/1000000/12*BT$56</f>
        <v>0</v>
      </c>
      <c r="BU62" s="187" t="n">
        <f aca="false">($D$49)/1000000/12*BU$56</f>
        <v>0</v>
      </c>
      <c r="BV62" s="187" t="n">
        <f aca="false">($D$49)/1000000/12*BV$56</f>
        <v>0</v>
      </c>
      <c r="BW62" s="187" t="n">
        <f aca="false">($D$49)/1000000/12*BW$56</f>
        <v>0</v>
      </c>
      <c r="BX62" s="187" t="n">
        <f aca="false">($D$49)/1000000/12*BX$56</f>
        <v>0</v>
      </c>
      <c r="BY62" s="187" t="n">
        <f aca="false">($D$49)/1000000/12*BY$56</f>
        <v>0</v>
      </c>
      <c r="BZ62" s="187" t="n">
        <f aca="false">($D$49)/1000000/12*BZ$56</f>
        <v>0</v>
      </c>
      <c r="CA62" s="187" t="n">
        <f aca="false">($D$49)/1000000/12*CA$56</f>
        <v>0</v>
      </c>
    </row>
    <row r="63" customFormat="false" ht="15" hidden="false" customHeight="false" outlineLevel="0" collapsed="false">
      <c r="B63" s="10" t="s">
        <v>476</v>
      </c>
      <c r="D63" s="187" t="n">
        <f aca="false">$D$29*$D$28/1000000</f>
        <v>0</v>
      </c>
      <c r="K63" s="187" t="n">
        <f aca="false">SUMIFS($T63:$CA63,$T$5:$CA$5,2030)</f>
        <v>0</v>
      </c>
      <c r="L63" s="187" t="n">
        <f aca="false">SUMIFS($T63:$CA63,$T$5:$CA$5,2026)</f>
        <v>0</v>
      </c>
      <c r="M63" s="187" t="n">
        <f aca="false">SUMIFS($T63:$CA63,$T$5:$CA$5,2027)</f>
        <v>0</v>
      </c>
      <c r="N63" s="187" t="n">
        <f aca="false">SUMIFS($T63:$CA63,$T$5:$CA$5,2028)</f>
        <v>0</v>
      </c>
      <c r="O63" s="187" t="n">
        <f aca="false">SUMIFS($T63:$CA63,$T$5:$CA$5,2029)</f>
        <v>0</v>
      </c>
      <c r="P63" s="187" t="n">
        <f aca="false">SUMIFS($T63:$CA63,$T$5:$CA$5,2030)</f>
        <v>0</v>
      </c>
      <c r="R63" s="10"/>
      <c r="T63" s="187" t="n">
        <f aca="false">($D$50)/1000000/12*T$56</f>
        <v>0</v>
      </c>
      <c r="U63" s="187" t="n">
        <f aca="false">($D$50)/1000000/12*U$56</f>
        <v>0</v>
      </c>
      <c r="V63" s="187" t="n">
        <f aca="false">($D$50)/1000000/12*V$56</f>
        <v>0</v>
      </c>
      <c r="W63" s="187" t="n">
        <f aca="false">($D$50)/1000000/12*W$56</f>
        <v>0</v>
      </c>
      <c r="X63" s="187" t="n">
        <f aca="false">($D$50)/1000000/12*X$56</f>
        <v>0</v>
      </c>
      <c r="Y63" s="187" t="n">
        <f aca="false">($D$50)/1000000/12*Y$56</f>
        <v>0</v>
      </c>
      <c r="Z63" s="187" t="n">
        <f aca="false">($D$50)/1000000/12*Z$56</f>
        <v>0</v>
      </c>
      <c r="AA63" s="187" t="n">
        <f aca="false">($D$50)/1000000/12*AA$56</f>
        <v>0</v>
      </c>
      <c r="AB63" s="187" t="n">
        <f aca="false">($D$50)/1000000/12*AB$56</f>
        <v>0</v>
      </c>
      <c r="AC63" s="187" t="n">
        <f aca="false">($D$50)/1000000/12*AC$56</f>
        <v>0</v>
      </c>
      <c r="AD63" s="187" t="n">
        <f aca="false">($D$50)/1000000/12*AD$56</f>
        <v>0</v>
      </c>
      <c r="AE63" s="187" t="n">
        <f aca="false">($D$50)/1000000/12*AE$56</f>
        <v>0</v>
      </c>
      <c r="AF63" s="187" t="n">
        <f aca="false">($D$50)/1000000/12*AF$56</f>
        <v>0</v>
      </c>
      <c r="AG63" s="187" t="n">
        <f aca="false">($D$50)/1000000/12*AG$56</f>
        <v>0</v>
      </c>
      <c r="AH63" s="187" t="n">
        <f aca="false">($D$50)/1000000/12*AH$56</f>
        <v>0</v>
      </c>
      <c r="AI63" s="187" t="n">
        <f aca="false">($D$50)/1000000/12*AI$56</f>
        <v>0</v>
      </c>
      <c r="AJ63" s="187" t="n">
        <f aca="false">($D$50)/1000000/12*AJ$56</f>
        <v>0</v>
      </c>
      <c r="AK63" s="187" t="n">
        <f aca="false">($D$50)/1000000/12*AK$56</f>
        <v>0</v>
      </c>
      <c r="AL63" s="187" t="n">
        <f aca="false">($D$50)/1000000/12*AL$56</f>
        <v>0</v>
      </c>
      <c r="AM63" s="187" t="n">
        <f aca="false">($D$50)/1000000/12*AM$56</f>
        <v>0</v>
      </c>
      <c r="AN63" s="187" t="n">
        <f aca="false">($D$50)/1000000/12*AN$56</f>
        <v>0</v>
      </c>
      <c r="AO63" s="187" t="n">
        <f aca="false">($D$50)/1000000/12*AO$56</f>
        <v>0</v>
      </c>
      <c r="AP63" s="187" t="n">
        <f aca="false">($D$50)/1000000/12*AP$56</f>
        <v>0</v>
      </c>
      <c r="AQ63" s="187" t="n">
        <f aca="false">($D$50)/1000000/12*AQ$56</f>
        <v>0</v>
      </c>
      <c r="AR63" s="187" t="n">
        <f aca="false">($D$50)/1000000/12*AR$56</f>
        <v>0</v>
      </c>
      <c r="AS63" s="187" t="n">
        <f aca="false">($D$50)/1000000/12*AS$56</f>
        <v>0</v>
      </c>
      <c r="AT63" s="187" t="n">
        <f aca="false">($D$50)/1000000/12*AT$56</f>
        <v>0</v>
      </c>
      <c r="AU63" s="187" t="n">
        <f aca="false">($D$50)/1000000/12*AU$56</f>
        <v>0</v>
      </c>
      <c r="AV63" s="187" t="n">
        <f aca="false">($D$50)/1000000/12*AV$56</f>
        <v>0</v>
      </c>
      <c r="AW63" s="187" t="n">
        <f aca="false">($D$50)/1000000/12*AW$56</f>
        <v>0</v>
      </c>
      <c r="AX63" s="187" t="n">
        <f aca="false">($D$50)/1000000/12*AX$56</f>
        <v>0</v>
      </c>
      <c r="AY63" s="187" t="n">
        <f aca="false">($D$50)/1000000/12*AY$56</f>
        <v>0</v>
      </c>
      <c r="AZ63" s="187" t="n">
        <f aca="false">($D$50)/1000000/12*AZ$56</f>
        <v>0</v>
      </c>
      <c r="BA63" s="187" t="n">
        <f aca="false">($D$50)/1000000/12*BA$56</f>
        <v>0</v>
      </c>
      <c r="BB63" s="187" t="n">
        <f aca="false">($D$50)/1000000/12*BB$56</f>
        <v>0</v>
      </c>
      <c r="BC63" s="187" t="n">
        <f aca="false">($D$50)/1000000/12*BC$56</f>
        <v>0</v>
      </c>
      <c r="BD63" s="187" t="n">
        <f aca="false">($D$50)/1000000/12*BD$56</f>
        <v>0</v>
      </c>
      <c r="BE63" s="187" t="n">
        <f aca="false">($D$50)/1000000/12*BE$56</f>
        <v>0</v>
      </c>
      <c r="BF63" s="187" t="n">
        <f aca="false">($D$50)/1000000/12*BF$56</f>
        <v>0</v>
      </c>
      <c r="BG63" s="187" t="n">
        <f aca="false">($D$50)/1000000/12*BG$56</f>
        <v>0</v>
      </c>
      <c r="BH63" s="187" t="n">
        <f aca="false">($D$50)/1000000/12*BH$56</f>
        <v>0</v>
      </c>
      <c r="BI63" s="187" t="n">
        <f aca="false">($D$50)/1000000/12*BI$56</f>
        <v>0</v>
      </c>
      <c r="BJ63" s="187" t="n">
        <f aca="false">($D$50)/1000000/12*BJ$56</f>
        <v>0</v>
      </c>
      <c r="BK63" s="187" t="n">
        <f aca="false">($D$50)/1000000/12*BK$56</f>
        <v>0</v>
      </c>
      <c r="BL63" s="187" t="n">
        <f aca="false">($D$50)/1000000/12*BL$56</f>
        <v>0</v>
      </c>
      <c r="BM63" s="187" t="n">
        <f aca="false">($D$50)/1000000/12*BM$56</f>
        <v>0</v>
      </c>
      <c r="BN63" s="187" t="n">
        <f aca="false">($D$50)/1000000/12*BN$56</f>
        <v>0</v>
      </c>
      <c r="BO63" s="187" t="n">
        <f aca="false">($D$50)/1000000/12*BO$56</f>
        <v>0</v>
      </c>
      <c r="BP63" s="187" t="n">
        <f aca="false">($D$50)/1000000/12*BP$56</f>
        <v>0</v>
      </c>
      <c r="BQ63" s="187" t="n">
        <f aca="false">($D$50)/1000000/12*BQ$56</f>
        <v>0</v>
      </c>
      <c r="BR63" s="187" t="n">
        <f aca="false">($D$50)/1000000/12*BR$56</f>
        <v>0</v>
      </c>
      <c r="BS63" s="187" t="n">
        <f aca="false">($D$50)/1000000/12*BS$56</f>
        <v>0</v>
      </c>
      <c r="BT63" s="187" t="n">
        <f aca="false">($D$50)/1000000/12*BT$56</f>
        <v>0</v>
      </c>
      <c r="BU63" s="187" t="n">
        <f aca="false">($D$50)/1000000/12*BU$56</f>
        <v>0</v>
      </c>
      <c r="BV63" s="187" t="n">
        <f aca="false">($D$50)/1000000/12*BV$56</f>
        <v>0</v>
      </c>
      <c r="BW63" s="187" t="n">
        <f aca="false">($D$50)/1000000/12*BW$56</f>
        <v>0</v>
      </c>
      <c r="BX63" s="187" t="n">
        <f aca="false">($D$50)/1000000/12*BX$56</f>
        <v>0</v>
      </c>
      <c r="BY63" s="187" t="n">
        <f aca="false">($D$50)/1000000/12*BY$56</f>
        <v>0</v>
      </c>
      <c r="BZ63" s="187" t="n">
        <f aca="false">($D$50)/1000000/12*BZ$56</f>
        <v>0</v>
      </c>
      <c r="CA63" s="187" t="n">
        <f aca="false">($D$50)/1000000/12*CA$56</f>
        <v>0</v>
      </c>
    </row>
    <row r="64" customFormat="false" ht="15" hidden="false" customHeight="false" outlineLevel="0" collapsed="false">
      <c r="B64" s="10" t="s">
        <v>477</v>
      </c>
      <c r="D64" s="187" t="n">
        <f aca="false">$D$30*$D$31/1000000</f>
        <v>0</v>
      </c>
      <c r="K64" s="187" t="n">
        <f aca="false">SUMIFS($T64:$CA64,$T$5:$CA$5,2030)</f>
        <v>0</v>
      </c>
      <c r="L64" s="187" t="n">
        <f aca="false">SUMIFS($T64:$CA64,$T$5:$CA$5,2026)</f>
        <v>0</v>
      </c>
      <c r="M64" s="187" t="n">
        <f aca="false">SUMIFS($T64:$CA64,$T$5:$CA$5,2027)</f>
        <v>0</v>
      </c>
      <c r="N64" s="187" t="n">
        <f aca="false">SUMIFS($T64:$CA64,$T$5:$CA$5,2028)</f>
        <v>0</v>
      </c>
      <c r="O64" s="187" t="n">
        <f aca="false">SUMIFS($T64:$CA64,$T$5:$CA$5,2029)</f>
        <v>0</v>
      </c>
      <c r="P64" s="187" t="n">
        <f aca="false">SUMIFS($T64:$CA64,$T$5:$CA$5,2030)</f>
        <v>0</v>
      </c>
      <c r="R64" s="10"/>
      <c r="T64" s="187" t="n">
        <f aca="false">($D$51)/1000000/12*T$56</f>
        <v>0</v>
      </c>
      <c r="U64" s="187" t="n">
        <f aca="false">($D$51)/1000000/12*U$56</f>
        <v>0</v>
      </c>
      <c r="V64" s="187" t="n">
        <f aca="false">($D$51)/1000000/12*V$56</f>
        <v>0</v>
      </c>
      <c r="W64" s="187" t="n">
        <f aca="false">($D$51)/1000000/12*W$56</f>
        <v>0</v>
      </c>
      <c r="X64" s="187" t="n">
        <f aca="false">($D$51)/1000000/12*X$56</f>
        <v>0</v>
      </c>
      <c r="Y64" s="187" t="n">
        <f aca="false">($D$51)/1000000/12*Y$56</f>
        <v>0</v>
      </c>
      <c r="Z64" s="187" t="n">
        <f aca="false">($D$51)/1000000/12*Z$56</f>
        <v>0</v>
      </c>
      <c r="AA64" s="187" t="n">
        <f aca="false">($D$51)/1000000/12*AA$56</f>
        <v>0</v>
      </c>
      <c r="AB64" s="187" t="n">
        <f aca="false">($D$51)/1000000/12*AB$56</f>
        <v>0</v>
      </c>
      <c r="AC64" s="187" t="n">
        <f aca="false">($D$51)/1000000/12*AC$56</f>
        <v>0</v>
      </c>
      <c r="AD64" s="187" t="n">
        <f aca="false">($D$51)/1000000/12*AD$56</f>
        <v>0</v>
      </c>
      <c r="AE64" s="187" t="n">
        <f aca="false">($D$51)/1000000/12*AE$56</f>
        <v>0</v>
      </c>
      <c r="AF64" s="187" t="n">
        <f aca="false">($D$51)/1000000/12*AF$56</f>
        <v>0</v>
      </c>
      <c r="AG64" s="187" t="n">
        <f aca="false">($D$51)/1000000/12*AG$56</f>
        <v>0</v>
      </c>
      <c r="AH64" s="187" t="n">
        <f aca="false">($D$51)/1000000/12*AH$56</f>
        <v>0</v>
      </c>
      <c r="AI64" s="187" t="n">
        <f aca="false">($D$51)/1000000/12*AI$56</f>
        <v>0</v>
      </c>
      <c r="AJ64" s="187" t="n">
        <f aca="false">($D$51)/1000000/12*AJ$56</f>
        <v>0</v>
      </c>
      <c r="AK64" s="187" t="n">
        <f aca="false">($D$51)/1000000/12*AK$56</f>
        <v>0</v>
      </c>
      <c r="AL64" s="187" t="n">
        <f aca="false">($D$51)/1000000/12*AL$56</f>
        <v>0</v>
      </c>
      <c r="AM64" s="187" t="n">
        <f aca="false">($D$51)/1000000/12*AM$56</f>
        <v>0</v>
      </c>
      <c r="AN64" s="187" t="n">
        <f aca="false">($D$51)/1000000/12*AN$56</f>
        <v>0</v>
      </c>
      <c r="AO64" s="187" t="n">
        <f aca="false">($D$51)/1000000/12*AO$56</f>
        <v>0</v>
      </c>
      <c r="AP64" s="187" t="n">
        <f aca="false">($D$51)/1000000/12*AP$56</f>
        <v>0</v>
      </c>
      <c r="AQ64" s="187" t="n">
        <f aca="false">($D$51)/1000000/12*AQ$56</f>
        <v>0</v>
      </c>
      <c r="AR64" s="187" t="n">
        <f aca="false">($D$51)/1000000/12*AR$56</f>
        <v>0</v>
      </c>
      <c r="AS64" s="187" t="n">
        <f aca="false">($D$51)/1000000/12*AS$56</f>
        <v>0</v>
      </c>
      <c r="AT64" s="187" t="n">
        <f aca="false">($D$51)/1000000/12*AT$56</f>
        <v>0</v>
      </c>
      <c r="AU64" s="187" t="n">
        <f aca="false">($D$51)/1000000/12*AU$56</f>
        <v>0</v>
      </c>
      <c r="AV64" s="187" t="n">
        <f aca="false">($D$51)/1000000/12*AV$56</f>
        <v>0</v>
      </c>
      <c r="AW64" s="187" t="n">
        <f aca="false">($D$51)/1000000/12*AW$56</f>
        <v>0</v>
      </c>
      <c r="AX64" s="187" t="n">
        <f aca="false">($D$51)/1000000/12*AX$56</f>
        <v>0</v>
      </c>
      <c r="AY64" s="187" t="n">
        <f aca="false">($D$51)/1000000/12*AY$56</f>
        <v>0</v>
      </c>
      <c r="AZ64" s="187" t="n">
        <f aca="false">($D$51)/1000000/12*AZ$56</f>
        <v>0</v>
      </c>
      <c r="BA64" s="187" t="n">
        <f aca="false">($D$51)/1000000/12*BA$56</f>
        <v>0</v>
      </c>
      <c r="BB64" s="187" t="n">
        <f aca="false">($D$51)/1000000/12*BB$56</f>
        <v>0</v>
      </c>
      <c r="BC64" s="187" t="n">
        <f aca="false">($D$51)/1000000/12*BC$56</f>
        <v>0</v>
      </c>
      <c r="BD64" s="187" t="n">
        <f aca="false">($D$51)/1000000/12*BD$56</f>
        <v>0</v>
      </c>
      <c r="BE64" s="187" t="n">
        <f aca="false">($D$51)/1000000/12*BE$56</f>
        <v>0</v>
      </c>
      <c r="BF64" s="187" t="n">
        <f aca="false">($D$51)/1000000/12*BF$56</f>
        <v>0</v>
      </c>
      <c r="BG64" s="187" t="n">
        <f aca="false">($D$51)/1000000/12*BG$56</f>
        <v>0</v>
      </c>
      <c r="BH64" s="187" t="n">
        <f aca="false">($D$51)/1000000/12*BH$56</f>
        <v>0</v>
      </c>
      <c r="BI64" s="187" t="n">
        <f aca="false">($D$51)/1000000/12*BI$56</f>
        <v>0</v>
      </c>
      <c r="BJ64" s="187" t="n">
        <f aca="false">($D$51)/1000000/12*BJ$56</f>
        <v>0</v>
      </c>
      <c r="BK64" s="187" t="n">
        <f aca="false">($D$51)/1000000/12*BK$56</f>
        <v>0</v>
      </c>
      <c r="BL64" s="187" t="n">
        <f aca="false">($D$51)/1000000/12*BL$56</f>
        <v>0</v>
      </c>
      <c r="BM64" s="187" t="n">
        <f aca="false">($D$51)/1000000/12*BM$56</f>
        <v>0</v>
      </c>
      <c r="BN64" s="187" t="n">
        <f aca="false">($D$51)/1000000/12*BN$56</f>
        <v>0</v>
      </c>
      <c r="BO64" s="187" t="n">
        <f aca="false">($D$51)/1000000/12*BO$56</f>
        <v>0</v>
      </c>
      <c r="BP64" s="187" t="n">
        <f aca="false">($D$51)/1000000/12*BP$56</f>
        <v>0</v>
      </c>
      <c r="BQ64" s="187" t="n">
        <f aca="false">($D$51)/1000000/12*BQ$56</f>
        <v>0</v>
      </c>
      <c r="BR64" s="187" t="n">
        <f aca="false">($D$51)/1000000/12*BR$56</f>
        <v>0</v>
      </c>
      <c r="BS64" s="187" t="n">
        <f aca="false">($D$51)/1000000/12*BS$56</f>
        <v>0</v>
      </c>
      <c r="BT64" s="187" t="n">
        <f aca="false">($D$51)/1000000/12*BT$56</f>
        <v>0</v>
      </c>
      <c r="BU64" s="187" t="n">
        <f aca="false">($D$51)/1000000/12*BU$56</f>
        <v>0</v>
      </c>
      <c r="BV64" s="187" t="n">
        <f aca="false">($D$51)/1000000/12*BV$56</f>
        <v>0</v>
      </c>
      <c r="BW64" s="187" t="n">
        <f aca="false">($D$51)/1000000/12*BW$56</f>
        <v>0</v>
      </c>
      <c r="BX64" s="187" t="n">
        <f aca="false">($D$51)/1000000/12*BX$56</f>
        <v>0</v>
      </c>
      <c r="BY64" s="187" t="n">
        <f aca="false">($D$51)/1000000/12*BY$56</f>
        <v>0</v>
      </c>
      <c r="BZ64" s="187" t="n">
        <f aca="false">($D$51)/1000000/12*BZ$56</f>
        <v>0</v>
      </c>
      <c r="CA64" s="187" t="n">
        <f aca="false">($D$51)/1000000/12*CA$56</f>
        <v>0</v>
      </c>
    </row>
    <row r="65" customFormat="false" ht="15" hidden="false" customHeight="false" outlineLevel="0" collapsed="false">
      <c r="B65" s="3" t="s">
        <v>319</v>
      </c>
      <c r="K65" s="187" t="n">
        <f aca="false">SUM(K62:K64)</f>
        <v>0</v>
      </c>
      <c r="L65" s="187" t="n">
        <f aca="false">SUM(L62:L64)</f>
        <v>0</v>
      </c>
      <c r="M65" s="187" t="n">
        <f aca="false">SUM(M62:M64)</f>
        <v>0</v>
      </c>
      <c r="N65" s="187" t="n">
        <f aca="false">SUM(N62:N64)</f>
        <v>0</v>
      </c>
      <c r="O65" s="187" t="n">
        <f aca="false">SUM(O62:O64)</f>
        <v>0</v>
      </c>
      <c r="P65" s="187" t="n">
        <f aca="false">SUM(P62:P64)</f>
        <v>0</v>
      </c>
    </row>
    <row r="67" customFormat="false" ht="18" hidden="false" customHeight="true" outlineLevel="0" collapsed="false">
      <c r="B67" s="5" t="s">
        <v>320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9" customFormat="false" ht="22.35" hidden="false" customHeight="false" outlineLevel="0" collapsed="false">
      <c r="B69" s="169" t="s">
        <v>212</v>
      </c>
      <c r="C69" s="169" t="s">
        <v>321</v>
      </c>
      <c r="D69" s="169" t="s">
        <v>322</v>
      </c>
      <c r="E69" s="169" t="s">
        <v>323</v>
      </c>
      <c r="F69" s="169" t="s">
        <v>324</v>
      </c>
      <c r="G69" s="169" t="s">
        <v>325</v>
      </c>
      <c r="H69" s="169" t="s">
        <v>326</v>
      </c>
      <c r="I69" s="169" t="s">
        <v>327</v>
      </c>
      <c r="K69" s="169" t="s">
        <v>328</v>
      </c>
    </row>
    <row r="70" customFormat="false" ht="30" hidden="false" customHeight="true" outlineLevel="0" collapsed="false">
      <c r="C70" s="188" t="s">
        <v>329</v>
      </c>
      <c r="E70" s="188" t="s">
        <v>330</v>
      </c>
      <c r="F70" s="188" t="s">
        <v>331</v>
      </c>
      <c r="G70" s="188" t="s">
        <v>332</v>
      </c>
      <c r="I70" s="188" t="s">
        <v>333</v>
      </c>
    </row>
    <row r="71" customFormat="false" ht="42" hidden="false" customHeight="true" outlineLevel="0" collapsed="false">
      <c r="B71" s="189" t="s">
        <v>215</v>
      </c>
      <c r="C71" s="190" t="s">
        <v>478</v>
      </c>
      <c r="D71" s="191" t="n">
        <v>4</v>
      </c>
      <c r="E71" s="191" t="n">
        <v>2</v>
      </c>
      <c r="F71" s="168" t="n">
        <v>0.1</v>
      </c>
      <c r="G71" s="159" t="n">
        <f aca="false">D71*E71*IF(K71="",'Rate Card'!$G$29,K71)*(1+F71)</f>
        <v>131633.333333333</v>
      </c>
      <c r="H71" s="178" t="n">
        <f aca="false">DATE(2026,10,1)</f>
        <v>46296</v>
      </c>
      <c r="I71" s="192" t="n">
        <f aca="false">'Rate Card'!$C$45</f>
        <v>0</v>
      </c>
      <c r="K71" s="158"/>
    </row>
    <row r="72" customFormat="false" ht="42" hidden="false" customHeight="true" outlineLevel="0" collapsed="false">
      <c r="B72" s="189" t="s">
        <v>216</v>
      </c>
      <c r="C72" s="190" t="s">
        <v>479</v>
      </c>
      <c r="D72" s="191" t="n">
        <v>8</v>
      </c>
      <c r="E72" s="191" t="n">
        <v>5</v>
      </c>
      <c r="F72" s="168" t="n">
        <v>0.1</v>
      </c>
      <c r="G72" s="159" t="n">
        <f aca="false">D72*E72*IF(K72="",'Rate Card'!$G$29,K72)*(1+F72)</f>
        <v>658166.666666667</v>
      </c>
      <c r="H72" s="178" t="n">
        <f aca="false">DATE(2026,12,1)</f>
        <v>46357</v>
      </c>
      <c r="I72" s="192" t="n">
        <f aca="false">'Rate Card'!$C$46</f>
        <v>0.8</v>
      </c>
      <c r="K72" s="158"/>
    </row>
    <row r="73" customFormat="false" ht="42" hidden="false" customHeight="true" outlineLevel="0" collapsed="false">
      <c r="B73" s="189" t="s">
        <v>217</v>
      </c>
      <c r="C73" s="190" t="s">
        <v>480</v>
      </c>
      <c r="D73" s="191" t="n">
        <v>5</v>
      </c>
      <c r="E73" s="191" t="n">
        <v>6</v>
      </c>
      <c r="F73" s="168" t="n">
        <v>0.1</v>
      </c>
      <c r="G73" s="159" t="n">
        <f aca="false">D73*E73*IF(K73="",'Rate Card'!$G$29,K73)*(1+F73)</f>
        <v>493625</v>
      </c>
      <c r="H73" s="178" t="n">
        <f aca="false">DATE(2027,4,1)</f>
        <v>46478</v>
      </c>
      <c r="I73" s="192" t="n">
        <f aca="false">'Rate Card'!$C$47</f>
        <v>0</v>
      </c>
      <c r="K73" s="158"/>
    </row>
    <row r="74" customFormat="false" ht="42" hidden="false" customHeight="true" outlineLevel="0" collapsed="false">
      <c r="B74" s="189" t="s">
        <v>218</v>
      </c>
      <c r="C74" s="190" t="s">
        <v>337</v>
      </c>
      <c r="D74" s="191" t="n">
        <v>0</v>
      </c>
      <c r="E74" s="191" t="n">
        <v>0</v>
      </c>
      <c r="F74" s="168" t="n">
        <v>0.1</v>
      </c>
      <c r="G74" s="159" t="n">
        <f aca="false">D74*E74*IF(K74="",'Rate Card'!$G$29,K74)*(1+F74)</f>
        <v>0</v>
      </c>
      <c r="H74" s="178" t="n">
        <f aca="false">DATE(2027,10,1)</f>
        <v>46661</v>
      </c>
      <c r="I74" s="192" t="n">
        <f aca="false">'Rate Card'!$C$48</f>
        <v>0</v>
      </c>
      <c r="K74" s="158"/>
    </row>
    <row r="76" customFormat="false" ht="15" hidden="false" customHeight="false" outlineLevel="0" collapsed="false">
      <c r="B76" s="167" t="s">
        <v>338</v>
      </c>
    </row>
    <row r="77" customFormat="false" ht="15" hidden="false" customHeight="false" outlineLevel="0" collapsed="false">
      <c r="B77" s="193" t="s">
        <v>339</v>
      </c>
      <c r="T77" s="159" t="n">
        <f aca="false">IF(AND(T$6&gt;=EOMONTH($H$71,0),T$6&lt;=EOMONTH(EDATE($H$71,$E$71-1),0)),$G$71/MAX($E$71,1),0)</f>
        <v>0</v>
      </c>
      <c r="U77" s="159" t="n">
        <f aca="false">IF(AND(U$6&gt;=EOMONTH($H$71,0),U$6&lt;=EOMONTH(EDATE($H$71,$E$71-1),0)),$G$71/MAX($E$71,1),0)</f>
        <v>0</v>
      </c>
      <c r="V77" s="159" t="n">
        <f aca="false">IF(AND(V$6&gt;=EOMONTH($H$71,0),V$6&lt;=EOMONTH(EDATE($H$71,$E$71-1),0)),$G$71/MAX($E$71,1),0)</f>
        <v>0</v>
      </c>
      <c r="W77" s="159" t="n">
        <f aca="false">IF(AND(W$6&gt;=EOMONTH($H$71,0),W$6&lt;=EOMONTH(EDATE($H$71,$E$71-1),0)),$G$71/MAX($E$71,1),0)</f>
        <v>0</v>
      </c>
      <c r="X77" s="159" t="n">
        <f aca="false">IF(AND(X$6&gt;=EOMONTH($H$71,0),X$6&lt;=EOMONTH(EDATE($H$71,$E$71-1),0)),$G$71/MAX($E$71,1),0)</f>
        <v>0</v>
      </c>
      <c r="Y77" s="159" t="n">
        <f aca="false">IF(AND(Y$6&gt;=EOMONTH($H$71,0),Y$6&lt;=EOMONTH(EDATE($H$71,$E$71-1),0)),$G$71/MAX($E$71,1),0)</f>
        <v>0</v>
      </c>
      <c r="Z77" s="159" t="n">
        <f aca="false">IF(AND(Z$6&gt;=EOMONTH($H$71,0),Z$6&lt;=EOMONTH(EDATE($H$71,$E$71-1),0)),$G$71/MAX($E$71,1),0)</f>
        <v>0</v>
      </c>
      <c r="AA77" s="159" t="n">
        <f aca="false">IF(AND(AA$6&gt;=EOMONTH($H$71,0),AA$6&lt;=EOMONTH(EDATE($H$71,$E$71-1),0)),$G$71/MAX($E$71,1),0)</f>
        <v>0</v>
      </c>
      <c r="AB77" s="159" t="n">
        <f aca="false">IF(AND(AB$6&gt;=EOMONTH($H$71,0),AB$6&lt;=EOMONTH(EDATE($H$71,$E$71-1),0)),$G$71/MAX($E$71,1),0)</f>
        <v>0</v>
      </c>
      <c r="AC77" s="159" t="n">
        <f aca="false">IF(AND(AC$6&gt;=EOMONTH($H$71,0),AC$6&lt;=EOMONTH(EDATE($H$71,$E$71-1),0)),$G$71/MAX($E$71,1),0)</f>
        <v>65816.6666666667</v>
      </c>
      <c r="AD77" s="159" t="n">
        <f aca="false">IF(AND(AD$6&gt;=EOMONTH($H$71,0),AD$6&lt;=EOMONTH(EDATE($H$71,$E$71-1),0)),$G$71/MAX($E$71,1),0)</f>
        <v>65816.6666666667</v>
      </c>
      <c r="AE77" s="159" t="n">
        <f aca="false">IF(AND(AE$6&gt;=EOMONTH($H$71,0),AE$6&lt;=EOMONTH(EDATE($H$71,$E$71-1),0)),$G$71/MAX($E$71,1),0)</f>
        <v>0</v>
      </c>
      <c r="AF77" s="159" t="n">
        <f aca="false">IF(AND(AF$6&gt;=EOMONTH($H$71,0),AF$6&lt;=EOMONTH(EDATE($H$71,$E$71-1),0)),$G$71/MAX($E$71,1),0)</f>
        <v>0</v>
      </c>
      <c r="AG77" s="159" t="n">
        <f aca="false">IF(AND(AG$6&gt;=EOMONTH($H$71,0),AG$6&lt;=EOMONTH(EDATE($H$71,$E$71-1),0)),$G$71/MAX($E$71,1),0)</f>
        <v>0</v>
      </c>
      <c r="AH77" s="159" t="n">
        <f aca="false">IF(AND(AH$6&gt;=EOMONTH($H$71,0),AH$6&lt;=EOMONTH(EDATE($H$71,$E$71-1),0)),$G$71/MAX($E$71,1),0)</f>
        <v>0</v>
      </c>
      <c r="AI77" s="159" t="n">
        <f aca="false">IF(AND(AI$6&gt;=EOMONTH($H$71,0),AI$6&lt;=EOMONTH(EDATE($H$71,$E$71-1),0)),$G$71/MAX($E$71,1),0)</f>
        <v>0</v>
      </c>
      <c r="AJ77" s="159" t="n">
        <f aca="false">IF(AND(AJ$6&gt;=EOMONTH($H$71,0),AJ$6&lt;=EOMONTH(EDATE($H$71,$E$71-1),0)),$G$71/MAX($E$71,1),0)</f>
        <v>0</v>
      </c>
      <c r="AK77" s="159" t="n">
        <f aca="false">IF(AND(AK$6&gt;=EOMONTH($H$71,0),AK$6&lt;=EOMONTH(EDATE($H$71,$E$71-1),0)),$G$71/MAX($E$71,1),0)</f>
        <v>0</v>
      </c>
      <c r="AL77" s="159" t="n">
        <f aca="false">IF(AND(AL$6&gt;=EOMONTH($H$71,0),AL$6&lt;=EOMONTH(EDATE($H$71,$E$71-1),0)),$G$71/MAX($E$71,1),0)</f>
        <v>0</v>
      </c>
      <c r="AM77" s="159" t="n">
        <f aca="false">IF(AND(AM$6&gt;=EOMONTH($H$71,0),AM$6&lt;=EOMONTH(EDATE($H$71,$E$71-1),0)),$G$71/MAX($E$71,1),0)</f>
        <v>0</v>
      </c>
      <c r="AN77" s="159" t="n">
        <f aca="false">IF(AND(AN$6&gt;=EOMONTH($H$71,0),AN$6&lt;=EOMONTH(EDATE($H$71,$E$71-1),0)),$G$71/MAX($E$71,1),0)</f>
        <v>0</v>
      </c>
      <c r="AO77" s="159" t="n">
        <f aca="false">IF(AND(AO$6&gt;=EOMONTH($H$71,0),AO$6&lt;=EOMONTH(EDATE($H$71,$E$71-1),0)),$G$71/MAX($E$71,1),0)</f>
        <v>0</v>
      </c>
      <c r="AP77" s="159" t="n">
        <f aca="false">IF(AND(AP$6&gt;=EOMONTH($H$71,0),AP$6&lt;=EOMONTH(EDATE($H$71,$E$71-1),0)),$G$71/MAX($E$71,1),0)</f>
        <v>0</v>
      </c>
      <c r="AQ77" s="159" t="n">
        <f aca="false">IF(AND(AQ$6&gt;=EOMONTH($H$71,0),AQ$6&lt;=EOMONTH(EDATE($H$71,$E$71-1),0)),$G$71/MAX($E$71,1),0)</f>
        <v>0</v>
      </c>
      <c r="AR77" s="159" t="n">
        <f aca="false">IF(AND(AR$6&gt;=EOMONTH($H$71,0),AR$6&lt;=EOMONTH(EDATE($H$71,$E$71-1),0)),$G$71/MAX($E$71,1),0)</f>
        <v>0</v>
      </c>
      <c r="AS77" s="159" t="n">
        <f aca="false">IF(AND(AS$6&gt;=EOMONTH($H$71,0),AS$6&lt;=EOMONTH(EDATE($H$71,$E$71-1),0)),$G$71/MAX($E$71,1),0)</f>
        <v>0</v>
      </c>
      <c r="AT77" s="159" t="n">
        <f aca="false">IF(AND(AT$6&gt;=EOMONTH($H$71,0),AT$6&lt;=EOMONTH(EDATE($H$71,$E$71-1),0)),$G$71/MAX($E$71,1),0)</f>
        <v>0</v>
      </c>
      <c r="AU77" s="159" t="n">
        <f aca="false">IF(AND(AU$6&gt;=EOMONTH($H$71,0),AU$6&lt;=EOMONTH(EDATE($H$71,$E$71-1),0)),$G$71/MAX($E$71,1),0)</f>
        <v>0</v>
      </c>
      <c r="AV77" s="159" t="n">
        <f aca="false">IF(AND(AV$6&gt;=EOMONTH($H$71,0),AV$6&lt;=EOMONTH(EDATE($H$71,$E$71-1),0)),$G$71/MAX($E$71,1),0)</f>
        <v>0</v>
      </c>
      <c r="AW77" s="159" t="n">
        <f aca="false">IF(AND(AW$6&gt;=EOMONTH($H$71,0),AW$6&lt;=EOMONTH(EDATE($H$71,$E$71-1),0)),$G$71/MAX($E$71,1),0)</f>
        <v>0</v>
      </c>
      <c r="AX77" s="159" t="n">
        <f aca="false">IF(AND(AX$6&gt;=EOMONTH($H$71,0),AX$6&lt;=EOMONTH(EDATE($H$71,$E$71-1),0)),$G$71/MAX($E$71,1),0)</f>
        <v>0</v>
      </c>
      <c r="AY77" s="159" t="n">
        <f aca="false">IF(AND(AY$6&gt;=EOMONTH($H$71,0),AY$6&lt;=EOMONTH(EDATE($H$71,$E$71-1),0)),$G$71/MAX($E$71,1),0)</f>
        <v>0</v>
      </c>
      <c r="AZ77" s="159" t="n">
        <f aca="false">IF(AND(AZ$6&gt;=EOMONTH($H$71,0),AZ$6&lt;=EOMONTH(EDATE($H$71,$E$71-1),0)),$G$71/MAX($E$71,1),0)</f>
        <v>0</v>
      </c>
      <c r="BA77" s="159" t="n">
        <f aca="false">IF(AND(BA$6&gt;=EOMONTH($H$71,0),BA$6&lt;=EOMONTH(EDATE($H$71,$E$71-1),0)),$G$71/MAX($E$71,1),0)</f>
        <v>0</v>
      </c>
      <c r="BB77" s="159" t="n">
        <f aca="false">IF(AND(BB$6&gt;=EOMONTH($H$71,0),BB$6&lt;=EOMONTH(EDATE($H$71,$E$71-1),0)),$G$71/MAX($E$71,1),0)</f>
        <v>0</v>
      </c>
      <c r="BC77" s="159" t="n">
        <f aca="false">IF(AND(BC$6&gt;=EOMONTH($H$71,0),BC$6&lt;=EOMONTH(EDATE($H$71,$E$71-1),0)),$G$71/MAX($E$71,1),0)</f>
        <v>0</v>
      </c>
      <c r="BD77" s="159" t="n">
        <f aca="false">IF(AND(BD$6&gt;=EOMONTH($H$71,0),BD$6&lt;=EOMONTH(EDATE($H$71,$E$71-1),0)),$G$71/MAX($E$71,1),0)</f>
        <v>0</v>
      </c>
      <c r="BE77" s="159" t="n">
        <f aca="false">IF(AND(BE$6&gt;=EOMONTH($H$71,0),BE$6&lt;=EOMONTH(EDATE($H$71,$E$71-1),0)),$G$71/MAX($E$71,1),0)</f>
        <v>0</v>
      </c>
      <c r="BF77" s="159" t="n">
        <f aca="false">IF(AND(BF$6&gt;=EOMONTH($H$71,0),BF$6&lt;=EOMONTH(EDATE($H$71,$E$71-1),0)),$G$71/MAX($E$71,1),0)</f>
        <v>0</v>
      </c>
      <c r="BG77" s="159" t="n">
        <f aca="false">IF(AND(BG$6&gt;=EOMONTH($H$71,0),BG$6&lt;=EOMONTH(EDATE($H$71,$E$71-1),0)),$G$71/MAX($E$71,1),0)</f>
        <v>0</v>
      </c>
      <c r="BH77" s="159" t="n">
        <f aca="false">IF(AND(BH$6&gt;=EOMONTH($H$71,0),BH$6&lt;=EOMONTH(EDATE($H$71,$E$71-1),0)),$G$71/MAX($E$71,1),0)</f>
        <v>0</v>
      </c>
      <c r="BI77" s="159" t="n">
        <f aca="false">IF(AND(BI$6&gt;=EOMONTH($H$71,0),BI$6&lt;=EOMONTH(EDATE($H$71,$E$71-1),0)),$G$71/MAX($E$71,1),0)</f>
        <v>0</v>
      </c>
      <c r="BJ77" s="159" t="n">
        <f aca="false">IF(AND(BJ$6&gt;=EOMONTH($H$71,0),BJ$6&lt;=EOMONTH(EDATE($H$71,$E$71-1),0)),$G$71/MAX($E$71,1),0)</f>
        <v>0</v>
      </c>
      <c r="BK77" s="159" t="n">
        <f aca="false">IF(AND(BK$6&gt;=EOMONTH($H$71,0),BK$6&lt;=EOMONTH(EDATE($H$71,$E$71-1),0)),$G$71/MAX($E$71,1),0)</f>
        <v>0</v>
      </c>
      <c r="BL77" s="159" t="n">
        <f aca="false">IF(AND(BL$6&gt;=EOMONTH($H$71,0),BL$6&lt;=EOMONTH(EDATE($H$71,$E$71-1),0)),$G$71/MAX($E$71,1),0)</f>
        <v>0</v>
      </c>
      <c r="BM77" s="159" t="n">
        <f aca="false">IF(AND(BM$6&gt;=EOMONTH($H$71,0),BM$6&lt;=EOMONTH(EDATE($H$71,$E$71-1),0)),$G$71/MAX($E$71,1),0)</f>
        <v>0</v>
      </c>
      <c r="BN77" s="159" t="n">
        <f aca="false">IF(AND(BN$6&gt;=EOMONTH($H$71,0),BN$6&lt;=EOMONTH(EDATE($H$71,$E$71-1),0)),$G$71/MAX($E$71,1),0)</f>
        <v>0</v>
      </c>
      <c r="BO77" s="159" t="n">
        <f aca="false">IF(AND(BO$6&gt;=EOMONTH($H$71,0),BO$6&lt;=EOMONTH(EDATE($H$71,$E$71-1),0)),$G$71/MAX($E$71,1),0)</f>
        <v>0</v>
      </c>
      <c r="BP77" s="159" t="n">
        <f aca="false">IF(AND(BP$6&gt;=EOMONTH($H$71,0),BP$6&lt;=EOMONTH(EDATE($H$71,$E$71-1),0)),$G$71/MAX($E$71,1),0)</f>
        <v>0</v>
      </c>
      <c r="BQ77" s="159" t="n">
        <f aca="false">IF(AND(BQ$6&gt;=EOMONTH($H$71,0),BQ$6&lt;=EOMONTH(EDATE($H$71,$E$71-1),0)),$G$71/MAX($E$71,1),0)</f>
        <v>0</v>
      </c>
      <c r="BR77" s="159" t="n">
        <f aca="false">IF(AND(BR$6&gt;=EOMONTH($H$71,0),BR$6&lt;=EOMONTH(EDATE($H$71,$E$71-1),0)),$G$71/MAX($E$71,1),0)</f>
        <v>0</v>
      </c>
      <c r="BS77" s="159" t="n">
        <f aca="false">IF(AND(BS$6&gt;=EOMONTH($H$71,0),BS$6&lt;=EOMONTH(EDATE($H$71,$E$71-1),0)),$G$71/MAX($E$71,1),0)</f>
        <v>0</v>
      </c>
      <c r="BT77" s="159" t="n">
        <f aca="false">IF(AND(BT$6&gt;=EOMONTH($H$71,0),BT$6&lt;=EOMONTH(EDATE($H$71,$E$71-1),0)),$G$71/MAX($E$71,1),0)</f>
        <v>0</v>
      </c>
      <c r="BU77" s="159" t="n">
        <f aca="false">IF(AND(BU$6&gt;=EOMONTH($H$71,0),BU$6&lt;=EOMONTH(EDATE($H$71,$E$71-1),0)),$G$71/MAX($E$71,1),0)</f>
        <v>0</v>
      </c>
      <c r="BV77" s="159" t="n">
        <f aca="false">IF(AND(BV$6&gt;=EOMONTH($H$71,0),BV$6&lt;=EOMONTH(EDATE($H$71,$E$71-1),0)),$G$71/MAX($E$71,1),0)</f>
        <v>0</v>
      </c>
      <c r="BW77" s="159" t="n">
        <f aca="false">IF(AND(BW$6&gt;=EOMONTH($H$71,0),BW$6&lt;=EOMONTH(EDATE($H$71,$E$71-1),0)),$G$71/MAX($E$71,1),0)</f>
        <v>0</v>
      </c>
      <c r="BX77" s="159" t="n">
        <f aca="false">IF(AND(BX$6&gt;=EOMONTH($H$71,0),BX$6&lt;=EOMONTH(EDATE($H$71,$E$71-1),0)),$G$71/MAX($E$71,1),0)</f>
        <v>0</v>
      </c>
      <c r="BY77" s="159" t="n">
        <f aca="false">IF(AND(BY$6&gt;=EOMONTH($H$71,0),BY$6&lt;=EOMONTH(EDATE($H$71,$E$71-1),0)),$G$71/MAX($E$71,1),0)</f>
        <v>0</v>
      </c>
      <c r="BZ77" s="159" t="n">
        <f aca="false">IF(AND(BZ$6&gt;=EOMONTH($H$71,0),BZ$6&lt;=EOMONTH(EDATE($H$71,$E$71-1),0)),$G$71/MAX($E$71,1),0)</f>
        <v>0</v>
      </c>
      <c r="CA77" s="159" t="n">
        <f aca="false">IF(AND(CA$6&gt;=EOMONTH($H$71,0),CA$6&lt;=EOMONTH(EDATE($H$71,$E$71-1),0)),$G$71/MAX($E$71,1),0)</f>
        <v>0</v>
      </c>
    </row>
    <row r="78" customFormat="false" ht="15" hidden="false" customHeight="false" outlineLevel="0" collapsed="false">
      <c r="B78" s="193" t="s">
        <v>340</v>
      </c>
      <c r="T78" s="159" t="n">
        <f aca="false">IF(AND(T$6&gt;=EOMONTH($H$72,0),T$6&lt;=EOMONTH(EDATE($H$72,$E$72-1),0)),$G$72/MAX($E$72,1),0)</f>
        <v>0</v>
      </c>
      <c r="U78" s="159" t="n">
        <f aca="false">IF(AND(U$6&gt;=EOMONTH($H$72,0),U$6&lt;=EOMONTH(EDATE($H$72,$E$72-1),0)),$G$72/MAX($E$72,1),0)</f>
        <v>0</v>
      </c>
      <c r="V78" s="159" t="n">
        <f aca="false">IF(AND(V$6&gt;=EOMONTH($H$72,0),V$6&lt;=EOMONTH(EDATE($H$72,$E$72-1),0)),$G$72/MAX($E$72,1),0)</f>
        <v>0</v>
      </c>
      <c r="W78" s="159" t="n">
        <f aca="false">IF(AND(W$6&gt;=EOMONTH($H$72,0),W$6&lt;=EOMONTH(EDATE($H$72,$E$72-1),0)),$G$72/MAX($E$72,1),0)</f>
        <v>0</v>
      </c>
      <c r="X78" s="159" t="n">
        <f aca="false">IF(AND(X$6&gt;=EOMONTH($H$72,0),X$6&lt;=EOMONTH(EDATE($H$72,$E$72-1),0)),$G$72/MAX($E$72,1),0)</f>
        <v>0</v>
      </c>
      <c r="Y78" s="159" t="n">
        <f aca="false">IF(AND(Y$6&gt;=EOMONTH($H$72,0),Y$6&lt;=EOMONTH(EDATE($H$72,$E$72-1),0)),$G$72/MAX($E$72,1),0)</f>
        <v>0</v>
      </c>
      <c r="Z78" s="159" t="n">
        <f aca="false">IF(AND(Z$6&gt;=EOMONTH($H$72,0),Z$6&lt;=EOMONTH(EDATE($H$72,$E$72-1),0)),$G$72/MAX($E$72,1),0)</f>
        <v>0</v>
      </c>
      <c r="AA78" s="159" t="n">
        <f aca="false">IF(AND(AA$6&gt;=EOMONTH($H$72,0),AA$6&lt;=EOMONTH(EDATE($H$72,$E$72-1),0)),$G$72/MAX($E$72,1),0)</f>
        <v>0</v>
      </c>
      <c r="AB78" s="159" t="n">
        <f aca="false">IF(AND(AB$6&gt;=EOMONTH($H$72,0),AB$6&lt;=EOMONTH(EDATE($H$72,$E$72-1),0)),$G$72/MAX($E$72,1),0)</f>
        <v>0</v>
      </c>
      <c r="AC78" s="159" t="n">
        <f aca="false">IF(AND(AC$6&gt;=EOMONTH($H$72,0),AC$6&lt;=EOMONTH(EDATE($H$72,$E$72-1),0)),$G$72/MAX($E$72,1),0)</f>
        <v>0</v>
      </c>
      <c r="AD78" s="159" t="n">
        <f aca="false">IF(AND(AD$6&gt;=EOMONTH($H$72,0),AD$6&lt;=EOMONTH(EDATE($H$72,$E$72-1),0)),$G$72/MAX($E$72,1),0)</f>
        <v>0</v>
      </c>
      <c r="AE78" s="159" t="n">
        <f aca="false">IF(AND(AE$6&gt;=EOMONTH($H$72,0),AE$6&lt;=EOMONTH(EDATE($H$72,$E$72-1),0)),$G$72/MAX($E$72,1),0)</f>
        <v>131633.333333333</v>
      </c>
      <c r="AF78" s="159" t="n">
        <f aca="false">IF(AND(AF$6&gt;=EOMONTH($H$72,0),AF$6&lt;=EOMONTH(EDATE($H$72,$E$72-1),0)),$G$72/MAX($E$72,1),0)</f>
        <v>131633.333333333</v>
      </c>
      <c r="AG78" s="159" t="n">
        <f aca="false">IF(AND(AG$6&gt;=EOMONTH($H$72,0),AG$6&lt;=EOMONTH(EDATE($H$72,$E$72-1),0)),$G$72/MAX($E$72,1),0)</f>
        <v>131633.333333333</v>
      </c>
      <c r="AH78" s="159" t="n">
        <f aca="false">IF(AND(AH$6&gt;=EOMONTH($H$72,0),AH$6&lt;=EOMONTH(EDATE($H$72,$E$72-1),0)),$G$72/MAX($E$72,1),0)</f>
        <v>131633.333333333</v>
      </c>
      <c r="AI78" s="159" t="n">
        <f aca="false">IF(AND(AI$6&gt;=EOMONTH($H$72,0),AI$6&lt;=EOMONTH(EDATE($H$72,$E$72-1),0)),$G$72/MAX($E$72,1),0)</f>
        <v>131633.333333333</v>
      </c>
      <c r="AJ78" s="159" t="n">
        <f aca="false">IF(AND(AJ$6&gt;=EOMONTH($H$72,0),AJ$6&lt;=EOMONTH(EDATE($H$72,$E$72-1),0)),$G$72/MAX($E$72,1),0)</f>
        <v>0</v>
      </c>
      <c r="AK78" s="159" t="n">
        <f aca="false">IF(AND(AK$6&gt;=EOMONTH($H$72,0),AK$6&lt;=EOMONTH(EDATE($H$72,$E$72-1),0)),$G$72/MAX($E$72,1),0)</f>
        <v>0</v>
      </c>
      <c r="AL78" s="159" t="n">
        <f aca="false">IF(AND(AL$6&gt;=EOMONTH($H$72,0),AL$6&lt;=EOMONTH(EDATE($H$72,$E$72-1),0)),$G$72/MAX($E$72,1),0)</f>
        <v>0</v>
      </c>
      <c r="AM78" s="159" t="n">
        <f aca="false">IF(AND(AM$6&gt;=EOMONTH($H$72,0),AM$6&lt;=EOMONTH(EDATE($H$72,$E$72-1),0)),$G$72/MAX($E$72,1),0)</f>
        <v>0</v>
      </c>
      <c r="AN78" s="159" t="n">
        <f aca="false">IF(AND(AN$6&gt;=EOMONTH($H$72,0),AN$6&lt;=EOMONTH(EDATE($H$72,$E$72-1),0)),$G$72/MAX($E$72,1),0)</f>
        <v>0</v>
      </c>
      <c r="AO78" s="159" t="n">
        <f aca="false">IF(AND(AO$6&gt;=EOMONTH($H$72,0),AO$6&lt;=EOMONTH(EDATE($H$72,$E$72-1),0)),$G$72/MAX($E$72,1),0)</f>
        <v>0</v>
      </c>
      <c r="AP78" s="159" t="n">
        <f aca="false">IF(AND(AP$6&gt;=EOMONTH($H$72,0),AP$6&lt;=EOMONTH(EDATE($H$72,$E$72-1),0)),$G$72/MAX($E$72,1),0)</f>
        <v>0</v>
      </c>
      <c r="AQ78" s="159" t="n">
        <f aca="false">IF(AND(AQ$6&gt;=EOMONTH($H$72,0),AQ$6&lt;=EOMONTH(EDATE($H$72,$E$72-1),0)),$G$72/MAX($E$72,1),0)</f>
        <v>0</v>
      </c>
      <c r="AR78" s="159" t="n">
        <f aca="false">IF(AND(AR$6&gt;=EOMONTH($H$72,0),AR$6&lt;=EOMONTH(EDATE($H$72,$E$72-1),0)),$G$72/MAX($E$72,1),0)</f>
        <v>0</v>
      </c>
      <c r="AS78" s="159" t="n">
        <f aca="false">IF(AND(AS$6&gt;=EOMONTH($H$72,0),AS$6&lt;=EOMONTH(EDATE($H$72,$E$72-1),0)),$G$72/MAX($E$72,1),0)</f>
        <v>0</v>
      </c>
      <c r="AT78" s="159" t="n">
        <f aca="false">IF(AND(AT$6&gt;=EOMONTH($H$72,0),AT$6&lt;=EOMONTH(EDATE($H$72,$E$72-1),0)),$G$72/MAX($E$72,1),0)</f>
        <v>0</v>
      </c>
      <c r="AU78" s="159" t="n">
        <f aca="false">IF(AND(AU$6&gt;=EOMONTH($H$72,0),AU$6&lt;=EOMONTH(EDATE($H$72,$E$72-1),0)),$G$72/MAX($E$72,1),0)</f>
        <v>0</v>
      </c>
      <c r="AV78" s="159" t="n">
        <f aca="false">IF(AND(AV$6&gt;=EOMONTH($H$72,0),AV$6&lt;=EOMONTH(EDATE($H$72,$E$72-1),0)),$G$72/MAX($E$72,1),0)</f>
        <v>0</v>
      </c>
      <c r="AW78" s="159" t="n">
        <f aca="false">IF(AND(AW$6&gt;=EOMONTH($H$72,0),AW$6&lt;=EOMONTH(EDATE($H$72,$E$72-1),0)),$G$72/MAX($E$72,1),0)</f>
        <v>0</v>
      </c>
      <c r="AX78" s="159" t="n">
        <f aca="false">IF(AND(AX$6&gt;=EOMONTH($H$72,0),AX$6&lt;=EOMONTH(EDATE($H$72,$E$72-1),0)),$G$72/MAX($E$72,1),0)</f>
        <v>0</v>
      </c>
      <c r="AY78" s="159" t="n">
        <f aca="false">IF(AND(AY$6&gt;=EOMONTH($H$72,0),AY$6&lt;=EOMONTH(EDATE($H$72,$E$72-1),0)),$G$72/MAX($E$72,1),0)</f>
        <v>0</v>
      </c>
      <c r="AZ78" s="159" t="n">
        <f aca="false">IF(AND(AZ$6&gt;=EOMONTH($H$72,0),AZ$6&lt;=EOMONTH(EDATE($H$72,$E$72-1),0)),$G$72/MAX($E$72,1),0)</f>
        <v>0</v>
      </c>
      <c r="BA78" s="159" t="n">
        <f aca="false">IF(AND(BA$6&gt;=EOMONTH($H$72,0),BA$6&lt;=EOMONTH(EDATE($H$72,$E$72-1),0)),$G$72/MAX($E$72,1),0)</f>
        <v>0</v>
      </c>
      <c r="BB78" s="159" t="n">
        <f aca="false">IF(AND(BB$6&gt;=EOMONTH($H$72,0),BB$6&lt;=EOMONTH(EDATE($H$72,$E$72-1),0)),$G$72/MAX($E$72,1),0)</f>
        <v>0</v>
      </c>
      <c r="BC78" s="159" t="n">
        <f aca="false">IF(AND(BC$6&gt;=EOMONTH($H$72,0),BC$6&lt;=EOMONTH(EDATE($H$72,$E$72-1),0)),$G$72/MAX($E$72,1),0)</f>
        <v>0</v>
      </c>
      <c r="BD78" s="159" t="n">
        <f aca="false">IF(AND(BD$6&gt;=EOMONTH($H$72,0),BD$6&lt;=EOMONTH(EDATE($H$72,$E$72-1),0)),$G$72/MAX($E$72,1),0)</f>
        <v>0</v>
      </c>
      <c r="BE78" s="159" t="n">
        <f aca="false">IF(AND(BE$6&gt;=EOMONTH($H$72,0),BE$6&lt;=EOMONTH(EDATE($H$72,$E$72-1),0)),$G$72/MAX($E$72,1),0)</f>
        <v>0</v>
      </c>
      <c r="BF78" s="159" t="n">
        <f aca="false">IF(AND(BF$6&gt;=EOMONTH($H$72,0),BF$6&lt;=EOMONTH(EDATE($H$72,$E$72-1),0)),$G$72/MAX($E$72,1),0)</f>
        <v>0</v>
      </c>
      <c r="BG78" s="159" t="n">
        <f aca="false">IF(AND(BG$6&gt;=EOMONTH($H$72,0),BG$6&lt;=EOMONTH(EDATE($H$72,$E$72-1),0)),$G$72/MAX($E$72,1),0)</f>
        <v>0</v>
      </c>
      <c r="BH78" s="159" t="n">
        <f aca="false">IF(AND(BH$6&gt;=EOMONTH($H$72,0),BH$6&lt;=EOMONTH(EDATE($H$72,$E$72-1),0)),$G$72/MAX($E$72,1),0)</f>
        <v>0</v>
      </c>
      <c r="BI78" s="159" t="n">
        <f aca="false">IF(AND(BI$6&gt;=EOMONTH($H$72,0),BI$6&lt;=EOMONTH(EDATE($H$72,$E$72-1),0)),$G$72/MAX($E$72,1),0)</f>
        <v>0</v>
      </c>
      <c r="BJ78" s="159" t="n">
        <f aca="false">IF(AND(BJ$6&gt;=EOMONTH($H$72,0),BJ$6&lt;=EOMONTH(EDATE($H$72,$E$72-1),0)),$G$72/MAX($E$72,1),0)</f>
        <v>0</v>
      </c>
      <c r="BK78" s="159" t="n">
        <f aca="false">IF(AND(BK$6&gt;=EOMONTH($H$72,0),BK$6&lt;=EOMONTH(EDATE($H$72,$E$72-1),0)),$G$72/MAX($E$72,1),0)</f>
        <v>0</v>
      </c>
      <c r="BL78" s="159" t="n">
        <f aca="false">IF(AND(BL$6&gt;=EOMONTH($H$72,0),BL$6&lt;=EOMONTH(EDATE($H$72,$E$72-1),0)),$G$72/MAX($E$72,1),0)</f>
        <v>0</v>
      </c>
      <c r="BM78" s="159" t="n">
        <f aca="false">IF(AND(BM$6&gt;=EOMONTH($H$72,0),BM$6&lt;=EOMONTH(EDATE($H$72,$E$72-1),0)),$G$72/MAX($E$72,1),0)</f>
        <v>0</v>
      </c>
      <c r="BN78" s="159" t="n">
        <f aca="false">IF(AND(BN$6&gt;=EOMONTH($H$72,0),BN$6&lt;=EOMONTH(EDATE($H$72,$E$72-1),0)),$G$72/MAX($E$72,1),0)</f>
        <v>0</v>
      </c>
      <c r="BO78" s="159" t="n">
        <f aca="false">IF(AND(BO$6&gt;=EOMONTH($H$72,0),BO$6&lt;=EOMONTH(EDATE($H$72,$E$72-1),0)),$G$72/MAX($E$72,1),0)</f>
        <v>0</v>
      </c>
      <c r="BP78" s="159" t="n">
        <f aca="false">IF(AND(BP$6&gt;=EOMONTH($H$72,0),BP$6&lt;=EOMONTH(EDATE($H$72,$E$72-1),0)),$G$72/MAX($E$72,1),0)</f>
        <v>0</v>
      </c>
      <c r="BQ78" s="159" t="n">
        <f aca="false">IF(AND(BQ$6&gt;=EOMONTH($H$72,0),BQ$6&lt;=EOMONTH(EDATE($H$72,$E$72-1),0)),$G$72/MAX($E$72,1),0)</f>
        <v>0</v>
      </c>
      <c r="BR78" s="159" t="n">
        <f aca="false">IF(AND(BR$6&gt;=EOMONTH($H$72,0),BR$6&lt;=EOMONTH(EDATE($H$72,$E$72-1),0)),$G$72/MAX($E$72,1),0)</f>
        <v>0</v>
      </c>
      <c r="BS78" s="159" t="n">
        <f aca="false">IF(AND(BS$6&gt;=EOMONTH($H$72,0),BS$6&lt;=EOMONTH(EDATE($H$72,$E$72-1),0)),$G$72/MAX($E$72,1),0)</f>
        <v>0</v>
      </c>
      <c r="BT78" s="159" t="n">
        <f aca="false">IF(AND(BT$6&gt;=EOMONTH($H$72,0),BT$6&lt;=EOMONTH(EDATE($H$72,$E$72-1),0)),$G$72/MAX($E$72,1),0)</f>
        <v>0</v>
      </c>
      <c r="BU78" s="159" t="n">
        <f aca="false">IF(AND(BU$6&gt;=EOMONTH($H$72,0),BU$6&lt;=EOMONTH(EDATE($H$72,$E$72-1),0)),$G$72/MAX($E$72,1),0)</f>
        <v>0</v>
      </c>
      <c r="BV78" s="159" t="n">
        <f aca="false">IF(AND(BV$6&gt;=EOMONTH($H$72,0),BV$6&lt;=EOMONTH(EDATE($H$72,$E$72-1),0)),$G$72/MAX($E$72,1),0)</f>
        <v>0</v>
      </c>
      <c r="BW78" s="159" t="n">
        <f aca="false">IF(AND(BW$6&gt;=EOMONTH($H$72,0),BW$6&lt;=EOMONTH(EDATE($H$72,$E$72-1),0)),$G$72/MAX($E$72,1),0)</f>
        <v>0</v>
      </c>
      <c r="BX78" s="159" t="n">
        <f aca="false">IF(AND(BX$6&gt;=EOMONTH($H$72,0),BX$6&lt;=EOMONTH(EDATE($H$72,$E$72-1),0)),$G$72/MAX($E$72,1),0)</f>
        <v>0</v>
      </c>
      <c r="BY78" s="159" t="n">
        <f aca="false">IF(AND(BY$6&gt;=EOMONTH($H$72,0),BY$6&lt;=EOMONTH(EDATE($H$72,$E$72-1),0)),$G$72/MAX($E$72,1),0)</f>
        <v>0</v>
      </c>
      <c r="BZ78" s="159" t="n">
        <f aca="false">IF(AND(BZ$6&gt;=EOMONTH($H$72,0),BZ$6&lt;=EOMONTH(EDATE($H$72,$E$72-1),0)),$G$72/MAX($E$72,1),0)</f>
        <v>0</v>
      </c>
      <c r="CA78" s="159" t="n">
        <f aca="false">IF(AND(CA$6&gt;=EOMONTH($H$72,0),CA$6&lt;=EOMONTH(EDATE($H$72,$E$72-1),0)),$G$72/MAX($E$72,1),0)</f>
        <v>0</v>
      </c>
    </row>
    <row r="79" customFormat="false" ht="15" hidden="false" customHeight="false" outlineLevel="0" collapsed="false">
      <c r="B79" s="193" t="s">
        <v>341</v>
      </c>
      <c r="T79" s="159" t="n">
        <f aca="false">IF(AND(T$6&gt;=EOMONTH($H$73,0),T$6&lt;=EOMONTH(EDATE($H$73,$E$73-1),0)),$G$73/MAX($E$73,1),0)</f>
        <v>0</v>
      </c>
      <c r="U79" s="159" t="n">
        <f aca="false">IF(AND(U$6&gt;=EOMONTH($H$73,0),U$6&lt;=EOMONTH(EDATE($H$73,$E$73-1),0)),$G$73/MAX($E$73,1),0)</f>
        <v>0</v>
      </c>
      <c r="V79" s="159" t="n">
        <f aca="false">IF(AND(V$6&gt;=EOMONTH($H$73,0),V$6&lt;=EOMONTH(EDATE($H$73,$E$73-1),0)),$G$73/MAX($E$73,1),0)</f>
        <v>0</v>
      </c>
      <c r="W79" s="159" t="n">
        <f aca="false">IF(AND(W$6&gt;=EOMONTH($H$73,0),W$6&lt;=EOMONTH(EDATE($H$73,$E$73-1),0)),$G$73/MAX($E$73,1),0)</f>
        <v>0</v>
      </c>
      <c r="X79" s="159" t="n">
        <f aca="false">IF(AND(X$6&gt;=EOMONTH($H$73,0),X$6&lt;=EOMONTH(EDATE($H$73,$E$73-1),0)),$G$73/MAX($E$73,1),0)</f>
        <v>0</v>
      </c>
      <c r="Y79" s="159" t="n">
        <f aca="false">IF(AND(Y$6&gt;=EOMONTH($H$73,0),Y$6&lt;=EOMONTH(EDATE($H$73,$E$73-1),0)),$G$73/MAX($E$73,1),0)</f>
        <v>0</v>
      </c>
      <c r="Z79" s="159" t="n">
        <f aca="false">IF(AND(Z$6&gt;=EOMONTH($H$73,0),Z$6&lt;=EOMONTH(EDATE($H$73,$E$73-1),0)),$G$73/MAX($E$73,1),0)</f>
        <v>0</v>
      </c>
      <c r="AA79" s="159" t="n">
        <f aca="false">IF(AND(AA$6&gt;=EOMONTH($H$73,0),AA$6&lt;=EOMONTH(EDATE($H$73,$E$73-1),0)),$G$73/MAX($E$73,1),0)</f>
        <v>0</v>
      </c>
      <c r="AB79" s="159" t="n">
        <f aca="false">IF(AND(AB$6&gt;=EOMONTH($H$73,0),AB$6&lt;=EOMONTH(EDATE($H$73,$E$73-1),0)),$G$73/MAX($E$73,1),0)</f>
        <v>0</v>
      </c>
      <c r="AC79" s="159" t="n">
        <f aca="false">IF(AND(AC$6&gt;=EOMONTH($H$73,0),AC$6&lt;=EOMONTH(EDATE($H$73,$E$73-1),0)),$G$73/MAX($E$73,1),0)</f>
        <v>0</v>
      </c>
      <c r="AD79" s="159" t="n">
        <f aca="false">IF(AND(AD$6&gt;=EOMONTH($H$73,0),AD$6&lt;=EOMONTH(EDATE($H$73,$E$73-1),0)),$G$73/MAX($E$73,1),0)</f>
        <v>0</v>
      </c>
      <c r="AE79" s="159" t="n">
        <f aca="false">IF(AND(AE$6&gt;=EOMONTH($H$73,0),AE$6&lt;=EOMONTH(EDATE($H$73,$E$73-1),0)),$G$73/MAX($E$73,1),0)</f>
        <v>0</v>
      </c>
      <c r="AF79" s="159" t="n">
        <f aca="false">IF(AND(AF$6&gt;=EOMONTH($H$73,0),AF$6&lt;=EOMONTH(EDATE($H$73,$E$73-1),0)),$G$73/MAX($E$73,1),0)</f>
        <v>0</v>
      </c>
      <c r="AG79" s="159" t="n">
        <f aca="false">IF(AND(AG$6&gt;=EOMONTH($H$73,0),AG$6&lt;=EOMONTH(EDATE($H$73,$E$73-1),0)),$G$73/MAX($E$73,1),0)</f>
        <v>0</v>
      </c>
      <c r="AH79" s="159" t="n">
        <f aca="false">IF(AND(AH$6&gt;=EOMONTH($H$73,0),AH$6&lt;=EOMONTH(EDATE($H$73,$E$73-1),0)),$G$73/MAX($E$73,1),0)</f>
        <v>0</v>
      </c>
      <c r="AI79" s="159" t="n">
        <f aca="false">IF(AND(AI$6&gt;=EOMONTH($H$73,0),AI$6&lt;=EOMONTH(EDATE($H$73,$E$73-1),0)),$G$73/MAX($E$73,1),0)</f>
        <v>82270.8333333333</v>
      </c>
      <c r="AJ79" s="159" t="n">
        <f aca="false">IF(AND(AJ$6&gt;=EOMONTH($H$73,0),AJ$6&lt;=EOMONTH(EDATE($H$73,$E$73-1),0)),$G$73/MAX($E$73,1),0)</f>
        <v>82270.8333333333</v>
      </c>
      <c r="AK79" s="159" t="n">
        <f aca="false">IF(AND(AK$6&gt;=EOMONTH($H$73,0),AK$6&lt;=EOMONTH(EDATE($H$73,$E$73-1),0)),$G$73/MAX($E$73,1),0)</f>
        <v>82270.8333333333</v>
      </c>
      <c r="AL79" s="159" t="n">
        <f aca="false">IF(AND(AL$6&gt;=EOMONTH($H$73,0),AL$6&lt;=EOMONTH(EDATE($H$73,$E$73-1),0)),$G$73/MAX($E$73,1),0)</f>
        <v>82270.8333333333</v>
      </c>
      <c r="AM79" s="159" t="n">
        <f aca="false">IF(AND(AM$6&gt;=EOMONTH($H$73,0),AM$6&lt;=EOMONTH(EDATE($H$73,$E$73-1),0)),$G$73/MAX($E$73,1),0)</f>
        <v>82270.8333333333</v>
      </c>
      <c r="AN79" s="159" t="n">
        <f aca="false">IF(AND(AN$6&gt;=EOMONTH($H$73,0),AN$6&lt;=EOMONTH(EDATE($H$73,$E$73-1),0)),$G$73/MAX($E$73,1),0)</f>
        <v>82270.8333333333</v>
      </c>
      <c r="AO79" s="159" t="n">
        <f aca="false">IF(AND(AO$6&gt;=EOMONTH($H$73,0),AO$6&lt;=EOMONTH(EDATE($H$73,$E$73-1),0)),$G$73/MAX($E$73,1),0)</f>
        <v>0</v>
      </c>
      <c r="AP79" s="159" t="n">
        <f aca="false">IF(AND(AP$6&gt;=EOMONTH($H$73,0),AP$6&lt;=EOMONTH(EDATE($H$73,$E$73-1),0)),$G$73/MAX($E$73,1),0)</f>
        <v>0</v>
      </c>
      <c r="AQ79" s="159" t="n">
        <f aca="false">IF(AND(AQ$6&gt;=EOMONTH($H$73,0),AQ$6&lt;=EOMONTH(EDATE($H$73,$E$73-1),0)),$G$73/MAX($E$73,1),0)</f>
        <v>0</v>
      </c>
      <c r="AR79" s="159" t="n">
        <f aca="false">IF(AND(AR$6&gt;=EOMONTH($H$73,0),AR$6&lt;=EOMONTH(EDATE($H$73,$E$73-1),0)),$G$73/MAX($E$73,1),0)</f>
        <v>0</v>
      </c>
      <c r="AS79" s="159" t="n">
        <f aca="false">IF(AND(AS$6&gt;=EOMONTH($H$73,0),AS$6&lt;=EOMONTH(EDATE($H$73,$E$73-1),0)),$G$73/MAX($E$73,1),0)</f>
        <v>0</v>
      </c>
      <c r="AT79" s="159" t="n">
        <f aca="false">IF(AND(AT$6&gt;=EOMONTH($H$73,0),AT$6&lt;=EOMONTH(EDATE($H$73,$E$73-1),0)),$G$73/MAX($E$73,1),0)</f>
        <v>0</v>
      </c>
      <c r="AU79" s="159" t="n">
        <f aca="false">IF(AND(AU$6&gt;=EOMONTH($H$73,0),AU$6&lt;=EOMONTH(EDATE($H$73,$E$73-1),0)),$G$73/MAX($E$73,1),0)</f>
        <v>0</v>
      </c>
      <c r="AV79" s="159" t="n">
        <f aca="false">IF(AND(AV$6&gt;=EOMONTH($H$73,0),AV$6&lt;=EOMONTH(EDATE($H$73,$E$73-1),0)),$G$73/MAX($E$73,1),0)</f>
        <v>0</v>
      </c>
      <c r="AW79" s="159" t="n">
        <f aca="false">IF(AND(AW$6&gt;=EOMONTH($H$73,0),AW$6&lt;=EOMONTH(EDATE($H$73,$E$73-1),0)),$G$73/MAX($E$73,1),0)</f>
        <v>0</v>
      </c>
      <c r="AX79" s="159" t="n">
        <f aca="false">IF(AND(AX$6&gt;=EOMONTH($H$73,0),AX$6&lt;=EOMONTH(EDATE($H$73,$E$73-1),0)),$G$73/MAX($E$73,1),0)</f>
        <v>0</v>
      </c>
      <c r="AY79" s="159" t="n">
        <f aca="false">IF(AND(AY$6&gt;=EOMONTH($H$73,0),AY$6&lt;=EOMONTH(EDATE($H$73,$E$73-1),0)),$G$73/MAX($E$73,1),0)</f>
        <v>0</v>
      </c>
      <c r="AZ79" s="159" t="n">
        <f aca="false">IF(AND(AZ$6&gt;=EOMONTH($H$73,0),AZ$6&lt;=EOMONTH(EDATE($H$73,$E$73-1),0)),$G$73/MAX($E$73,1),0)</f>
        <v>0</v>
      </c>
      <c r="BA79" s="159" t="n">
        <f aca="false">IF(AND(BA$6&gt;=EOMONTH($H$73,0),BA$6&lt;=EOMONTH(EDATE($H$73,$E$73-1),0)),$G$73/MAX($E$73,1),0)</f>
        <v>0</v>
      </c>
      <c r="BB79" s="159" t="n">
        <f aca="false">IF(AND(BB$6&gt;=EOMONTH($H$73,0),BB$6&lt;=EOMONTH(EDATE($H$73,$E$73-1),0)),$G$73/MAX($E$73,1),0)</f>
        <v>0</v>
      </c>
      <c r="BC79" s="159" t="n">
        <f aca="false">IF(AND(BC$6&gt;=EOMONTH($H$73,0),BC$6&lt;=EOMONTH(EDATE($H$73,$E$73-1),0)),$G$73/MAX($E$73,1),0)</f>
        <v>0</v>
      </c>
      <c r="BD79" s="159" t="n">
        <f aca="false">IF(AND(BD$6&gt;=EOMONTH($H$73,0),BD$6&lt;=EOMONTH(EDATE($H$73,$E$73-1),0)),$G$73/MAX($E$73,1),0)</f>
        <v>0</v>
      </c>
      <c r="BE79" s="159" t="n">
        <f aca="false">IF(AND(BE$6&gt;=EOMONTH($H$73,0),BE$6&lt;=EOMONTH(EDATE($H$73,$E$73-1),0)),$G$73/MAX($E$73,1),0)</f>
        <v>0</v>
      </c>
      <c r="BF79" s="159" t="n">
        <f aca="false">IF(AND(BF$6&gt;=EOMONTH($H$73,0),BF$6&lt;=EOMONTH(EDATE($H$73,$E$73-1),0)),$G$73/MAX($E$73,1),0)</f>
        <v>0</v>
      </c>
      <c r="BG79" s="159" t="n">
        <f aca="false">IF(AND(BG$6&gt;=EOMONTH($H$73,0),BG$6&lt;=EOMONTH(EDATE($H$73,$E$73-1),0)),$G$73/MAX($E$73,1),0)</f>
        <v>0</v>
      </c>
      <c r="BH79" s="159" t="n">
        <f aca="false">IF(AND(BH$6&gt;=EOMONTH($H$73,0),BH$6&lt;=EOMONTH(EDATE($H$73,$E$73-1),0)),$G$73/MAX($E$73,1),0)</f>
        <v>0</v>
      </c>
      <c r="BI79" s="159" t="n">
        <f aca="false">IF(AND(BI$6&gt;=EOMONTH($H$73,0),BI$6&lt;=EOMONTH(EDATE($H$73,$E$73-1),0)),$G$73/MAX($E$73,1),0)</f>
        <v>0</v>
      </c>
      <c r="BJ79" s="159" t="n">
        <f aca="false">IF(AND(BJ$6&gt;=EOMONTH($H$73,0),BJ$6&lt;=EOMONTH(EDATE($H$73,$E$73-1),0)),$G$73/MAX($E$73,1),0)</f>
        <v>0</v>
      </c>
      <c r="BK79" s="159" t="n">
        <f aca="false">IF(AND(BK$6&gt;=EOMONTH($H$73,0),BK$6&lt;=EOMONTH(EDATE($H$73,$E$73-1),0)),$G$73/MAX($E$73,1),0)</f>
        <v>0</v>
      </c>
      <c r="BL79" s="159" t="n">
        <f aca="false">IF(AND(BL$6&gt;=EOMONTH($H$73,0),BL$6&lt;=EOMONTH(EDATE($H$73,$E$73-1),0)),$G$73/MAX($E$73,1),0)</f>
        <v>0</v>
      </c>
      <c r="BM79" s="159" t="n">
        <f aca="false">IF(AND(BM$6&gt;=EOMONTH($H$73,0),BM$6&lt;=EOMONTH(EDATE($H$73,$E$73-1),0)),$G$73/MAX($E$73,1),0)</f>
        <v>0</v>
      </c>
      <c r="BN79" s="159" t="n">
        <f aca="false">IF(AND(BN$6&gt;=EOMONTH($H$73,0),BN$6&lt;=EOMONTH(EDATE($H$73,$E$73-1),0)),$G$73/MAX($E$73,1),0)</f>
        <v>0</v>
      </c>
      <c r="BO79" s="159" t="n">
        <f aca="false">IF(AND(BO$6&gt;=EOMONTH($H$73,0),BO$6&lt;=EOMONTH(EDATE($H$73,$E$73-1),0)),$G$73/MAX($E$73,1),0)</f>
        <v>0</v>
      </c>
      <c r="BP79" s="159" t="n">
        <f aca="false">IF(AND(BP$6&gt;=EOMONTH($H$73,0),BP$6&lt;=EOMONTH(EDATE($H$73,$E$73-1),0)),$G$73/MAX($E$73,1),0)</f>
        <v>0</v>
      </c>
      <c r="BQ79" s="159" t="n">
        <f aca="false">IF(AND(BQ$6&gt;=EOMONTH($H$73,0),BQ$6&lt;=EOMONTH(EDATE($H$73,$E$73-1),0)),$G$73/MAX($E$73,1),0)</f>
        <v>0</v>
      </c>
      <c r="BR79" s="159" t="n">
        <f aca="false">IF(AND(BR$6&gt;=EOMONTH($H$73,0),BR$6&lt;=EOMONTH(EDATE($H$73,$E$73-1),0)),$G$73/MAX($E$73,1),0)</f>
        <v>0</v>
      </c>
      <c r="BS79" s="159" t="n">
        <f aca="false">IF(AND(BS$6&gt;=EOMONTH($H$73,0),BS$6&lt;=EOMONTH(EDATE($H$73,$E$73-1),0)),$G$73/MAX($E$73,1),0)</f>
        <v>0</v>
      </c>
      <c r="BT79" s="159" t="n">
        <f aca="false">IF(AND(BT$6&gt;=EOMONTH($H$73,0),BT$6&lt;=EOMONTH(EDATE($H$73,$E$73-1),0)),$G$73/MAX($E$73,1),0)</f>
        <v>0</v>
      </c>
      <c r="BU79" s="159" t="n">
        <f aca="false">IF(AND(BU$6&gt;=EOMONTH($H$73,0),BU$6&lt;=EOMONTH(EDATE($H$73,$E$73-1),0)),$G$73/MAX($E$73,1),0)</f>
        <v>0</v>
      </c>
      <c r="BV79" s="159" t="n">
        <f aca="false">IF(AND(BV$6&gt;=EOMONTH($H$73,0),BV$6&lt;=EOMONTH(EDATE($H$73,$E$73-1),0)),$G$73/MAX($E$73,1),0)</f>
        <v>0</v>
      </c>
      <c r="BW79" s="159" t="n">
        <f aca="false">IF(AND(BW$6&gt;=EOMONTH($H$73,0),BW$6&lt;=EOMONTH(EDATE($H$73,$E$73-1),0)),$G$73/MAX($E$73,1),0)</f>
        <v>0</v>
      </c>
      <c r="BX79" s="159" t="n">
        <f aca="false">IF(AND(BX$6&gt;=EOMONTH($H$73,0),BX$6&lt;=EOMONTH(EDATE($H$73,$E$73-1),0)),$G$73/MAX($E$73,1),0)</f>
        <v>0</v>
      </c>
      <c r="BY79" s="159" t="n">
        <f aca="false">IF(AND(BY$6&gt;=EOMONTH($H$73,0),BY$6&lt;=EOMONTH(EDATE($H$73,$E$73-1),0)),$G$73/MAX($E$73,1),0)</f>
        <v>0</v>
      </c>
      <c r="BZ79" s="159" t="n">
        <f aca="false">IF(AND(BZ$6&gt;=EOMONTH($H$73,0),BZ$6&lt;=EOMONTH(EDATE($H$73,$E$73-1),0)),$G$73/MAX($E$73,1),0)</f>
        <v>0</v>
      </c>
      <c r="CA79" s="159" t="n">
        <f aca="false">IF(AND(CA$6&gt;=EOMONTH($H$73,0),CA$6&lt;=EOMONTH(EDATE($H$73,$E$73-1),0)),$G$73/MAX($E$73,1),0)</f>
        <v>0</v>
      </c>
    </row>
    <row r="80" customFormat="false" ht="15" hidden="false" customHeight="false" outlineLevel="0" collapsed="false">
      <c r="B80" s="193" t="s">
        <v>342</v>
      </c>
      <c r="T80" s="159" t="n">
        <f aca="false">IF(AND(T$6&gt;=EOMONTH($H$74,0),T$6&lt;=EOMONTH(EDATE($H$74,$E$74-1),0)),$G$74/MAX($E$74,1),0)</f>
        <v>0</v>
      </c>
      <c r="U80" s="159" t="n">
        <f aca="false">IF(AND(U$6&gt;=EOMONTH($H$74,0),U$6&lt;=EOMONTH(EDATE($H$74,$E$74-1),0)),$G$74/MAX($E$74,1),0)</f>
        <v>0</v>
      </c>
      <c r="V80" s="159" t="n">
        <f aca="false">IF(AND(V$6&gt;=EOMONTH($H$74,0),V$6&lt;=EOMONTH(EDATE($H$74,$E$74-1),0)),$G$74/MAX($E$74,1),0)</f>
        <v>0</v>
      </c>
      <c r="W80" s="159" t="n">
        <f aca="false">IF(AND(W$6&gt;=EOMONTH($H$74,0),W$6&lt;=EOMONTH(EDATE($H$74,$E$74-1),0)),$G$74/MAX($E$74,1),0)</f>
        <v>0</v>
      </c>
      <c r="X80" s="159" t="n">
        <f aca="false">IF(AND(X$6&gt;=EOMONTH($H$74,0),X$6&lt;=EOMONTH(EDATE($H$74,$E$74-1),0)),$G$74/MAX($E$74,1),0)</f>
        <v>0</v>
      </c>
      <c r="Y80" s="159" t="n">
        <f aca="false">IF(AND(Y$6&gt;=EOMONTH($H$74,0),Y$6&lt;=EOMONTH(EDATE($H$74,$E$74-1),0)),$G$74/MAX($E$74,1),0)</f>
        <v>0</v>
      </c>
      <c r="Z80" s="159" t="n">
        <f aca="false">IF(AND(Z$6&gt;=EOMONTH($H$74,0),Z$6&lt;=EOMONTH(EDATE($H$74,$E$74-1),0)),$G$74/MAX($E$74,1),0)</f>
        <v>0</v>
      </c>
      <c r="AA80" s="159" t="n">
        <f aca="false">IF(AND(AA$6&gt;=EOMONTH($H$74,0),AA$6&lt;=EOMONTH(EDATE($H$74,$E$74-1),0)),$G$74/MAX($E$74,1),0)</f>
        <v>0</v>
      </c>
      <c r="AB80" s="159" t="n">
        <f aca="false">IF(AND(AB$6&gt;=EOMONTH($H$74,0),AB$6&lt;=EOMONTH(EDATE($H$74,$E$74-1),0)),$G$74/MAX($E$74,1),0)</f>
        <v>0</v>
      </c>
      <c r="AC80" s="159" t="n">
        <f aca="false">IF(AND(AC$6&gt;=EOMONTH($H$74,0),AC$6&lt;=EOMONTH(EDATE($H$74,$E$74-1),0)),$G$74/MAX($E$74,1),0)</f>
        <v>0</v>
      </c>
      <c r="AD80" s="159" t="n">
        <f aca="false">IF(AND(AD$6&gt;=EOMONTH($H$74,0),AD$6&lt;=EOMONTH(EDATE($H$74,$E$74-1),0)),$G$74/MAX($E$74,1),0)</f>
        <v>0</v>
      </c>
      <c r="AE80" s="159" t="n">
        <f aca="false">IF(AND(AE$6&gt;=EOMONTH($H$74,0),AE$6&lt;=EOMONTH(EDATE($H$74,$E$74-1),0)),$G$74/MAX($E$74,1),0)</f>
        <v>0</v>
      </c>
      <c r="AF80" s="159" t="n">
        <f aca="false">IF(AND(AF$6&gt;=EOMONTH($H$74,0),AF$6&lt;=EOMONTH(EDATE($H$74,$E$74-1),0)),$G$74/MAX($E$74,1),0)</f>
        <v>0</v>
      </c>
      <c r="AG80" s="159" t="n">
        <f aca="false">IF(AND(AG$6&gt;=EOMONTH($H$74,0),AG$6&lt;=EOMONTH(EDATE($H$74,$E$74-1),0)),$G$74/MAX($E$74,1),0)</f>
        <v>0</v>
      </c>
      <c r="AH80" s="159" t="n">
        <f aca="false">IF(AND(AH$6&gt;=EOMONTH($H$74,0),AH$6&lt;=EOMONTH(EDATE($H$74,$E$74-1),0)),$G$74/MAX($E$74,1),0)</f>
        <v>0</v>
      </c>
      <c r="AI80" s="159" t="n">
        <f aca="false">IF(AND(AI$6&gt;=EOMONTH($H$74,0),AI$6&lt;=EOMONTH(EDATE($H$74,$E$74-1),0)),$G$74/MAX($E$74,1),0)</f>
        <v>0</v>
      </c>
      <c r="AJ80" s="159" t="n">
        <f aca="false">IF(AND(AJ$6&gt;=EOMONTH($H$74,0),AJ$6&lt;=EOMONTH(EDATE($H$74,$E$74-1),0)),$G$74/MAX($E$74,1),0)</f>
        <v>0</v>
      </c>
      <c r="AK80" s="159" t="n">
        <f aca="false">IF(AND(AK$6&gt;=EOMONTH($H$74,0),AK$6&lt;=EOMONTH(EDATE($H$74,$E$74-1),0)),$G$74/MAX($E$74,1),0)</f>
        <v>0</v>
      </c>
      <c r="AL80" s="159" t="n">
        <f aca="false">IF(AND(AL$6&gt;=EOMONTH($H$74,0),AL$6&lt;=EOMONTH(EDATE($H$74,$E$74-1),0)),$G$74/MAX($E$74,1),0)</f>
        <v>0</v>
      </c>
      <c r="AM80" s="159" t="n">
        <f aca="false">IF(AND(AM$6&gt;=EOMONTH($H$74,0),AM$6&lt;=EOMONTH(EDATE($H$74,$E$74-1),0)),$G$74/MAX($E$74,1),0)</f>
        <v>0</v>
      </c>
      <c r="AN80" s="159" t="n">
        <f aca="false">IF(AND(AN$6&gt;=EOMONTH($H$74,0),AN$6&lt;=EOMONTH(EDATE($H$74,$E$74-1),0)),$G$74/MAX($E$74,1),0)</f>
        <v>0</v>
      </c>
      <c r="AO80" s="159" t="n">
        <f aca="false">IF(AND(AO$6&gt;=EOMONTH($H$74,0),AO$6&lt;=EOMONTH(EDATE($H$74,$E$74-1),0)),$G$74/MAX($E$74,1),0)</f>
        <v>0</v>
      </c>
      <c r="AP80" s="159" t="n">
        <f aca="false">IF(AND(AP$6&gt;=EOMONTH($H$74,0),AP$6&lt;=EOMONTH(EDATE($H$74,$E$74-1),0)),$G$74/MAX($E$74,1),0)</f>
        <v>0</v>
      </c>
      <c r="AQ80" s="159" t="n">
        <f aca="false">IF(AND(AQ$6&gt;=EOMONTH($H$74,0),AQ$6&lt;=EOMONTH(EDATE($H$74,$E$74-1),0)),$G$74/MAX($E$74,1),0)</f>
        <v>0</v>
      </c>
      <c r="AR80" s="159" t="n">
        <f aca="false">IF(AND(AR$6&gt;=EOMONTH($H$74,0),AR$6&lt;=EOMONTH(EDATE($H$74,$E$74-1),0)),$G$74/MAX($E$74,1),0)</f>
        <v>0</v>
      </c>
      <c r="AS80" s="159" t="n">
        <f aca="false">IF(AND(AS$6&gt;=EOMONTH($H$74,0),AS$6&lt;=EOMONTH(EDATE($H$74,$E$74-1),0)),$G$74/MAX($E$74,1),0)</f>
        <v>0</v>
      </c>
      <c r="AT80" s="159" t="n">
        <f aca="false">IF(AND(AT$6&gt;=EOMONTH($H$74,0),AT$6&lt;=EOMONTH(EDATE($H$74,$E$74-1),0)),$G$74/MAX($E$74,1),0)</f>
        <v>0</v>
      </c>
      <c r="AU80" s="159" t="n">
        <f aca="false">IF(AND(AU$6&gt;=EOMONTH($H$74,0),AU$6&lt;=EOMONTH(EDATE($H$74,$E$74-1),0)),$G$74/MAX($E$74,1),0)</f>
        <v>0</v>
      </c>
      <c r="AV80" s="159" t="n">
        <f aca="false">IF(AND(AV$6&gt;=EOMONTH($H$74,0),AV$6&lt;=EOMONTH(EDATE($H$74,$E$74-1),0)),$G$74/MAX($E$74,1),0)</f>
        <v>0</v>
      </c>
      <c r="AW80" s="159" t="n">
        <f aca="false">IF(AND(AW$6&gt;=EOMONTH($H$74,0),AW$6&lt;=EOMONTH(EDATE($H$74,$E$74-1),0)),$G$74/MAX($E$74,1),0)</f>
        <v>0</v>
      </c>
      <c r="AX80" s="159" t="n">
        <f aca="false">IF(AND(AX$6&gt;=EOMONTH($H$74,0),AX$6&lt;=EOMONTH(EDATE($H$74,$E$74-1),0)),$G$74/MAX($E$74,1),0)</f>
        <v>0</v>
      </c>
      <c r="AY80" s="159" t="n">
        <f aca="false">IF(AND(AY$6&gt;=EOMONTH($H$74,0),AY$6&lt;=EOMONTH(EDATE($H$74,$E$74-1),0)),$G$74/MAX($E$74,1),0)</f>
        <v>0</v>
      </c>
      <c r="AZ80" s="159" t="n">
        <f aca="false">IF(AND(AZ$6&gt;=EOMONTH($H$74,0),AZ$6&lt;=EOMONTH(EDATE($H$74,$E$74-1),0)),$G$74/MAX($E$74,1),0)</f>
        <v>0</v>
      </c>
      <c r="BA80" s="159" t="n">
        <f aca="false">IF(AND(BA$6&gt;=EOMONTH($H$74,0),BA$6&lt;=EOMONTH(EDATE($H$74,$E$74-1),0)),$G$74/MAX($E$74,1),0)</f>
        <v>0</v>
      </c>
      <c r="BB80" s="159" t="n">
        <f aca="false">IF(AND(BB$6&gt;=EOMONTH($H$74,0),BB$6&lt;=EOMONTH(EDATE($H$74,$E$74-1),0)),$G$74/MAX($E$74,1),0)</f>
        <v>0</v>
      </c>
      <c r="BC80" s="159" t="n">
        <f aca="false">IF(AND(BC$6&gt;=EOMONTH($H$74,0),BC$6&lt;=EOMONTH(EDATE($H$74,$E$74-1),0)),$G$74/MAX($E$74,1),0)</f>
        <v>0</v>
      </c>
      <c r="BD80" s="159" t="n">
        <f aca="false">IF(AND(BD$6&gt;=EOMONTH($H$74,0),BD$6&lt;=EOMONTH(EDATE($H$74,$E$74-1),0)),$G$74/MAX($E$74,1),0)</f>
        <v>0</v>
      </c>
      <c r="BE80" s="159" t="n">
        <f aca="false">IF(AND(BE$6&gt;=EOMONTH($H$74,0),BE$6&lt;=EOMONTH(EDATE($H$74,$E$74-1),0)),$G$74/MAX($E$74,1),0)</f>
        <v>0</v>
      </c>
      <c r="BF80" s="159" t="n">
        <f aca="false">IF(AND(BF$6&gt;=EOMONTH($H$74,0),BF$6&lt;=EOMONTH(EDATE($H$74,$E$74-1),0)),$G$74/MAX($E$74,1),0)</f>
        <v>0</v>
      </c>
      <c r="BG80" s="159" t="n">
        <f aca="false">IF(AND(BG$6&gt;=EOMONTH($H$74,0),BG$6&lt;=EOMONTH(EDATE($H$74,$E$74-1),0)),$G$74/MAX($E$74,1),0)</f>
        <v>0</v>
      </c>
      <c r="BH80" s="159" t="n">
        <f aca="false">IF(AND(BH$6&gt;=EOMONTH($H$74,0),BH$6&lt;=EOMONTH(EDATE($H$74,$E$74-1),0)),$G$74/MAX($E$74,1),0)</f>
        <v>0</v>
      </c>
      <c r="BI80" s="159" t="n">
        <f aca="false">IF(AND(BI$6&gt;=EOMONTH($H$74,0),BI$6&lt;=EOMONTH(EDATE($H$74,$E$74-1),0)),$G$74/MAX($E$74,1),0)</f>
        <v>0</v>
      </c>
      <c r="BJ80" s="159" t="n">
        <f aca="false">IF(AND(BJ$6&gt;=EOMONTH($H$74,0),BJ$6&lt;=EOMONTH(EDATE($H$74,$E$74-1),0)),$G$74/MAX($E$74,1),0)</f>
        <v>0</v>
      </c>
      <c r="BK80" s="159" t="n">
        <f aca="false">IF(AND(BK$6&gt;=EOMONTH($H$74,0),BK$6&lt;=EOMONTH(EDATE($H$74,$E$74-1),0)),$G$74/MAX($E$74,1),0)</f>
        <v>0</v>
      </c>
      <c r="BL80" s="159" t="n">
        <f aca="false">IF(AND(BL$6&gt;=EOMONTH($H$74,0),BL$6&lt;=EOMONTH(EDATE($H$74,$E$74-1),0)),$G$74/MAX($E$74,1),0)</f>
        <v>0</v>
      </c>
      <c r="BM80" s="159" t="n">
        <f aca="false">IF(AND(BM$6&gt;=EOMONTH($H$74,0),BM$6&lt;=EOMONTH(EDATE($H$74,$E$74-1),0)),$G$74/MAX($E$74,1),0)</f>
        <v>0</v>
      </c>
      <c r="BN80" s="159" t="n">
        <f aca="false">IF(AND(BN$6&gt;=EOMONTH($H$74,0),BN$6&lt;=EOMONTH(EDATE($H$74,$E$74-1),0)),$G$74/MAX($E$74,1),0)</f>
        <v>0</v>
      </c>
      <c r="BO80" s="159" t="n">
        <f aca="false">IF(AND(BO$6&gt;=EOMONTH($H$74,0),BO$6&lt;=EOMONTH(EDATE($H$74,$E$74-1),0)),$G$74/MAX($E$74,1),0)</f>
        <v>0</v>
      </c>
      <c r="BP80" s="159" t="n">
        <f aca="false">IF(AND(BP$6&gt;=EOMONTH($H$74,0),BP$6&lt;=EOMONTH(EDATE($H$74,$E$74-1),0)),$G$74/MAX($E$74,1),0)</f>
        <v>0</v>
      </c>
      <c r="BQ80" s="159" t="n">
        <f aca="false">IF(AND(BQ$6&gt;=EOMONTH($H$74,0),BQ$6&lt;=EOMONTH(EDATE($H$74,$E$74-1),0)),$G$74/MAX($E$74,1),0)</f>
        <v>0</v>
      </c>
      <c r="BR80" s="159" t="n">
        <f aca="false">IF(AND(BR$6&gt;=EOMONTH($H$74,0),BR$6&lt;=EOMONTH(EDATE($H$74,$E$74-1),0)),$G$74/MAX($E$74,1),0)</f>
        <v>0</v>
      </c>
      <c r="BS80" s="159" t="n">
        <f aca="false">IF(AND(BS$6&gt;=EOMONTH($H$74,0),BS$6&lt;=EOMONTH(EDATE($H$74,$E$74-1),0)),$G$74/MAX($E$74,1),0)</f>
        <v>0</v>
      </c>
      <c r="BT80" s="159" t="n">
        <f aca="false">IF(AND(BT$6&gt;=EOMONTH($H$74,0),BT$6&lt;=EOMONTH(EDATE($H$74,$E$74-1),0)),$G$74/MAX($E$74,1),0)</f>
        <v>0</v>
      </c>
      <c r="BU80" s="159" t="n">
        <f aca="false">IF(AND(BU$6&gt;=EOMONTH($H$74,0),BU$6&lt;=EOMONTH(EDATE($H$74,$E$74-1),0)),$G$74/MAX($E$74,1),0)</f>
        <v>0</v>
      </c>
      <c r="BV80" s="159" t="n">
        <f aca="false">IF(AND(BV$6&gt;=EOMONTH($H$74,0),BV$6&lt;=EOMONTH(EDATE($H$74,$E$74-1),0)),$G$74/MAX($E$74,1),0)</f>
        <v>0</v>
      </c>
      <c r="BW80" s="159" t="n">
        <f aca="false">IF(AND(BW$6&gt;=EOMONTH($H$74,0),BW$6&lt;=EOMONTH(EDATE($H$74,$E$74-1),0)),$G$74/MAX($E$74,1),0)</f>
        <v>0</v>
      </c>
      <c r="BX80" s="159" t="n">
        <f aca="false">IF(AND(BX$6&gt;=EOMONTH($H$74,0),BX$6&lt;=EOMONTH(EDATE($H$74,$E$74-1),0)),$G$74/MAX($E$74,1),0)</f>
        <v>0</v>
      </c>
      <c r="BY80" s="159" t="n">
        <f aca="false">IF(AND(BY$6&gt;=EOMONTH($H$74,0),BY$6&lt;=EOMONTH(EDATE($H$74,$E$74-1),0)),$G$74/MAX($E$74,1),0)</f>
        <v>0</v>
      </c>
      <c r="BZ80" s="159" t="n">
        <f aca="false">IF(AND(BZ$6&gt;=EOMONTH($H$74,0),BZ$6&lt;=EOMONTH(EDATE($H$74,$E$74-1),0)),$G$74/MAX($E$74,1),0)</f>
        <v>0</v>
      </c>
      <c r="CA80" s="159" t="n">
        <f aca="false">IF(AND(CA$6&gt;=EOMONTH($H$74,0),CA$6&lt;=EOMONTH(EDATE($H$74,$E$74-1),0)),$G$74/MAX($E$74,1),0)</f>
        <v>0</v>
      </c>
    </row>
    <row r="81" customFormat="false" ht="15" hidden="false" customHeight="false" outlineLevel="0" collapsed="false">
      <c r="B81" s="3" t="s">
        <v>343</v>
      </c>
      <c r="G81" s="159" t="n">
        <f aca="false">SUM(G71:G74)</f>
        <v>1283425</v>
      </c>
    </row>
    <row r="83" customFormat="false" ht="15" hidden="false" customHeight="false" outlineLevel="0" collapsed="false">
      <c r="B83" s="194" t="s">
        <v>344</v>
      </c>
    </row>
    <row r="84" customFormat="false" ht="15" hidden="false" customHeight="false" outlineLevel="0" collapsed="false">
      <c r="B84" s="169" t="s">
        <v>345</v>
      </c>
      <c r="C84" s="169" t="s">
        <v>346</v>
      </c>
      <c r="D84" s="169" t="s">
        <v>347</v>
      </c>
      <c r="E84" s="169" t="s">
        <v>348</v>
      </c>
      <c r="H84" s="169" t="s">
        <v>326</v>
      </c>
      <c r="I84" s="169" t="s">
        <v>213</v>
      </c>
    </row>
    <row r="85" customFormat="false" ht="28.35" hidden="false" customHeight="false" outlineLevel="0" collapsed="false">
      <c r="B85" s="9" t="s">
        <v>481</v>
      </c>
      <c r="C85" s="190" t="s">
        <v>482</v>
      </c>
      <c r="D85" s="158" t="n">
        <v>0</v>
      </c>
      <c r="E85" s="156" t="n">
        <v>5</v>
      </c>
      <c r="H85" s="178" t="n">
        <f aca="false">DATE(2026,12,1)</f>
        <v>46357</v>
      </c>
      <c r="I85" s="168" t="n">
        <v>0</v>
      </c>
    </row>
    <row r="86" customFormat="false" ht="15" hidden="false" customHeight="false" outlineLevel="0" collapsed="false">
      <c r="B86" s="9" t="s">
        <v>483</v>
      </c>
      <c r="C86" s="190" t="s">
        <v>449</v>
      </c>
      <c r="D86" s="158" t="n">
        <v>0</v>
      </c>
      <c r="E86" s="156" t="n">
        <v>6</v>
      </c>
      <c r="H86" s="178" t="n">
        <f aca="false">DATE(2027,4,1)</f>
        <v>46478</v>
      </c>
      <c r="I86" s="168" t="n">
        <v>0</v>
      </c>
    </row>
    <row r="87" customFormat="false" ht="28.35" hidden="false" customHeight="false" outlineLevel="0" collapsed="false">
      <c r="B87" s="9" t="s">
        <v>353</v>
      </c>
      <c r="C87" s="190" t="s">
        <v>484</v>
      </c>
      <c r="D87" s="159" t="n">
        <f aca="false">$D$42*($G$81+$D$85+$D$86)</f>
        <v>102674</v>
      </c>
      <c r="E87" s="156" t="n">
        <v>9</v>
      </c>
      <c r="H87" s="178" t="n">
        <f aca="false">DATE(2026,10,1)</f>
        <v>46296</v>
      </c>
      <c r="I87" s="168" t="n">
        <v>0</v>
      </c>
    </row>
    <row r="88" customFormat="false" ht="28.35" hidden="false" customHeight="false" outlineLevel="0" collapsed="false">
      <c r="B88" s="9" t="s">
        <v>355</v>
      </c>
      <c r="C88" s="190" t="s">
        <v>356</v>
      </c>
      <c r="D88" s="159" t="n">
        <f aca="false">$D$43*($G$81+$D$85+$D$86+$D$87)</f>
        <v>138609.9</v>
      </c>
      <c r="E88" s="156" t="n">
        <v>9</v>
      </c>
      <c r="H88" s="178" t="n">
        <f aca="false">DATE(2026,10,1)</f>
        <v>46296</v>
      </c>
      <c r="I88" s="168" t="n">
        <v>0</v>
      </c>
    </row>
    <row r="89" customFormat="false" ht="15" hidden="false" customHeight="false" outlineLevel="0" collapsed="false">
      <c r="B89" s="9" t="s">
        <v>357</v>
      </c>
      <c r="C89" s="190"/>
      <c r="D89" s="158" t="n">
        <v>0</v>
      </c>
      <c r="E89" s="156" t="n">
        <v>1</v>
      </c>
      <c r="H89" s="178" t="n">
        <f aca="false">DATE(2027,4,1)</f>
        <v>46478</v>
      </c>
      <c r="I89" s="168" t="n">
        <v>0</v>
      </c>
    </row>
    <row r="91" customFormat="false" ht="15" hidden="false" customHeight="false" outlineLevel="0" collapsed="false">
      <c r="B91" s="167" t="s">
        <v>358</v>
      </c>
    </row>
    <row r="92" customFormat="false" ht="15" hidden="false" customHeight="false" outlineLevel="0" collapsed="false">
      <c r="B92" s="193" t="s">
        <v>359</v>
      </c>
      <c r="T92" s="159" t="n">
        <f aca="false">IF(AND(T$6&gt;=EOMONTH($H$85,0),T$6&lt;=EOMONTH(EDATE($H$85,$E$85-1),0)),$D$85/MAX($E$85,1),0)</f>
        <v>0</v>
      </c>
      <c r="U92" s="159" t="n">
        <f aca="false">IF(AND(U$6&gt;=EOMONTH($H$85,0),U$6&lt;=EOMONTH(EDATE($H$85,$E$85-1),0)),$D$85/MAX($E$85,1),0)</f>
        <v>0</v>
      </c>
      <c r="V92" s="159" t="n">
        <f aca="false">IF(AND(V$6&gt;=EOMONTH($H$85,0),V$6&lt;=EOMONTH(EDATE($H$85,$E$85-1),0)),$D$85/MAX($E$85,1),0)</f>
        <v>0</v>
      </c>
      <c r="W92" s="159" t="n">
        <f aca="false">IF(AND(W$6&gt;=EOMONTH($H$85,0),W$6&lt;=EOMONTH(EDATE($H$85,$E$85-1),0)),$D$85/MAX($E$85,1),0)</f>
        <v>0</v>
      </c>
      <c r="X92" s="159" t="n">
        <f aca="false">IF(AND(X$6&gt;=EOMONTH($H$85,0),X$6&lt;=EOMONTH(EDATE($H$85,$E$85-1),0)),$D$85/MAX($E$85,1),0)</f>
        <v>0</v>
      </c>
      <c r="Y92" s="159" t="n">
        <f aca="false">IF(AND(Y$6&gt;=EOMONTH($H$85,0),Y$6&lt;=EOMONTH(EDATE($H$85,$E$85-1),0)),$D$85/MAX($E$85,1),0)</f>
        <v>0</v>
      </c>
      <c r="Z92" s="159" t="n">
        <f aca="false">IF(AND(Z$6&gt;=EOMONTH($H$85,0),Z$6&lt;=EOMONTH(EDATE($H$85,$E$85-1),0)),$D$85/MAX($E$85,1),0)</f>
        <v>0</v>
      </c>
      <c r="AA92" s="159" t="n">
        <f aca="false">IF(AND(AA$6&gt;=EOMONTH($H$85,0),AA$6&lt;=EOMONTH(EDATE($H$85,$E$85-1),0)),$D$85/MAX($E$85,1),0)</f>
        <v>0</v>
      </c>
      <c r="AB92" s="159" t="n">
        <f aca="false">IF(AND(AB$6&gt;=EOMONTH($H$85,0),AB$6&lt;=EOMONTH(EDATE($H$85,$E$85-1),0)),$D$85/MAX($E$85,1),0)</f>
        <v>0</v>
      </c>
      <c r="AC92" s="159" t="n">
        <f aca="false">IF(AND(AC$6&gt;=EOMONTH($H$85,0),AC$6&lt;=EOMONTH(EDATE($H$85,$E$85-1),0)),$D$85/MAX($E$85,1),0)</f>
        <v>0</v>
      </c>
      <c r="AD92" s="159" t="n">
        <f aca="false">IF(AND(AD$6&gt;=EOMONTH($H$85,0),AD$6&lt;=EOMONTH(EDATE($H$85,$E$85-1),0)),$D$85/MAX($E$85,1),0)</f>
        <v>0</v>
      </c>
      <c r="AE92" s="159" t="n">
        <f aca="false">IF(AND(AE$6&gt;=EOMONTH($H$85,0),AE$6&lt;=EOMONTH(EDATE($H$85,$E$85-1),0)),$D$85/MAX($E$85,1),0)</f>
        <v>0</v>
      </c>
      <c r="AF92" s="159" t="n">
        <f aca="false">IF(AND(AF$6&gt;=EOMONTH($H$85,0),AF$6&lt;=EOMONTH(EDATE($H$85,$E$85-1),0)),$D$85/MAX($E$85,1),0)</f>
        <v>0</v>
      </c>
      <c r="AG92" s="159" t="n">
        <f aca="false">IF(AND(AG$6&gt;=EOMONTH($H$85,0),AG$6&lt;=EOMONTH(EDATE($H$85,$E$85-1),0)),$D$85/MAX($E$85,1),0)</f>
        <v>0</v>
      </c>
      <c r="AH92" s="159" t="n">
        <f aca="false">IF(AND(AH$6&gt;=EOMONTH($H$85,0),AH$6&lt;=EOMONTH(EDATE($H$85,$E$85-1),0)),$D$85/MAX($E$85,1),0)</f>
        <v>0</v>
      </c>
      <c r="AI92" s="159" t="n">
        <f aca="false">IF(AND(AI$6&gt;=EOMONTH($H$85,0),AI$6&lt;=EOMONTH(EDATE($H$85,$E$85-1),0)),$D$85/MAX($E$85,1),0)</f>
        <v>0</v>
      </c>
      <c r="AJ92" s="159" t="n">
        <f aca="false">IF(AND(AJ$6&gt;=EOMONTH($H$85,0),AJ$6&lt;=EOMONTH(EDATE($H$85,$E$85-1),0)),$D$85/MAX($E$85,1),0)</f>
        <v>0</v>
      </c>
      <c r="AK92" s="159" t="n">
        <f aca="false">IF(AND(AK$6&gt;=EOMONTH($H$85,0),AK$6&lt;=EOMONTH(EDATE($H$85,$E$85-1),0)),$D$85/MAX($E$85,1),0)</f>
        <v>0</v>
      </c>
      <c r="AL92" s="159" t="n">
        <f aca="false">IF(AND(AL$6&gt;=EOMONTH($H$85,0),AL$6&lt;=EOMONTH(EDATE($H$85,$E$85-1),0)),$D$85/MAX($E$85,1),0)</f>
        <v>0</v>
      </c>
      <c r="AM92" s="159" t="n">
        <f aca="false">IF(AND(AM$6&gt;=EOMONTH($H$85,0),AM$6&lt;=EOMONTH(EDATE($H$85,$E$85-1),0)),$D$85/MAX($E$85,1),0)</f>
        <v>0</v>
      </c>
      <c r="AN92" s="159" t="n">
        <f aca="false">IF(AND(AN$6&gt;=EOMONTH($H$85,0),AN$6&lt;=EOMONTH(EDATE($H$85,$E$85-1),0)),$D$85/MAX($E$85,1),0)</f>
        <v>0</v>
      </c>
      <c r="AO92" s="159" t="n">
        <f aca="false">IF(AND(AO$6&gt;=EOMONTH($H$85,0),AO$6&lt;=EOMONTH(EDATE($H$85,$E$85-1),0)),$D$85/MAX($E$85,1),0)</f>
        <v>0</v>
      </c>
      <c r="AP92" s="159" t="n">
        <f aca="false">IF(AND(AP$6&gt;=EOMONTH($H$85,0),AP$6&lt;=EOMONTH(EDATE($H$85,$E$85-1),0)),$D$85/MAX($E$85,1),0)</f>
        <v>0</v>
      </c>
      <c r="AQ92" s="159" t="n">
        <f aca="false">IF(AND(AQ$6&gt;=EOMONTH($H$85,0),AQ$6&lt;=EOMONTH(EDATE($H$85,$E$85-1),0)),$D$85/MAX($E$85,1),0)</f>
        <v>0</v>
      </c>
      <c r="AR92" s="159" t="n">
        <f aca="false">IF(AND(AR$6&gt;=EOMONTH($H$85,0),AR$6&lt;=EOMONTH(EDATE($H$85,$E$85-1),0)),$D$85/MAX($E$85,1),0)</f>
        <v>0</v>
      </c>
      <c r="AS92" s="159" t="n">
        <f aca="false">IF(AND(AS$6&gt;=EOMONTH($H$85,0),AS$6&lt;=EOMONTH(EDATE($H$85,$E$85-1),0)),$D$85/MAX($E$85,1),0)</f>
        <v>0</v>
      </c>
      <c r="AT92" s="159" t="n">
        <f aca="false">IF(AND(AT$6&gt;=EOMONTH($H$85,0),AT$6&lt;=EOMONTH(EDATE($H$85,$E$85-1),0)),$D$85/MAX($E$85,1),0)</f>
        <v>0</v>
      </c>
      <c r="AU92" s="159" t="n">
        <f aca="false">IF(AND(AU$6&gt;=EOMONTH($H$85,0),AU$6&lt;=EOMONTH(EDATE($H$85,$E$85-1),0)),$D$85/MAX($E$85,1),0)</f>
        <v>0</v>
      </c>
      <c r="AV92" s="159" t="n">
        <f aca="false">IF(AND(AV$6&gt;=EOMONTH($H$85,0),AV$6&lt;=EOMONTH(EDATE($H$85,$E$85-1),0)),$D$85/MAX($E$85,1),0)</f>
        <v>0</v>
      </c>
      <c r="AW92" s="159" t="n">
        <f aca="false">IF(AND(AW$6&gt;=EOMONTH($H$85,0),AW$6&lt;=EOMONTH(EDATE($H$85,$E$85-1),0)),$D$85/MAX($E$85,1),0)</f>
        <v>0</v>
      </c>
      <c r="AX92" s="159" t="n">
        <f aca="false">IF(AND(AX$6&gt;=EOMONTH($H$85,0),AX$6&lt;=EOMONTH(EDATE($H$85,$E$85-1),0)),$D$85/MAX($E$85,1),0)</f>
        <v>0</v>
      </c>
      <c r="AY92" s="159" t="n">
        <f aca="false">IF(AND(AY$6&gt;=EOMONTH($H$85,0),AY$6&lt;=EOMONTH(EDATE($H$85,$E$85-1),0)),$D$85/MAX($E$85,1),0)</f>
        <v>0</v>
      </c>
      <c r="AZ92" s="159" t="n">
        <f aca="false">IF(AND(AZ$6&gt;=EOMONTH($H$85,0),AZ$6&lt;=EOMONTH(EDATE($H$85,$E$85-1),0)),$D$85/MAX($E$85,1),0)</f>
        <v>0</v>
      </c>
      <c r="BA92" s="159" t="n">
        <f aca="false">IF(AND(BA$6&gt;=EOMONTH($H$85,0),BA$6&lt;=EOMONTH(EDATE($H$85,$E$85-1),0)),$D$85/MAX($E$85,1),0)</f>
        <v>0</v>
      </c>
      <c r="BB92" s="159" t="n">
        <f aca="false">IF(AND(BB$6&gt;=EOMONTH($H$85,0),BB$6&lt;=EOMONTH(EDATE($H$85,$E$85-1),0)),$D$85/MAX($E$85,1),0)</f>
        <v>0</v>
      </c>
      <c r="BC92" s="159" t="n">
        <f aca="false">IF(AND(BC$6&gt;=EOMONTH($H$85,0),BC$6&lt;=EOMONTH(EDATE($H$85,$E$85-1),0)),$D$85/MAX($E$85,1),0)</f>
        <v>0</v>
      </c>
      <c r="BD92" s="159" t="n">
        <f aca="false">IF(AND(BD$6&gt;=EOMONTH($H$85,0),BD$6&lt;=EOMONTH(EDATE($H$85,$E$85-1),0)),$D$85/MAX($E$85,1),0)</f>
        <v>0</v>
      </c>
      <c r="BE92" s="159" t="n">
        <f aca="false">IF(AND(BE$6&gt;=EOMONTH($H$85,0),BE$6&lt;=EOMONTH(EDATE($H$85,$E$85-1),0)),$D$85/MAX($E$85,1),0)</f>
        <v>0</v>
      </c>
      <c r="BF92" s="159" t="n">
        <f aca="false">IF(AND(BF$6&gt;=EOMONTH($H$85,0),BF$6&lt;=EOMONTH(EDATE($H$85,$E$85-1),0)),$D$85/MAX($E$85,1),0)</f>
        <v>0</v>
      </c>
      <c r="BG92" s="159" t="n">
        <f aca="false">IF(AND(BG$6&gt;=EOMONTH($H$85,0),BG$6&lt;=EOMONTH(EDATE($H$85,$E$85-1),0)),$D$85/MAX($E$85,1),0)</f>
        <v>0</v>
      </c>
      <c r="BH92" s="159" t="n">
        <f aca="false">IF(AND(BH$6&gt;=EOMONTH($H$85,0),BH$6&lt;=EOMONTH(EDATE($H$85,$E$85-1),0)),$D$85/MAX($E$85,1),0)</f>
        <v>0</v>
      </c>
      <c r="BI92" s="159" t="n">
        <f aca="false">IF(AND(BI$6&gt;=EOMONTH($H$85,0),BI$6&lt;=EOMONTH(EDATE($H$85,$E$85-1),0)),$D$85/MAX($E$85,1),0)</f>
        <v>0</v>
      </c>
      <c r="BJ92" s="159" t="n">
        <f aca="false">IF(AND(BJ$6&gt;=EOMONTH($H$85,0),BJ$6&lt;=EOMONTH(EDATE($H$85,$E$85-1),0)),$D$85/MAX($E$85,1),0)</f>
        <v>0</v>
      </c>
      <c r="BK92" s="159" t="n">
        <f aca="false">IF(AND(BK$6&gt;=EOMONTH($H$85,0),BK$6&lt;=EOMONTH(EDATE($H$85,$E$85-1),0)),$D$85/MAX($E$85,1),0)</f>
        <v>0</v>
      </c>
      <c r="BL92" s="159" t="n">
        <f aca="false">IF(AND(BL$6&gt;=EOMONTH($H$85,0),BL$6&lt;=EOMONTH(EDATE($H$85,$E$85-1),0)),$D$85/MAX($E$85,1),0)</f>
        <v>0</v>
      </c>
      <c r="BM92" s="159" t="n">
        <f aca="false">IF(AND(BM$6&gt;=EOMONTH($H$85,0),BM$6&lt;=EOMONTH(EDATE($H$85,$E$85-1),0)),$D$85/MAX($E$85,1),0)</f>
        <v>0</v>
      </c>
      <c r="BN92" s="159" t="n">
        <f aca="false">IF(AND(BN$6&gt;=EOMONTH($H$85,0),BN$6&lt;=EOMONTH(EDATE($H$85,$E$85-1),0)),$D$85/MAX($E$85,1),0)</f>
        <v>0</v>
      </c>
      <c r="BO92" s="159" t="n">
        <f aca="false">IF(AND(BO$6&gt;=EOMONTH($H$85,0),BO$6&lt;=EOMONTH(EDATE($H$85,$E$85-1),0)),$D$85/MAX($E$85,1),0)</f>
        <v>0</v>
      </c>
      <c r="BP92" s="159" t="n">
        <f aca="false">IF(AND(BP$6&gt;=EOMONTH($H$85,0),BP$6&lt;=EOMONTH(EDATE($H$85,$E$85-1),0)),$D$85/MAX($E$85,1),0)</f>
        <v>0</v>
      </c>
      <c r="BQ92" s="159" t="n">
        <f aca="false">IF(AND(BQ$6&gt;=EOMONTH($H$85,0),BQ$6&lt;=EOMONTH(EDATE($H$85,$E$85-1),0)),$D$85/MAX($E$85,1),0)</f>
        <v>0</v>
      </c>
      <c r="BR92" s="159" t="n">
        <f aca="false">IF(AND(BR$6&gt;=EOMONTH($H$85,0),BR$6&lt;=EOMONTH(EDATE($H$85,$E$85-1),0)),$D$85/MAX($E$85,1),0)</f>
        <v>0</v>
      </c>
      <c r="BS92" s="159" t="n">
        <f aca="false">IF(AND(BS$6&gt;=EOMONTH($H$85,0),BS$6&lt;=EOMONTH(EDATE($H$85,$E$85-1),0)),$D$85/MAX($E$85,1),0)</f>
        <v>0</v>
      </c>
      <c r="BT92" s="159" t="n">
        <f aca="false">IF(AND(BT$6&gt;=EOMONTH($H$85,0),BT$6&lt;=EOMONTH(EDATE($H$85,$E$85-1),0)),$D$85/MAX($E$85,1),0)</f>
        <v>0</v>
      </c>
      <c r="BU92" s="159" t="n">
        <f aca="false">IF(AND(BU$6&gt;=EOMONTH($H$85,0),BU$6&lt;=EOMONTH(EDATE($H$85,$E$85-1),0)),$D$85/MAX($E$85,1),0)</f>
        <v>0</v>
      </c>
      <c r="BV92" s="159" t="n">
        <f aca="false">IF(AND(BV$6&gt;=EOMONTH($H$85,0),BV$6&lt;=EOMONTH(EDATE($H$85,$E$85-1),0)),$D$85/MAX($E$85,1),0)</f>
        <v>0</v>
      </c>
      <c r="BW92" s="159" t="n">
        <f aca="false">IF(AND(BW$6&gt;=EOMONTH($H$85,0),BW$6&lt;=EOMONTH(EDATE($H$85,$E$85-1),0)),$D$85/MAX($E$85,1),0)</f>
        <v>0</v>
      </c>
      <c r="BX92" s="159" t="n">
        <f aca="false">IF(AND(BX$6&gt;=EOMONTH($H$85,0),BX$6&lt;=EOMONTH(EDATE($H$85,$E$85-1),0)),$D$85/MAX($E$85,1),0)</f>
        <v>0</v>
      </c>
      <c r="BY92" s="159" t="n">
        <f aca="false">IF(AND(BY$6&gt;=EOMONTH($H$85,0),BY$6&lt;=EOMONTH(EDATE($H$85,$E$85-1),0)),$D$85/MAX($E$85,1),0)</f>
        <v>0</v>
      </c>
      <c r="BZ92" s="159" t="n">
        <f aca="false">IF(AND(BZ$6&gt;=EOMONTH($H$85,0),BZ$6&lt;=EOMONTH(EDATE($H$85,$E$85-1),0)),$D$85/MAX($E$85,1),0)</f>
        <v>0</v>
      </c>
      <c r="CA92" s="159" t="n">
        <f aca="false">IF(AND(CA$6&gt;=EOMONTH($H$85,0),CA$6&lt;=EOMONTH(EDATE($H$85,$E$85-1),0)),$D$85/MAX($E$85,1),0)</f>
        <v>0</v>
      </c>
    </row>
    <row r="93" customFormat="false" ht="15" hidden="false" customHeight="false" outlineLevel="0" collapsed="false">
      <c r="B93" s="193" t="s">
        <v>360</v>
      </c>
      <c r="T93" s="159" t="n">
        <f aca="false">IF(AND(T$6&gt;=EOMONTH($H$86,0),T$6&lt;=EOMONTH(EDATE($H$86,$E$86-1),0)),$D$86/MAX($E$86,1),0)</f>
        <v>0</v>
      </c>
      <c r="U93" s="159" t="n">
        <f aca="false">IF(AND(U$6&gt;=EOMONTH($H$86,0),U$6&lt;=EOMONTH(EDATE($H$86,$E$86-1),0)),$D$86/MAX($E$86,1),0)</f>
        <v>0</v>
      </c>
      <c r="V93" s="159" t="n">
        <f aca="false">IF(AND(V$6&gt;=EOMONTH($H$86,0),V$6&lt;=EOMONTH(EDATE($H$86,$E$86-1),0)),$D$86/MAX($E$86,1),0)</f>
        <v>0</v>
      </c>
      <c r="W93" s="159" t="n">
        <f aca="false">IF(AND(W$6&gt;=EOMONTH($H$86,0),W$6&lt;=EOMONTH(EDATE($H$86,$E$86-1),0)),$D$86/MAX($E$86,1),0)</f>
        <v>0</v>
      </c>
      <c r="X93" s="159" t="n">
        <f aca="false">IF(AND(X$6&gt;=EOMONTH($H$86,0),X$6&lt;=EOMONTH(EDATE($H$86,$E$86-1),0)),$D$86/MAX($E$86,1),0)</f>
        <v>0</v>
      </c>
      <c r="Y93" s="159" t="n">
        <f aca="false">IF(AND(Y$6&gt;=EOMONTH($H$86,0),Y$6&lt;=EOMONTH(EDATE($H$86,$E$86-1),0)),$D$86/MAX($E$86,1),0)</f>
        <v>0</v>
      </c>
      <c r="Z93" s="159" t="n">
        <f aca="false">IF(AND(Z$6&gt;=EOMONTH($H$86,0),Z$6&lt;=EOMONTH(EDATE($H$86,$E$86-1),0)),$D$86/MAX($E$86,1),0)</f>
        <v>0</v>
      </c>
      <c r="AA93" s="159" t="n">
        <f aca="false">IF(AND(AA$6&gt;=EOMONTH($H$86,0),AA$6&lt;=EOMONTH(EDATE($H$86,$E$86-1),0)),$D$86/MAX($E$86,1),0)</f>
        <v>0</v>
      </c>
      <c r="AB93" s="159" t="n">
        <f aca="false">IF(AND(AB$6&gt;=EOMONTH($H$86,0),AB$6&lt;=EOMONTH(EDATE($H$86,$E$86-1),0)),$D$86/MAX($E$86,1),0)</f>
        <v>0</v>
      </c>
      <c r="AC93" s="159" t="n">
        <f aca="false">IF(AND(AC$6&gt;=EOMONTH($H$86,0),AC$6&lt;=EOMONTH(EDATE($H$86,$E$86-1),0)),$D$86/MAX($E$86,1),0)</f>
        <v>0</v>
      </c>
      <c r="AD93" s="159" t="n">
        <f aca="false">IF(AND(AD$6&gt;=EOMONTH($H$86,0),AD$6&lt;=EOMONTH(EDATE($H$86,$E$86-1),0)),$D$86/MAX($E$86,1),0)</f>
        <v>0</v>
      </c>
      <c r="AE93" s="159" t="n">
        <f aca="false">IF(AND(AE$6&gt;=EOMONTH($H$86,0),AE$6&lt;=EOMONTH(EDATE($H$86,$E$86-1),0)),$D$86/MAX($E$86,1),0)</f>
        <v>0</v>
      </c>
      <c r="AF93" s="159" t="n">
        <f aca="false">IF(AND(AF$6&gt;=EOMONTH($H$86,0),AF$6&lt;=EOMONTH(EDATE($H$86,$E$86-1),0)),$D$86/MAX($E$86,1),0)</f>
        <v>0</v>
      </c>
      <c r="AG93" s="159" t="n">
        <f aca="false">IF(AND(AG$6&gt;=EOMONTH($H$86,0),AG$6&lt;=EOMONTH(EDATE($H$86,$E$86-1),0)),$D$86/MAX($E$86,1),0)</f>
        <v>0</v>
      </c>
      <c r="AH93" s="159" t="n">
        <f aca="false">IF(AND(AH$6&gt;=EOMONTH($H$86,0),AH$6&lt;=EOMONTH(EDATE($H$86,$E$86-1),0)),$D$86/MAX($E$86,1),0)</f>
        <v>0</v>
      </c>
      <c r="AI93" s="159" t="n">
        <f aca="false">IF(AND(AI$6&gt;=EOMONTH($H$86,0),AI$6&lt;=EOMONTH(EDATE($H$86,$E$86-1),0)),$D$86/MAX($E$86,1),0)</f>
        <v>0</v>
      </c>
      <c r="AJ93" s="159" t="n">
        <f aca="false">IF(AND(AJ$6&gt;=EOMONTH($H$86,0),AJ$6&lt;=EOMONTH(EDATE($H$86,$E$86-1),0)),$D$86/MAX($E$86,1),0)</f>
        <v>0</v>
      </c>
      <c r="AK93" s="159" t="n">
        <f aca="false">IF(AND(AK$6&gt;=EOMONTH($H$86,0),AK$6&lt;=EOMONTH(EDATE($H$86,$E$86-1),0)),$D$86/MAX($E$86,1),0)</f>
        <v>0</v>
      </c>
      <c r="AL93" s="159" t="n">
        <f aca="false">IF(AND(AL$6&gt;=EOMONTH($H$86,0),AL$6&lt;=EOMONTH(EDATE($H$86,$E$86-1),0)),$D$86/MAX($E$86,1),0)</f>
        <v>0</v>
      </c>
      <c r="AM93" s="159" t="n">
        <f aca="false">IF(AND(AM$6&gt;=EOMONTH($H$86,0),AM$6&lt;=EOMONTH(EDATE($H$86,$E$86-1),0)),$D$86/MAX($E$86,1),0)</f>
        <v>0</v>
      </c>
      <c r="AN93" s="159" t="n">
        <f aca="false">IF(AND(AN$6&gt;=EOMONTH($H$86,0),AN$6&lt;=EOMONTH(EDATE($H$86,$E$86-1),0)),$D$86/MAX($E$86,1),0)</f>
        <v>0</v>
      </c>
      <c r="AO93" s="159" t="n">
        <f aca="false">IF(AND(AO$6&gt;=EOMONTH($H$86,0),AO$6&lt;=EOMONTH(EDATE($H$86,$E$86-1),0)),$D$86/MAX($E$86,1),0)</f>
        <v>0</v>
      </c>
      <c r="AP93" s="159" t="n">
        <f aca="false">IF(AND(AP$6&gt;=EOMONTH($H$86,0),AP$6&lt;=EOMONTH(EDATE($H$86,$E$86-1),0)),$D$86/MAX($E$86,1),0)</f>
        <v>0</v>
      </c>
      <c r="AQ93" s="159" t="n">
        <f aca="false">IF(AND(AQ$6&gt;=EOMONTH($H$86,0),AQ$6&lt;=EOMONTH(EDATE($H$86,$E$86-1),0)),$D$86/MAX($E$86,1),0)</f>
        <v>0</v>
      </c>
      <c r="AR93" s="159" t="n">
        <f aca="false">IF(AND(AR$6&gt;=EOMONTH($H$86,0),AR$6&lt;=EOMONTH(EDATE($H$86,$E$86-1),0)),$D$86/MAX($E$86,1),0)</f>
        <v>0</v>
      </c>
      <c r="AS93" s="159" t="n">
        <f aca="false">IF(AND(AS$6&gt;=EOMONTH($H$86,0),AS$6&lt;=EOMONTH(EDATE($H$86,$E$86-1),0)),$D$86/MAX($E$86,1),0)</f>
        <v>0</v>
      </c>
      <c r="AT93" s="159" t="n">
        <f aca="false">IF(AND(AT$6&gt;=EOMONTH($H$86,0),AT$6&lt;=EOMONTH(EDATE($H$86,$E$86-1),0)),$D$86/MAX($E$86,1),0)</f>
        <v>0</v>
      </c>
      <c r="AU93" s="159" t="n">
        <f aca="false">IF(AND(AU$6&gt;=EOMONTH($H$86,0),AU$6&lt;=EOMONTH(EDATE($H$86,$E$86-1),0)),$D$86/MAX($E$86,1),0)</f>
        <v>0</v>
      </c>
      <c r="AV93" s="159" t="n">
        <f aca="false">IF(AND(AV$6&gt;=EOMONTH($H$86,0),AV$6&lt;=EOMONTH(EDATE($H$86,$E$86-1),0)),$D$86/MAX($E$86,1),0)</f>
        <v>0</v>
      </c>
      <c r="AW93" s="159" t="n">
        <f aca="false">IF(AND(AW$6&gt;=EOMONTH($H$86,0),AW$6&lt;=EOMONTH(EDATE($H$86,$E$86-1),0)),$D$86/MAX($E$86,1),0)</f>
        <v>0</v>
      </c>
      <c r="AX93" s="159" t="n">
        <f aca="false">IF(AND(AX$6&gt;=EOMONTH($H$86,0),AX$6&lt;=EOMONTH(EDATE($H$86,$E$86-1),0)),$D$86/MAX($E$86,1),0)</f>
        <v>0</v>
      </c>
      <c r="AY93" s="159" t="n">
        <f aca="false">IF(AND(AY$6&gt;=EOMONTH($H$86,0),AY$6&lt;=EOMONTH(EDATE($H$86,$E$86-1),0)),$D$86/MAX($E$86,1),0)</f>
        <v>0</v>
      </c>
      <c r="AZ93" s="159" t="n">
        <f aca="false">IF(AND(AZ$6&gt;=EOMONTH($H$86,0),AZ$6&lt;=EOMONTH(EDATE($H$86,$E$86-1),0)),$D$86/MAX($E$86,1),0)</f>
        <v>0</v>
      </c>
      <c r="BA93" s="159" t="n">
        <f aca="false">IF(AND(BA$6&gt;=EOMONTH($H$86,0),BA$6&lt;=EOMONTH(EDATE($H$86,$E$86-1),0)),$D$86/MAX($E$86,1),0)</f>
        <v>0</v>
      </c>
      <c r="BB93" s="159" t="n">
        <f aca="false">IF(AND(BB$6&gt;=EOMONTH($H$86,0),BB$6&lt;=EOMONTH(EDATE($H$86,$E$86-1),0)),$D$86/MAX($E$86,1),0)</f>
        <v>0</v>
      </c>
      <c r="BC93" s="159" t="n">
        <f aca="false">IF(AND(BC$6&gt;=EOMONTH($H$86,0),BC$6&lt;=EOMONTH(EDATE($H$86,$E$86-1),0)),$D$86/MAX($E$86,1),0)</f>
        <v>0</v>
      </c>
      <c r="BD93" s="159" t="n">
        <f aca="false">IF(AND(BD$6&gt;=EOMONTH($H$86,0),BD$6&lt;=EOMONTH(EDATE($H$86,$E$86-1),0)),$D$86/MAX($E$86,1),0)</f>
        <v>0</v>
      </c>
      <c r="BE93" s="159" t="n">
        <f aca="false">IF(AND(BE$6&gt;=EOMONTH($H$86,0),BE$6&lt;=EOMONTH(EDATE($H$86,$E$86-1),0)),$D$86/MAX($E$86,1),0)</f>
        <v>0</v>
      </c>
      <c r="BF93" s="159" t="n">
        <f aca="false">IF(AND(BF$6&gt;=EOMONTH($H$86,0),BF$6&lt;=EOMONTH(EDATE($H$86,$E$86-1),0)),$D$86/MAX($E$86,1),0)</f>
        <v>0</v>
      </c>
      <c r="BG93" s="159" t="n">
        <f aca="false">IF(AND(BG$6&gt;=EOMONTH($H$86,0),BG$6&lt;=EOMONTH(EDATE($H$86,$E$86-1),0)),$D$86/MAX($E$86,1),0)</f>
        <v>0</v>
      </c>
      <c r="BH93" s="159" t="n">
        <f aca="false">IF(AND(BH$6&gt;=EOMONTH($H$86,0),BH$6&lt;=EOMONTH(EDATE($H$86,$E$86-1),0)),$D$86/MAX($E$86,1),0)</f>
        <v>0</v>
      </c>
      <c r="BI93" s="159" t="n">
        <f aca="false">IF(AND(BI$6&gt;=EOMONTH($H$86,0),BI$6&lt;=EOMONTH(EDATE($H$86,$E$86-1),0)),$D$86/MAX($E$86,1),0)</f>
        <v>0</v>
      </c>
      <c r="BJ93" s="159" t="n">
        <f aca="false">IF(AND(BJ$6&gt;=EOMONTH($H$86,0),BJ$6&lt;=EOMONTH(EDATE($H$86,$E$86-1),0)),$D$86/MAX($E$86,1),0)</f>
        <v>0</v>
      </c>
      <c r="BK93" s="159" t="n">
        <f aca="false">IF(AND(BK$6&gt;=EOMONTH($H$86,0),BK$6&lt;=EOMONTH(EDATE($H$86,$E$86-1),0)),$D$86/MAX($E$86,1),0)</f>
        <v>0</v>
      </c>
      <c r="BL93" s="159" t="n">
        <f aca="false">IF(AND(BL$6&gt;=EOMONTH($H$86,0),BL$6&lt;=EOMONTH(EDATE($H$86,$E$86-1),0)),$D$86/MAX($E$86,1),0)</f>
        <v>0</v>
      </c>
      <c r="BM93" s="159" t="n">
        <f aca="false">IF(AND(BM$6&gt;=EOMONTH($H$86,0),BM$6&lt;=EOMONTH(EDATE($H$86,$E$86-1),0)),$D$86/MAX($E$86,1),0)</f>
        <v>0</v>
      </c>
      <c r="BN93" s="159" t="n">
        <f aca="false">IF(AND(BN$6&gt;=EOMONTH($H$86,0),BN$6&lt;=EOMONTH(EDATE($H$86,$E$86-1),0)),$D$86/MAX($E$86,1),0)</f>
        <v>0</v>
      </c>
      <c r="BO93" s="159" t="n">
        <f aca="false">IF(AND(BO$6&gt;=EOMONTH($H$86,0),BO$6&lt;=EOMONTH(EDATE($H$86,$E$86-1),0)),$D$86/MAX($E$86,1),0)</f>
        <v>0</v>
      </c>
      <c r="BP93" s="159" t="n">
        <f aca="false">IF(AND(BP$6&gt;=EOMONTH($H$86,0),BP$6&lt;=EOMONTH(EDATE($H$86,$E$86-1),0)),$D$86/MAX($E$86,1),0)</f>
        <v>0</v>
      </c>
      <c r="BQ93" s="159" t="n">
        <f aca="false">IF(AND(BQ$6&gt;=EOMONTH($H$86,0),BQ$6&lt;=EOMONTH(EDATE($H$86,$E$86-1),0)),$D$86/MAX($E$86,1),0)</f>
        <v>0</v>
      </c>
      <c r="BR93" s="159" t="n">
        <f aca="false">IF(AND(BR$6&gt;=EOMONTH($H$86,0),BR$6&lt;=EOMONTH(EDATE($H$86,$E$86-1),0)),$D$86/MAX($E$86,1),0)</f>
        <v>0</v>
      </c>
      <c r="BS93" s="159" t="n">
        <f aca="false">IF(AND(BS$6&gt;=EOMONTH($H$86,0),BS$6&lt;=EOMONTH(EDATE($H$86,$E$86-1),0)),$D$86/MAX($E$86,1),0)</f>
        <v>0</v>
      </c>
      <c r="BT93" s="159" t="n">
        <f aca="false">IF(AND(BT$6&gt;=EOMONTH($H$86,0),BT$6&lt;=EOMONTH(EDATE($H$86,$E$86-1),0)),$D$86/MAX($E$86,1),0)</f>
        <v>0</v>
      </c>
      <c r="BU93" s="159" t="n">
        <f aca="false">IF(AND(BU$6&gt;=EOMONTH($H$86,0),BU$6&lt;=EOMONTH(EDATE($H$86,$E$86-1),0)),$D$86/MAX($E$86,1),0)</f>
        <v>0</v>
      </c>
      <c r="BV93" s="159" t="n">
        <f aca="false">IF(AND(BV$6&gt;=EOMONTH($H$86,0),BV$6&lt;=EOMONTH(EDATE($H$86,$E$86-1),0)),$D$86/MAX($E$86,1),0)</f>
        <v>0</v>
      </c>
      <c r="BW93" s="159" t="n">
        <f aca="false">IF(AND(BW$6&gt;=EOMONTH($H$86,0),BW$6&lt;=EOMONTH(EDATE($H$86,$E$86-1),0)),$D$86/MAX($E$86,1),0)</f>
        <v>0</v>
      </c>
      <c r="BX93" s="159" t="n">
        <f aca="false">IF(AND(BX$6&gt;=EOMONTH($H$86,0),BX$6&lt;=EOMONTH(EDATE($H$86,$E$86-1),0)),$D$86/MAX($E$86,1),0)</f>
        <v>0</v>
      </c>
      <c r="BY93" s="159" t="n">
        <f aca="false">IF(AND(BY$6&gt;=EOMONTH($H$86,0),BY$6&lt;=EOMONTH(EDATE($H$86,$E$86-1),0)),$D$86/MAX($E$86,1),0)</f>
        <v>0</v>
      </c>
      <c r="BZ93" s="159" t="n">
        <f aca="false">IF(AND(BZ$6&gt;=EOMONTH($H$86,0),BZ$6&lt;=EOMONTH(EDATE($H$86,$E$86-1),0)),$D$86/MAX($E$86,1),0)</f>
        <v>0</v>
      </c>
      <c r="CA93" s="159" t="n">
        <f aca="false">IF(AND(CA$6&gt;=EOMONTH($H$86,0),CA$6&lt;=EOMONTH(EDATE($H$86,$E$86-1),0)),$D$86/MAX($E$86,1),0)</f>
        <v>0</v>
      </c>
    </row>
    <row r="94" customFormat="false" ht="15" hidden="false" customHeight="false" outlineLevel="0" collapsed="false">
      <c r="B94" s="193" t="s">
        <v>361</v>
      </c>
      <c r="T94" s="159" t="n">
        <f aca="false">IF(AND(T$6&gt;=EOMONTH($H$87,0),T$6&lt;=EOMONTH(EDATE($H$87,$E$87-1),0)),$D$87/MAX($E$87,1),0)</f>
        <v>0</v>
      </c>
      <c r="U94" s="159" t="n">
        <f aca="false">IF(AND(U$6&gt;=EOMONTH($H$87,0),U$6&lt;=EOMONTH(EDATE($H$87,$E$87-1),0)),$D$87/MAX($E$87,1),0)</f>
        <v>0</v>
      </c>
      <c r="V94" s="159" t="n">
        <f aca="false">IF(AND(V$6&gt;=EOMONTH($H$87,0),V$6&lt;=EOMONTH(EDATE($H$87,$E$87-1),0)),$D$87/MAX($E$87,1),0)</f>
        <v>0</v>
      </c>
      <c r="W94" s="159" t="n">
        <f aca="false">IF(AND(W$6&gt;=EOMONTH($H$87,0),W$6&lt;=EOMONTH(EDATE($H$87,$E$87-1),0)),$D$87/MAX($E$87,1),0)</f>
        <v>0</v>
      </c>
      <c r="X94" s="159" t="n">
        <f aca="false">IF(AND(X$6&gt;=EOMONTH($H$87,0),X$6&lt;=EOMONTH(EDATE($H$87,$E$87-1),0)),$D$87/MAX($E$87,1),0)</f>
        <v>0</v>
      </c>
      <c r="Y94" s="159" t="n">
        <f aca="false">IF(AND(Y$6&gt;=EOMONTH($H$87,0),Y$6&lt;=EOMONTH(EDATE($H$87,$E$87-1),0)),$D$87/MAX($E$87,1),0)</f>
        <v>0</v>
      </c>
      <c r="Z94" s="159" t="n">
        <f aca="false">IF(AND(Z$6&gt;=EOMONTH($H$87,0),Z$6&lt;=EOMONTH(EDATE($H$87,$E$87-1),0)),$D$87/MAX($E$87,1),0)</f>
        <v>0</v>
      </c>
      <c r="AA94" s="159" t="n">
        <f aca="false">IF(AND(AA$6&gt;=EOMONTH($H$87,0),AA$6&lt;=EOMONTH(EDATE($H$87,$E$87-1),0)),$D$87/MAX($E$87,1),0)</f>
        <v>0</v>
      </c>
      <c r="AB94" s="159" t="n">
        <f aca="false">IF(AND(AB$6&gt;=EOMONTH($H$87,0),AB$6&lt;=EOMONTH(EDATE($H$87,$E$87-1),0)),$D$87/MAX($E$87,1),0)</f>
        <v>0</v>
      </c>
      <c r="AC94" s="159" t="n">
        <f aca="false">IF(AND(AC$6&gt;=EOMONTH($H$87,0),AC$6&lt;=EOMONTH(EDATE($H$87,$E$87-1),0)),$D$87/MAX($E$87,1),0)</f>
        <v>11408.2222222222</v>
      </c>
      <c r="AD94" s="159" t="n">
        <f aca="false">IF(AND(AD$6&gt;=EOMONTH($H$87,0),AD$6&lt;=EOMONTH(EDATE($H$87,$E$87-1),0)),$D$87/MAX($E$87,1),0)</f>
        <v>11408.2222222222</v>
      </c>
      <c r="AE94" s="159" t="n">
        <f aca="false">IF(AND(AE$6&gt;=EOMONTH($H$87,0),AE$6&lt;=EOMONTH(EDATE($H$87,$E$87-1),0)),$D$87/MAX($E$87,1),0)</f>
        <v>11408.2222222222</v>
      </c>
      <c r="AF94" s="159" t="n">
        <f aca="false">IF(AND(AF$6&gt;=EOMONTH($H$87,0),AF$6&lt;=EOMONTH(EDATE($H$87,$E$87-1),0)),$D$87/MAX($E$87,1),0)</f>
        <v>11408.2222222222</v>
      </c>
      <c r="AG94" s="159" t="n">
        <f aca="false">IF(AND(AG$6&gt;=EOMONTH($H$87,0),AG$6&lt;=EOMONTH(EDATE($H$87,$E$87-1),0)),$D$87/MAX($E$87,1),0)</f>
        <v>11408.2222222222</v>
      </c>
      <c r="AH94" s="159" t="n">
        <f aca="false">IF(AND(AH$6&gt;=EOMONTH($H$87,0),AH$6&lt;=EOMONTH(EDATE($H$87,$E$87-1),0)),$D$87/MAX($E$87,1),0)</f>
        <v>11408.2222222222</v>
      </c>
      <c r="AI94" s="159" t="n">
        <f aca="false">IF(AND(AI$6&gt;=EOMONTH($H$87,0),AI$6&lt;=EOMONTH(EDATE($H$87,$E$87-1),0)),$D$87/MAX($E$87,1),0)</f>
        <v>11408.2222222222</v>
      </c>
      <c r="AJ94" s="159" t="n">
        <f aca="false">IF(AND(AJ$6&gt;=EOMONTH($H$87,0),AJ$6&lt;=EOMONTH(EDATE($H$87,$E$87-1),0)),$D$87/MAX($E$87,1),0)</f>
        <v>11408.2222222222</v>
      </c>
      <c r="AK94" s="159" t="n">
        <f aca="false">IF(AND(AK$6&gt;=EOMONTH($H$87,0),AK$6&lt;=EOMONTH(EDATE($H$87,$E$87-1),0)),$D$87/MAX($E$87,1),0)</f>
        <v>11408.2222222222</v>
      </c>
      <c r="AL94" s="159" t="n">
        <f aca="false">IF(AND(AL$6&gt;=EOMONTH($H$87,0),AL$6&lt;=EOMONTH(EDATE($H$87,$E$87-1),0)),$D$87/MAX($E$87,1),0)</f>
        <v>0</v>
      </c>
      <c r="AM94" s="159" t="n">
        <f aca="false">IF(AND(AM$6&gt;=EOMONTH($H$87,0),AM$6&lt;=EOMONTH(EDATE($H$87,$E$87-1),0)),$D$87/MAX($E$87,1),0)</f>
        <v>0</v>
      </c>
      <c r="AN94" s="159" t="n">
        <f aca="false">IF(AND(AN$6&gt;=EOMONTH($H$87,0),AN$6&lt;=EOMONTH(EDATE($H$87,$E$87-1),0)),$D$87/MAX($E$87,1),0)</f>
        <v>0</v>
      </c>
      <c r="AO94" s="159" t="n">
        <f aca="false">IF(AND(AO$6&gt;=EOMONTH($H$87,0),AO$6&lt;=EOMONTH(EDATE($H$87,$E$87-1),0)),$D$87/MAX($E$87,1),0)</f>
        <v>0</v>
      </c>
      <c r="AP94" s="159" t="n">
        <f aca="false">IF(AND(AP$6&gt;=EOMONTH($H$87,0),AP$6&lt;=EOMONTH(EDATE($H$87,$E$87-1),0)),$D$87/MAX($E$87,1),0)</f>
        <v>0</v>
      </c>
      <c r="AQ94" s="159" t="n">
        <f aca="false">IF(AND(AQ$6&gt;=EOMONTH($H$87,0),AQ$6&lt;=EOMONTH(EDATE($H$87,$E$87-1),0)),$D$87/MAX($E$87,1),0)</f>
        <v>0</v>
      </c>
      <c r="AR94" s="159" t="n">
        <f aca="false">IF(AND(AR$6&gt;=EOMONTH($H$87,0),AR$6&lt;=EOMONTH(EDATE($H$87,$E$87-1),0)),$D$87/MAX($E$87,1),0)</f>
        <v>0</v>
      </c>
      <c r="AS94" s="159" t="n">
        <f aca="false">IF(AND(AS$6&gt;=EOMONTH($H$87,0),AS$6&lt;=EOMONTH(EDATE($H$87,$E$87-1),0)),$D$87/MAX($E$87,1),0)</f>
        <v>0</v>
      </c>
      <c r="AT94" s="159" t="n">
        <f aca="false">IF(AND(AT$6&gt;=EOMONTH($H$87,0),AT$6&lt;=EOMONTH(EDATE($H$87,$E$87-1),0)),$D$87/MAX($E$87,1),0)</f>
        <v>0</v>
      </c>
      <c r="AU94" s="159" t="n">
        <f aca="false">IF(AND(AU$6&gt;=EOMONTH($H$87,0),AU$6&lt;=EOMONTH(EDATE($H$87,$E$87-1),0)),$D$87/MAX($E$87,1),0)</f>
        <v>0</v>
      </c>
      <c r="AV94" s="159" t="n">
        <f aca="false">IF(AND(AV$6&gt;=EOMONTH($H$87,0),AV$6&lt;=EOMONTH(EDATE($H$87,$E$87-1),0)),$D$87/MAX($E$87,1),0)</f>
        <v>0</v>
      </c>
      <c r="AW94" s="159" t="n">
        <f aca="false">IF(AND(AW$6&gt;=EOMONTH($H$87,0),AW$6&lt;=EOMONTH(EDATE($H$87,$E$87-1),0)),$D$87/MAX($E$87,1),0)</f>
        <v>0</v>
      </c>
      <c r="AX94" s="159" t="n">
        <f aca="false">IF(AND(AX$6&gt;=EOMONTH($H$87,0),AX$6&lt;=EOMONTH(EDATE($H$87,$E$87-1),0)),$D$87/MAX($E$87,1),0)</f>
        <v>0</v>
      </c>
      <c r="AY94" s="159" t="n">
        <f aca="false">IF(AND(AY$6&gt;=EOMONTH($H$87,0),AY$6&lt;=EOMONTH(EDATE($H$87,$E$87-1),0)),$D$87/MAX($E$87,1),0)</f>
        <v>0</v>
      </c>
      <c r="AZ94" s="159" t="n">
        <f aca="false">IF(AND(AZ$6&gt;=EOMONTH($H$87,0),AZ$6&lt;=EOMONTH(EDATE($H$87,$E$87-1),0)),$D$87/MAX($E$87,1),0)</f>
        <v>0</v>
      </c>
      <c r="BA94" s="159" t="n">
        <f aca="false">IF(AND(BA$6&gt;=EOMONTH($H$87,0),BA$6&lt;=EOMONTH(EDATE($H$87,$E$87-1),0)),$D$87/MAX($E$87,1),0)</f>
        <v>0</v>
      </c>
      <c r="BB94" s="159" t="n">
        <f aca="false">IF(AND(BB$6&gt;=EOMONTH($H$87,0),BB$6&lt;=EOMONTH(EDATE($H$87,$E$87-1),0)),$D$87/MAX($E$87,1),0)</f>
        <v>0</v>
      </c>
      <c r="BC94" s="159" t="n">
        <f aca="false">IF(AND(BC$6&gt;=EOMONTH($H$87,0),BC$6&lt;=EOMONTH(EDATE($H$87,$E$87-1),0)),$D$87/MAX($E$87,1),0)</f>
        <v>0</v>
      </c>
      <c r="BD94" s="159" t="n">
        <f aca="false">IF(AND(BD$6&gt;=EOMONTH($H$87,0),BD$6&lt;=EOMONTH(EDATE($H$87,$E$87-1),0)),$D$87/MAX($E$87,1),0)</f>
        <v>0</v>
      </c>
      <c r="BE94" s="159" t="n">
        <f aca="false">IF(AND(BE$6&gt;=EOMONTH($H$87,0),BE$6&lt;=EOMONTH(EDATE($H$87,$E$87-1),0)),$D$87/MAX($E$87,1),0)</f>
        <v>0</v>
      </c>
      <c r="BF94" s="159" t="n">
        <f aca="false">IF(AND(BF$6&gt;=EOMONTH($H$87,0),BF$6&lt;=EOMONTH(EDATE($H$87,$E$87-1),0)),$D$87/MAX($E$87,1),0)</f>
        <v>0</v>
      </c>
      <c r="BG94" s="159" t="n">
        <f aca="false">IF(AND(BG$6&gt;=EOMONTH($H$87,0),BG$6&lt;=EOMONTH(EDATE($H$87,$E$87-1),0)),$D$87/MAX($E$87,1),0)</f>
        <v>0</v>
      </c>
      <c r="BH94" s="159" t="n">
        <f aca="false">IF(AND(BH$6&gt;=EOMONTH($H$87,0),BH$6&lt;=EOMONTH(EDATE($H$87,$E$87-1),0)),$D$87/MAX($E$87,1),0)</f>
        <v>0</v>
      </c>
      <c r="BI94" s="159" t="n">
        <f aca="false">IF(AND(BI$6&gt;=EOMONTH($H$87,0),BI$6&lt;=EOMONTH(EDATE($H$87,$E$87-1),0)),$D$87/MAX($E$87,1),0)</f>
        <v>0</v>
      </c>
      <c r="BJ94" s="159" t="n">
        <f aca="false">IF(AND(BJ$6&gt;=EOMONTH($H$87,0),BJ$6&lt;=EOMONTH(EDATE($H$87,$E$87-1),0)),$D$87/MAX($E$87,1),0)</f>
        <v>0</v>
      </c>
      <c r="BK94" s="159" t="n">
        <f aca="false">IF(AND(BK$6&gt;=EOMONTH($H$87,0),BK$6&lt;=EOMONTH(EDATE($H$87,$E$87-1),0)),$D$87/MAX($E$87,1),0)</f>
        <v>0</v>
      </c>
      <c r="BL94" s="159" t="n">
        <f aca="false">IF(AND(BL$6&gt;=EOMONTH($H$87,0),BL$6&lt;=EOMONTH(EDATE($H$87,$E$87-1),0)),$D$87/MAX($E$87,1),0)</f>
        <v>0</v>
      </c>
      <c r="BM94" s="159" t="n">
        <f aca="false">IF(AND(BM$6&gt;=EOMONTH($H$87,0),BM$6&lt;=EOMONTH(EDATE($H$87,$E$87-1),0)),$D$87/MAX($E$87,1),0)</f>
        <v>0</v>
      </c>
      <c r="BN94" s="159" t="n">
        <f aca="false">IF(AND(BN$6&gt;=EOMONTH($H$87,0),BN$6&lt;=EOMONTH(EDATE($H$87,$E$87-1),0)),$D$87/MAX($E$87,1),0)</f>
        <v>0</v>
      </c>
      <c r="BO94" s="159" t="n">
        <f aca="false">IF(AND(BO$6&gt;=EOMONTH($H$87,0),BO$6&lt;=EOMONTH(EDATE($H$87,$E$87-1),0)),$D$87/MAX($E$87,1),0)</f>
        <v>0</v>
      </c>
      <c r="BP94" s="159" t="n">
        <f aca="false">IF(AND(BP$6&gt;=EOMONTH($H$87,0),BP$6&lt;=EOMONTH(EDATE($H$87,$E$87-1),0)),$D$87/MAX($E$87,1),0)</f>
        <v>0</v>
      </c>
      <c r="BQ94" s="159" t="n">
        <f aca="false">IF(AND(BQ$6&gt;=EOMONTH($H$87,0),BQ$6&lt;=EOMONTH(EDATE($H$87,$E$87-1),0)),$D$87/MAX($E$87,1),0)</f>
        <v>0</v>
      </c>
      <c r="BR94" s="159" t="n">
        <f aca="false">IF(AND(BR$6&gt;=EOMONTH($H$87,0),BR$6&lt;=EOMONTH(EDATE($H$87,$E$87-1),0)),$D$87/MAX($E$87,1),0)</f>
        <v>0</v>
      </c>
      <c r="BS94" s="159" t="n">
        <f aca="false">IF(AND(BS$6&gt;=EOMONTH($H$87,0),BS$6&lt;=EOMONTH(EDATE($H$87,$E$87-1),0)),$D$87/MAX($E$87,1),0)</f>
        <v>0</v>
      </c>
      <c r="BT94" s="159" t="n">
        <f aca="false">IF(AND(BT$6&gt;=EOMONTH($H$87,0),BT$6&lt;=EOMONTH(EDATE($H$87,$E$87-1),0)),$D$87/MAX($E$87,1),0)</f>
        <v>0</v>
      </c>
      <c r="BU94" s="159" t="n">
        <f aca="false">IF(AND(BU$6&gt;=EOMONTH($H$87,0),BU$6&lt;=EOMONTH(EDATE($H$87,$E$87-1),0)),$D$87/MAX($E$87,1),0)</f>
        <v>0</v>
      </c>
      <c r="BV94" s="159" t="n">
        <f aca="false">IF(AND(BV$6&gt;=EOMONTH($H$87,0),BV$6&lt;=EOMONTH(EDATE($H$87,$E$87-1),0)),$D$87/MAX($E$87,1),0)</f>
        <v>0</v>
      </c>
      <c r="BW94" s="159" t="n">
        <f aca="false">IF(AND(BW$6&gt;=EOMONTH($H$87,0),BW$6&lt;=EOMONTH(EDATE($H$87,$E$87-1),0)),$D$87/MAX($E$87,1),0)</f>
        <v>0</v>
      </c>
      <c r="BX94" s="159" t="n">
        <f aca="false">IF(AND(BX$6&gt;=EOMONTH($H$87,0),BX$6&lt;=EOMONTH(EDATE($H$87,$E$87-1),0)),$D$87/MAX($E$87,1),0)</f>
        <v>0</v>
      </c>
      <c r="BY94" s="159" t="n">
        <f aca="false">IF(AND(BY$6&gt;=EOMONTH($H$87,0),BY$6&lt;=EOMONTH(EDATE($H$87,$E$87-1),0)),$D$87/MAX($E$87,1),0)</f>
        <v>0</v>
      </c>
      <c r="BZ94" s="159" t="n">
        <f aca="false">IF(AND(BZ$6&gt;=EOMONTH($H$87,0),BZ$6&lt;=EOMONTH(EDATE($H$87,$E$87-1),0)),$D$87/MAX($E$87,1),0)</f>
        <v>0</v>
      </c>
      <c r="CA94" s="159" t="n">
        <f aca="false">IF(AND(CA$6&gt;=EOMONTH($H$87,0),CA$6&lt;=EOMONTH(EDATE($H$87,$E$87-1),0)),$D$87/MAX($E$87,1),0)</f>
        <v>0</v>
      </c>
    </row>
    <row r="95" customFormat="false" ht="15" hidden="false" customHeight="false" outlineLevel="0" collapsed="false">
      <c r="B95" s="193" t="s">
        <v>362</v>
      </c>
      <c r="T95" s="159" t="n">
        <f aca="false">IF(AND(T$6&gt;=EOMONTH($H$88,0),T$6&lt;=EOMONTH(EDATE($H$88,$E$88-1),0)),$D$88/MAX($E$88,1),0)</f>
        <v>0</v>
      </c>
      <c r="U95" s="159" t="n">
        <f aca="false">IF(AND(U$6&gt;=EOMONTH($H$88,0),U$6&lt;=EOMONTH(EDATE($H$88,$E$88-1),0)),$D$88/MAX($E$88,1),0)</f>
        <v>0</v>
      </c>
      <c r="V95" s="159" t="n">
        <f aca="false">IF(AND(V$6&gt;=EOMONTH($H$88,0),V$6&lt;=EOMONTH(EDATE($H$88,$E$88-1),0)),$D$88/MAX($E$88,1),0)</f>
        <v>0</v>
      </c>
      <c r="W95" s="159" t="n">
        <f aca="false">IF(AND(W$6&gt;=EOMONTH($H$88,0),W$6&lt;=EOMONTH(EDATE($H$88,$E$88-1),0)),$D$88/MAX($E$88,1),0)</f>
        <v>0</v>
      </c>
      <c r="X95" s="159" t="n">
        <f aca="false">IF(AND(X$6&gt;=EOMONTH($H$88,0),X$6&lt;=EOMONTH(EDATE($H$88,$E$88-1),0)),$D$88/MAX($E$88,1),0)</f>
        <v>0</v>
      </c>
      <c r="Y95" s="159" t="n">
        <f aca="false">IF(AND(Y$6&gt;=EOMONTH($H$88,0),Y$6&lt;=EOMONTH(EDATE($H$88,$E$88-1),0)),$D$88/MAX($E$88,1),0)</f>
        <v>0</v>
      </c>
      <c r="Z95" s="159" t="n">
        <f aca="false">IF(AND(Z$6&gt;=EOMONTH($H$88,0),Z$6&lt;=EOMONTH(EDATE($H$88,$E$88-1),0)),$D$88/MAX($E$88,1),0)</f>
        <v>0</v>
      </c>
      <c r="AA95" s="159" t="n">
        <f aca="false">IF(AND(AA$6&gt;=EOMONTH($H$88,0),AA$6&lt;=EOMONTH(EDATE($H$88,$E$88-1),0)),$D$88/MAX($E$88,1),0)</f>
        <v>0</v>
      </c>
      <c r="AB95" s="159" t="n">
        <f aca="false">IF(AND(AB$6&gt;=EOMONTH($H$88,0),AB$6&lt;=EOMONTH(EDATE($H$88,$E$88-1),0)),$D$88/MAX($E$88,1),0)</f>
        <v>0</v>
      </c>
      <c r="AC95" s="159" t="n">
        <f aca="false">IF(AND(AC$6&gt;=EOMONTH($H$88,0),AC$6&lt;=EOMONTH(EDATE($H$88,$E$88-1),0)),$D$88/MAX($E$88,1),0)</f>
        <v>15401.1</v>
      </c>
      <c r="AD95" s="159" t="n">
        <f aca="false">IF(AND(AD$6&gt;=EOMONTH($H$88,0),AD$6&lt;=EOMONTH(EDATE($H$88,$E$88-1),0)),$D$88/MAX($E$88,1),0)</f>
        <v>15401.1</v>
      </c>
      <c r="AE95" s="159" t="n">
        <f aca="false">IF(AND(AE$6&gt;=EOMONTH($H$88,0),AE$6&lt;=EOMONTH(EDATE($H$88,$E$88-1),0)),$D$88/MAX($E$88,1),0)</f>
        <v>15401.1</v>
      </c>
      <c r="AF95" s="159" t="n">
        <f aca="false">IF(AND(AF$6&gt;=EOMONTH($H$88,0),AF$6&lt;=EOMONTH(EDATE($H$88,$E$88-1),0)),$D$88/MAX($E$88,1),0)</f>
        <v>15401.1</v>
      </c>
      <c r="AG95" s="159" t="n">
        <f aca="false">IF(AND(AG$6&gt;=EOMONTH($H$88,0),AG$6&lt;=EOMONTH(EDATE($H$88,$E$88-1),0)),$D$88/MAX($E$88,1),0)</f>
        <v>15401.1</v>
      </c>
      <c r="AH95" s="159" t="n">
        <f aca="false">IF(AND(AH$6&gt;=EOMONTH($H$88,0),AH$6&lt;=EOMONTH(EDATE($H$88,$E$88-1),0)),$D$88/MAX($E$88,1),0)</f>
        <v>15401.1</v>
      </c>
      <c r="AI95" s="159" t="n">
        <f aca="false">IF(AND(AI$6&gt;=EOMONTH($H$88,0),AI$6&lt;=EOMONTH(EDATE($H$88,$E$88-1),0)),$D$88/MAX($E$88,1),0)</f>
        <v>15401.1</v>
      </c>
      <c r="AJ95" s="159" t="n">
        <f aca="false">IF(AND(AJ$6&gt;=EOMONTH($H$88,0),AJ$6&lt;=EOMONTH(EDATE($H$88,$E$88-1),0)),$D$88/MAX($E$88,1),0)</f>
        <v>15401.1</v>
      </c>
      <c r="AK95" s="159" t="n">
        <f aca="false">IF(AND(AK$6&gt;=EOMONTH($H$88,0),AK$6&lt;=EOMONTH(EDATE($H$88,$E$88-1),0)),$D$88/MAX($E$88,1),0)</f>
        <v>15401.1</v>
      </c>
      <c r="AL95" s="159" t="n">
        <f aca="false">IF(AND(AL$6&gt;=EOMONTH($H$88,0),AL$6&lt;=EOMONTH(EDATE($H$88,$E$88-1),0)),$D$88/MAX($E$88,1),0)</f>
        <v>0</v>
      </c>
      <c r="AM95" s="159" t="n">
        <f aca="false">IF(AND(AM$6&gt;=EOMONTH($H$88,0),AM$6&lt;=EOMONTH(EDATE($H$88,$E$88-1),0)),$D$88/MAX($E$88,1),0)</f>
        <v>0</v>
      </c>
      <c r="AN95" s="159" t="n">
        <f aca="false">IF(AND(AN$6&gt;=EOMONTH($H$88,0),AN$6&lt;=EOMONTH(EDATE($H$88,$E$88-1),0)),$D$88/MAX($E$88,1),0)</f>
        <v>0</v>
      </c>
      <c r="AO95" s="159" t="n">
        <f aca="false">IF(AND(AO$6&gt;=EOMONTH($H$88,0),AO$6&lt;=EOMONTH(EDATE($H$88,$E$88-1),0)),$D$88/MAX($E$88,1),0)</f>
        <v>0</v>
      </c>
      <c r="AP95" s="159" t="n">
        <f aca="false">IF(AND(AP$6&gt;=EOMONTH($H$88,0),AP$6&lt;=EOMONTH(EDATE($H$88,$E$88-1),0)),$D$88/MAX($E$88,1),0)</f>
        <v>0</v>
      </c>
      <c r="AQ95" s="159" t="n">
        <f aca="false">IF(AND(AQ$6&gt;=EOMONTH($H$88,0),AQ$6&lt;=EOMONTH(EDATE($H$88,$E$88-1),0)),$D$88/MAX($E$88,1),0)</f>
        <v>0</v>
      </c>
      <c r="AR95" s="159" t="n">
        <f aca="false">IF(AND(AR$6&gt;=EOMONTH($H$88,0),AR$6&lt;=EOMONTH(EDATE($H$88,$E$88-1),0)),$D$88/MAX($E$88,1),0)</f>
        <v>0</v>
      </c>
      <c r="AS95" s="159" t="n">
        <f aca="false">IF(AND(AS$6&gt;=EOMONTH($H$88,0),AS$6&lt;=EOMONTH(EDATE($H$88,$E$88-1),0)),$D$88/MAX($E$88,1),0)</f>
        <v>0</v>
      </c>
      <c r="AT95" s="159" t="n">
        <f aca="false">IF(AND(AT$6&gt;=EOMONTH($H$88,0),AT$6&lt;=EOMONTH(EDATE($H$88,$E$88-1),0)),$D$88/MAX($E$88,1),0)</f>
        <v>0</v>
      </c>
      <c r="AU95" s="159" t="n">
        <f aca="false">IF(AND(AU$6&gt;=EOMONTH($H$88,0),AU$6&lt;=EOMONTH(EDATE($H$88,$E$88-1),0)),$D$88/MAX($E$88,1),0)</f>
        <v>0</v>
      </c>
      <c r="AV95" s="159" t="n">
        <f aca="false">IF(AND(AV$6&gt;=EOMONTH($H$88,0),AV$6&lt;=EOMONTH(EDATE($H$88,$E$88-1),0)),$D$88/MAX($E$88,1),0)</f>
        <v>0</v>
      </c>
      <c r="AW95" s="159" t="n">
        <f aca="false">IF(AND(AW$6&gt;=EOMONTH($H$88,0),AW$6&lt;=EOMONTH(EDATE($H$88,$E$88-1),0)),$D$88/MAX($E$88,1),0)</f>
        <v>0</v>
      </c>
      <c r="AX95" s="159" t="n">
        <f aca="false">IF(AND(AX$6&gt;=EOMONTH($H$88,0),AX$6&lt;=EOMONTH(EDATE($H$88,$E$88-1),0)),$D$88/MAX($E$88,1),0)</f>
        <v>0</v>
      </c>
      <c r="AY95" s="159" t="n">
        <f aca="false">IF(AND(AY$6&gt;=EOMONTH($H$88,0),AY$6&lt;=EOMONTH(EDATE($H$88,$E$88-1),0)),$D$88/MAX($E$88,1),0)</f>
        <v>0</v>
      </c>
      <c r="AZ95" s="159" t="n">
        <f aca="false">IF(AND(AZ$6&gt;=EOMONTH($H$88,0),AZ$6&lt;=EOMONTH(EDATE($H$88,$E$88-1),0)),$D$88/MAX($E$88,1),0)</f>
        <v>0</v>
      </c>
      <c r="BA95" s="159" t="n">
        <f aca="false">IF(AND(BA$6&gt;=EOMONTH($H$88,0),BA$6&lt;=EOMONTH(EDATE($H$88,$E$88-1),0)),$D$88/MAX($E$88,1),0)</f>
        <v>0</v>
      </c>
      <c r="BB95" s="159" t="n">
        <f aca="false">IF(AND(BB$6&gt;=EOMONTH($H$88,0),BB$6&lt;=EOMONTH(EDATE($H$88,$E$88-1),0)),$D$88/MAX($E$88,1),0)</f>
        <v>0</v>
      </c>
      <c r="BC95" s="159" t="n">
        <f aca="false">IF(AND(BC$6&gt;=EOMONTH($H$88,0),BC$6&lt;=EOMONTH(EDATE($H$88,$E$88-1),0)),$D$88/MAX($E$88,1),0)</f>
        <v>0</v>
      </c>
      <c r="BD95" s="159" t="n">
        <f aca="false">IF(AND(BD$6&gt;=EOMONTH($H$88,0),BD$6&lt;=EOMONTH(EDATE($H$88,$E$88-1),0)),$D$88/MAX($E$88,1),0)</f>
        <v>0</v>
      </c>
      <c r="BE95" s="159" t="n">
        <f aca="false">IF(AND(BE$6&gt;=EOMONTH($H$88,0),BE$6&lt;=EOMONTH(EDATE($H$88,$E$88-1),0)),$D$88/MAX($E$88,1),0)</f>
        <v>0</v>
      </c>
      <c r="BF95" s="159" t="n">
        <f aca="false">IF(AND(BF$6&gt;=EOMONTH($H$88,0),BF$6&lt;=EOMONTH(EDATE($H$88,$E$88-1),0)),$D$88/MAX($E$88,1),0)</f>
        <v>0</v>
      </c>
      <c r="BG95" s="159" t="n">
        <f aca="false">IF(AND(BG$6&gt;=EOMONTH($H$88,0),BG$6&lt;=EOMONTH(EDATE($H$88,$E$88-1),0)),$D$88/MAX($E$88,1),0)</f>
        <v>0</v>
      </c>
      <c r="BH95" s="159" t="n">
        <f aca="false">IF(AND(BH$6&gt;=EOMONTH($H$88,0),BH$6&lt;=EOMONTH(EDATE($H$88,$E$88-1),0)),$D$88/MAX($E$88,1),0)</f>
        <v>0</v>
      </c>
      <c r="BI95" s="159" t="n">
        <f aca="false">IF(AND(BI$6&gt;=EOMONTH($H$88,0),BI$6&lt;=EOMONTH(EDATE($H$88,$E$88-1),0)),$D$88/MAX($E$88,1),0)</f>
        <v>0</v>
      </c>
      <c r="BJ95" s="159" t="n">
        <f aca="false">IF(AND(BJ$6&gt;=EOMONTH($H$88,0),BJ$6&lt;=EOMONTH(EDATE($H$88,$E$88-1),0)),$D$88/MAX($E$88,1),0)</f>
        <v>0</v>
      </c>
      <c r="BK95" s="159" t="n">
        <f aca="false">IF(AND(BK$6&gt;=EOMONTH($H$88,0),BK$6&lt;=EOMONTH(EDATE($H$88,$E$88-1),0)),$D$88/MAX($E$88,1),0)</f>
        <v>0</v>
      </c>
      <c r="BL95" s="159" t="n">
        <f aca="false">IF(AND(BL$6&gt;=EOMONTH($H$88,0),BL$6&lt;=EOMONTH(EDATE($H$88,$E$88-1),0)),$D$88/MAX($E$88,1),0)</f>
        <v>0</v>
      </c>
      <c r="BM95" s="159" t="n">
        <f aca="false">IF(AND(BM$6&gt;=EOMONTH($H$88,0),BM$6&lt;=EOMONTH(EDATE($H$88,$E$88-1),0)),$D$88/MAX($E$88,1),0)</f>
        <v>0</v>
      </c>
      <c r="BN95" s="159" t="n">
        <f aca="false">IF(AND(BN$6&gt;=EOMONTH($H$88,0),BN$6&lt;=EOMONTH(EDATE($H$88,$E$88-1),0)),$D$88/MAX($E$88,1),0)</f>
        <v>0</v>
      </c>
      <c r="BO95" s="159" t="n">
        <f aca="false">IF(AND(BO$6&gt;=EOMONTH($H$88,0),BO$6&lt;=EOMONTH(EDATE($H$88,$E$88-1),0)),$D$88/MAX($E$88,1),0)</f>
        <v>0</v>
      </c>
      <c r="BP95" s="159" t="n">
        <f aca="false">IF(AND(BP$6&gt;=EOMONTH($H$88,0),BP$6&lt;=EOMONTH(EDATE($H$88,$E$88-1),0)),$D$88/MAX($E$88,1),0)</f>
        <v>0</v>
      </c>
      <c r="BQ95" s="159" t="n">
        <f aca="false">IF(AND(BQ$6&gt;=EOMONTH($H$88,0),BQ$6&lt;=EOMONTH(EDATE($H$88,$E$88-1),0)),$D$88/MAX($E$88,1),0)</f>
        <v>0</v>
      </c>
      <c r="BR95" s="159" t="n">
        <f aca="false">IF(AND(BR$6&gt;=EOMONTH($H$88,0),BR$6&lt;=EOMONTH(EDATE($H$88,$E$88-1),0)),$D$88/MAX($E$88,1),0)</f>
        <v>0</v>
      </c>
      <c r="BS95" s="159" t="n">
        <f aca="false">IF(AND(BS$6&gt;=EOMONTH($H$88,0),BS$6&lt;=EOMONTH(EDATE($H$88,$E$88-1),0)),$D$88/MAX($E$88,1),0)</f>
        <v>0</v>
      </c>
      <c r="BT95" s="159" t="n">
        <f aca="false">IF(AND(BT$6&gt;=EOMONTH($H$88,0),BT$6&lt;=EOMONTH(EDATE($H$88,$E$88-1),0)),$D$88/MAX($E$88,1),0)</f>
        <v>0</v>
      </c>
      <c r="BU95" s="159" t="n">
        <f aca="false">IF(AND(BU$6&gt;=EOMONTH($H$88,0),BU$6&lt;=EOMONTH(EDATE($H$88,$E$88-1),0)),$D$88/MAX($E$88,1),0)</f>
        <v>0</v>
      </c>
      <c r="BV95" s="159" t="n">
        <f aca="false">IF(AND(BV$6&gt;=EOMONTH($H$88,0),BV$6&lt;=EOMONTH(EDATE($H$88,$E$88-1),0)),$D$88/MAX($E$88,1),0)</f>
        <v>0</v>
      </c>
      <c r="BW95" s="159" t="n">
        <f aca="false">IF(AND(BW$6&gt;=EOMONTH($H$88,0),BW$6&lt;=EOMONTH(EDATE($H$88,$E$88-1),0)),$D$88/MAX($E$88,1),0)</f>
        <v>0</v>
      </c>
      <c r="BX95" s="159" t="n">
        <f aca="false">IF(AND(BX$6&gt;=EOMONTH($H$88,0),BX$6&lt;=EOMONTH(EDATE($H$88,$E$88-1),0)),$D$88/MAX($E$88,1),0)</f>
        <v>0</v>
      </c>
      <c r="BY95" s="159" t="n">
        <f aca="false">IF(AND(BY$6&gt;=EOMONTH($H$88,0),BY$6&lt;=EOMONTH(EDATE($H$88,$E$88-1),0)),$D$88/MAX($E$88,1),0)</f>
        <v>0</v>
      </c>
      <c r="BZ95" s="159" t="n">
        <f aca="false">IF(AND(BZ$6&gt;=EOMONTH($H$88,0),BZ$6&lt;=EOMONTH(EDATE($H$88,$E$88-1),0)),$D$88/MAX($E$88,1),0)</f>
        <v>0</v>
      </c>
      <c r="CA95" s="159" t="n">
        <f aca="false">IF(AND(CA$6&gt;=EOMONTH($H$88,0),CA$6&lt;=EOMONTH(EDATE($H$88,$E$88-1),0)),$D$88/MAX($E$88,1),0)</f>
        <v>0</v>
      </c>
    </row>
    <row r="96" customFormat="false" ht="15" hidden="false" customHeight="false" outlineLevel="0" collapsed="false">
      <c r="B96" s="193" t="s">
        <v>363</v>
      </c>
      <c r="T96" s="159" t="n">
        <f aca="false">IF(AND(T$6&gt;=EOMONTH($H$89,0),T$6&lt;=EOMONTH(EDATE($H$89,$E$89-1),0)),$D$89/MAX($E$89,1),0)</f>
        <v>0</v>
      </c>
      <c r="U96" s="159" t="n">
        <f aca="false">IF(AND(U$6&gt;=EOMONTH($H$89,0),U$6&lt;=EOMONTH(EDATE($H$89,$E$89-1),0)),$D$89/MAX($E$89,1),0)</f>
        <v>0</v>
      </c>
      <c r="V96" s="159" t="n">
        <f aca="false">IF(AND(V$6&gt;=EOMONTH($H$89,0),V$6&lt;=EOMONTH(EDATE($H$89,$E$89-1),0)),$D$89/MAX($E$89,1),0)</f>
        <v>0</v>
      </c>
      <c r="W96" s="159" t="n">
        <f aca="false">IF(AND(W$6&gt;=EOMONTH($H$89,0),W$6&lt;=EOMONTH(EDATE($H$89,$E$89-1),0)),$D$89/MAX($E$89,1),0)</f>
        <v>0</v>
      </c>
      <c r="X96" s="159" t="n">
        <f aca="false">IF(AND(X$6&gt;=EOMONTH($H$89,0),X$6&lt;=EOMONTH(EDATE($H$89,$E$89-1),0)),$D$89/MAX($E$89,1),0)</f>
        <v>0</v>
      </c>
      <c r="Y96" s="159" t="n">
        <f aca="false">IF(AND(Y$6&gt;=EOMONTH($H$89,0),Y$6&lt;=EOMONTH(EDATE($H$89,$E$89-1),0)),$D$89/MAX($E$89,1),0)</f>
        <v>0</v>
      </c>
      <c r="Z96" s="159" t="n">
        <f aca="false">IF(AND(Z$6&gt;=EOMONTH($H$89,0),Z$6&lt;=EOMONTH(EDATE($H$89,$E$89-1),0)),$D$89/MAX($E$89,1),0)</f>
        <v>0</v>
      </c>
      <c r="AA96" s="159" t="n">
        <f aca="false">IF(AND(AA$6&gt;=EOMONTH($H$89,0),AA$6&lt;=EOMONTH(EDATE($H$89,$E$89-1),0)),$D$89/MAX($E$89,1),0)</f>
        <v>0</v>
      </c>
      <c r="AB96" s="159" t="n">
        <f aca="false">IF(AND(AB$6&gt;=EOMONTH($H$89,0),AB$6&lt;=EOMONTH(EDATE($H$89,$E$89-1),0)),$D$89/MAX($E$89,1),0)</f>
        <v>0</v>
      </c>
      <c r="AC96" s="159" t="n">
        <f aca="false">IF(AND(AC$6&gt;=EOMONTH($H$89,0),AC$6&lt;=EOMONTH(EDATE($H$89,$E$89-1),0)),$D$89/MAX($E$89,1),0)</f>
        <v>0</v>
      </c>
      <c r="AD96" s="159" t="n">
        <f aca="false">IF(AND(AD$6&gt;=EOMONTH($H$89,0),AD$6&lt;=EOMONTH(EDATE($H$89,$E$89-1),0)),$D$89/MAX($E$89,1),0)</f>
        <v>0</v>
      </c>
      <c r="AE96" s="159" t="n">
        <f aca="false">IF(AND(AE$6&gt;=EOMONTH($H$89,0),AE$6&lt;=EOMONTH(EDATE($H$89,$E$89-1),0)),$D$89/MAX($E$89,1),0)</f>
        <v>0</v>
      </c>
      <c r="AF96" s="159" t="n">
        <f aca="false">IF(AND(AF$6&gt;=EOMONTH($H$89,0),AF$6&lt;=EOMONTH(EDATE($H$89,$E$89-1),0)),$D$89/MAX($E$89,1),0)</f>
        <v>0</v>
      </c>
      <c r="AG96" s="159" t="n">
        <f aca="false">IF(AND(AG$6&gt;=EOMONTH($H$89,0),AG$6&lt;=EOMONTH(EDATE($H$89,$E$89-1),0)),$D$89/MAX($E$89,1),0)</f>
        <v>0</v>
      </c>
      <c r="AH96" s="159" t="n">
        <f aca="false">IF(AND(AH$6&gt;=EOMONTH($H$89,0),AH$6&lt;=EOMONTH(EDATE($H$89,$E$89-1),0)),$D$89/MAX($E$89,1),0)</f>
        <v>0</v>
      </c>
      <c r="AI96" s="159" t="n">
        <f aca="false">IF(AND(AI$6&gt;=EOMONTH($H$89,0),AI$6&lt;=EOMONTH(EDATE($H$89,$E$89-1),0)),$D$89/MAX($E$89,1),0)</f>
        <v>0</v>
      </c>
      <c r="AJ96" s="159" t="n">
        <f aca="false">IF(AND(AJ$6&gt;=EOMONTH($H$89,0),AJ$6&lt;=EOMONTH(EDATE($H$89,$E$89-1),0)),$D$89/MAX($E$89,1),0)</f>
        <v>0</v>
      </c>
      <c r="AK96" s="159" t="n">
        <f aca="false">IF(AND(AK$6&gt;=EOMONTH($H$89,0),AK$6&lt;=EOMONTH(EDATE($H$89,$E$89-1),0)),$D$89/MAX($E$89,1),0)</f>
        <v>0</v>
      </c>
      <c r="AL96" s="159" t="n">
        <f aca="false">IF(AND(AL$6&gt;=EOMONTH($H$89,0),AL$6&lt;=EOMONTH(EDATE($H$89,$E$89-1),0)),$D$89/MAX($E$89,1),0)</f>
        <v>0</v>
      </c>
      <c r="AM96" s="159" t="n">
        <f aca="false">IF(AND(AM$6&gt;=EOMONTH($H$89,0),AM$6&lt;=EOMONTH(EDATE($H$89,$E$89-1),0)),$D$89/MAX($E$89,1),0)</f>
        <v>0</v>
      </c>
      <c r="AN96" s="159" t="n">
        <f aca="false">IF(AND(AN$6&gt;=EOMONTH($H$89,0),AN$6&lt;=EOMONTH(EDATE($H$89,$E$89-1),0)),$D$89/MAX($E$89,1),0)</f>
        <v>0</v>
      </c>
      <c r="AO96" s="159" t="n">
        <f aca="false">IF(AND(AO$6&gt;=EOMONTH($H$89,0),AO$6&lt;=EOMONTH(EDATE($H$89,$E$89-1),0)),$D$89/MAX($E$89,1),0)</f>
        <v>0</v>
      </c>
      <c r="AP96" s="159" t="n">
        <f aca="false">IF(AND(AP$6&gt;=EOMONTH($H$89,0),AP$6&lt;=EOMONTH(EDATE($H$89,$E$89-1),0)),$D$89/MAX($E$89,1),0)</f>
        <v>0</v>
      </c>
      <c r="AQ96" s="159" t="n">
        <f aca="false">IF(AND(AQ$6&gt;=EOMONTH($H$89,0),AQ$6&lt;=EOMONTH(EDATE($H$89,$E$89-1),0)),$D$89/MAX($E$89,1),0)</f>
        <v>0</v>
      </c>
      <c r="AR96" s="159" t="n">
        <f aca="false">IF(AND(AR$6&gt;=EOMONTH($H$89,0),AR$6&lt;=EOMONTH(EDATE($H$89,$E$89-1),0)),$D$89/MAX($E$89,1),0)</f>
        <v>0</v>
      </c>
      <c r="AS96" s="159" t="n">
        <f aca="false">IF(AND(AS$6&gt;=EOMONTH($H$89,0),AS$6&lt;=EOMONTH(EDATE($H$89,$E$89-1),0)),$D$89/MAX($E$89,1),0)</f>
        <v>0</v>
      </c>
      <c r="AT96" s="159" t="n">
        <f aca="false">IF(AND(AT$6&gt;=EOMONTH($H$89,0),AT$6&lt;=EOMONTH(EDATE($H$89,$E$89-1),0)),$D$89/MAX($E$89,1),0)</f>
        <v>0</v>
      </c>
      <c r="AU96" s="159" t="n">
        <f aca="false">IF(AND(AU$6&gt;=EOMONTH($H$89,0),AU$6&lt;=EOMONTH(EDATE($H$89,$E$89-1),0)),$D$89/MAX($E$89,1),0)</f>
        <v>0</v>
      </c>
      <c r="AV96" s="159" t="n">
        <f aca="false">IF(AND(AV$6&gt;=EOMONTH($H$89,0),AV$6&lt;=EOMONTH(EDATE($H$89,$E$89-1),0)),$D$89/MAX($E$89,1),0)</f>
        <v>0</v>
      </c>
      <c r="AW96" s="159" t="n">
        <f aca="false">IF(AND(AW$6&gt;=EOMONTH($H$89,0),AW$6&lt;=EOMONTH(EDATE($H$89,$E$89-1),0)),$D$89/MAX($E$89,1),0)</f>
        <v>0</v>
      </c>
      <c r="AX96" s="159" t="n">
        <f aca="false">IF(AND(AX$6&gt;=EOMONTH($H$89,0),AX$6&lt;=EOMONTH(EDATE($H$89,$E$89-1),0)),$D$89/MAX($E$89,1),0)</f>
        <v>0</v>
      </c>
      <c r="AY96" s="159" t="n">
        <f aca="false">IF(AND(AY$6&gt;=EOMONTH($H$89,0),AY$6&lt;=EOMONTH(EDATE($H$89,$E$89-1),0)),$D$89/MAX($E$89,1),0)</f>
        <v>0</v>
      </c>
      <c r="AZ96" s="159" t="n">
        <f aca="false">IF(AND(AZ$6&gt;=EOMONTH($H$89,0),AZ$6&lt;=EOMONTH(EDATE($H$89,$E$89-1),0)),$D$89/MAX($E$89,1),0)</f>
        <v>0</v>
      </c>
      <c r="BA96" s="159" t="n">
        <f aca="false">IF(AND(BA$6&gt;=EOMONTH($H$89,0),BA$6&lt;=EOMONTH(EDATE($H$89,$E$89-1),0)),$D$89/MAX($E$89,1),0)</f>
        <v>0</v>
      </c>
      <c r="BB96" s="159" t="n">
        <f aca="false">IF(AND(BB$6&gt;=EOMONTH($H$89,0),BB$6&lt;=EOMONTH(EDATE($H$89,$E$89-1),0)),$D$89/MAX($E$89,1),0)</f>
        <v>0</v>
      </c>
      <c r="BC96" s="159" t="n">
        <f aca="false">IF(AND(BC$6&gt;=EOMONTH($H$89,0),BC$6&lt;=EOMONTH(EDATE($H$89,$E$89-1),0)),$D$89/MAX($E$89,1),0)</f>
        <v>0</v>
      </c>
      <c r="BD96" s="159" t="n">
        <f aca="false">IF(AND(BD$6&gt;=EOMONTH($H$89,0),BD$6&lt;=EOMONTH(EDATE($H$89,$E$89-1),0)),$D$89/MAX($E$89,1),0)</f>
        <v>0</v>
      </c>
      <c r="BE96" s="159" t="n">
        <f aca="false">IF(AND(BE$6&gt;=EOMONTH($H$89,0),BE$6&lt;=EOMONTH(EDATE($H$89,$E$89-1),0)),$D$89/MAX($E$89,1),0)</f>
        <v>0</v>
      </c>
      <c r="BF96" s="159" t="n">
        <f aca="false">IF(AND(BF$6&gt;=EOMONTH($H$89,0),BF$6&lt;=EOMONTH(EDATE($H$89,$E$89-1),0)),$D$89/MAX($E$89,1),0)</f>
        <v>0</v>
      </c>
      <c r="BG96" s="159" t="n">
        <f aca="false">IF(AND(BG$6&gt;=EOMONTH($H$89,0),BG$6&lt;=EOMONTH(EDATE($H$89,$E$89-1),0)),$D$89/MAX($E$89,1),0)</f>
        <v>0</v>
      </c>
      <c r="BH96" s="159" t="n">
        <f aca="false">IF(AND(BH$6&gt;=EOMONTH($H$89,0),BH$6&lt;=EOMONTH(EDATE($H$89,$E$89-1),0)),$D$89/MAX($E$89,1),0)</f>
        <v>0</v>
      </c>
      <c r="BI96" s="159" t="n">
        <f aca="false">IF(AND(BI$6&gt;=EOMONTH($H$89,0),BI$6&lt;=EOMONTH(EDATE($H$89,$E$89-1),0)),$D$89/MAX($E$89,1),0)</f>
        <v>0</v>
      </c>
      <c r="BJ96" s="159" t="n">
        <f aca="false">IF(AND(BJ$6&gt;=EOMONTH($H$89,0),BJ$6&lt;=EOMONTH(EDATE($H$89,$E$89-1),0)),$D$89/MAX($E$89,1),0)</f>
        <v>0</v>
      </c>
      <c r="BK96" s="159" t="n">
        <f aca="false">IF(AND(BK$6&gt;=EOMONTH($H$89,0),BK$6&lt;=EOMONTH(EDATE($H$89,$E$89-1),0)),$D$89/MAX($E$89,1),0)</f>
        <v>0</v>
      </c>
      <c r="BL96" s="159" t="n">
        <f aca="false">IF(AND(BL$6&gt;=EOMONTH($H$89,0),BL$6&lt;=EOMONTH(EDATE($H$89,$E$89-1),0)),$D$89/MAX($E$89,1),0)</f>
        <v>0</v>
      </c>
      <c r="BM96" s="159" t="n">
        <f aca="false">IF(AND(BM$6&gt;=EOMONTH($H$89,0),BM$6&lt;=EOMONTH(EDATE($H$89,$E$89-1),0)),$D$89/MAX($E$89,1),0)</f>
        <v>0</v>
      </c>
      <c r="BN96" s="159" t="n">
        <f aca="false">IF(AND(BN$6&gt;=EOMONTH($H$89,0),BN$6&lt;=EOMONTH(EDATE($H$89,$E$89-1),0)),$D$89/MAX($E$89,1),0)</f>
        <v>0</v>
      </c>
      <c r="BO96" s="159" t="n">
        <f aca="false">IF(AND(BO$6&gt;=EOMONTH($H$89,0),BO$6&lt;=EOMONTH(EDATE($H$89,$E$89-1),0)),$D$89/MAX($E$89,1),0)</f>
        <v>0</v>
      </c>
      <c r="BP96" s="159" t="n">
        <f aca="false">IF(AND(BP$6&gt;=EOMONTH($H$89,0),BP$6&lt;=EOMONTH(EDATE($H$89,$E$89-1),0)),$D$89/MAX($E$89,1),0)</f>
        <v>0</v>
      </c>
      <c r="BQ96" s="159" t="n">
        <f aca="false">IF(AND(BQ$6&gt;=EOMONTH($H$89,0),BQ$6&lt;=EOMONTH(EDATE($H$89,$E$89-1),0)),$D$89/MAX($E$89,1),0)</f>
        <v>0</v>
      </c>
      <c r="BR96" s="159" t="n">
        <f aca="false">IF(AND(BR$6&gt;=EOMONTH($H$89,0),BR$6&lt;=EOMONTH(EDATE($H$89,$E$89-1),0)),$D$89/MAX($E$89,1),0)</f>
        <v>0</v>
      </c>
      <c r="BS96" s="159" t="n">
        <f aca="false">IF(AND(BS$6&gt;=EOMONTH($H$89,0),BS$6&lt;=EOMONTH(EDATE($H$89,$E$89-1),0)),$D$89/MAX($E$89,1),0)</f>
        <v>0</v>
      </c>
      <c r="BT96" s="159" t="n">
        <f aca="false">IF(AND(BT$6&gt;=EOMONTH($H$89,0),BT$6&lt;=EOMONTH(EDATE($H$89,$E$89-1),0)),$D$89/MAX($E$89,1),0)</f>
        <v>0</v>
      </c>
      <c r="BU96" s="159" t="n">
        <f aca="false">IF(AND(BU$6&gt;=EOMONTH($H$89,0),BU$6&lt;=EOMONTH(EDATE($H$89,$E$89-1),0)),$D$89/MAX($E$89,1),0)</f>
        <v>0</v>
      </c>
      <c r="BV96" s="159" t="n">
        <f aca="false">IF(AND(BV$6&gt;=EOMONTH($H$89,0),BV$6&lt;=EOMONTH(EDATE($H$89,$E$89-1),0)),$D$89/MAX($E$89,1),0)</f>
        <v>0</v>
      </c>
      <c r="BW96" s="159" t="n">
        <f aca="false">IF(AND(BW$6&gt;=EOMONTH($H$89,0),BW$6&lt;=EOMONTH(EDATE($H$89,$E$89-1),0)),$D$89/MAX($E$89,1),0)</f>
        <v>0</v>
      </c>
      <c r="BX96" s="159" t="n">
        <f aca="false">IF(AND(BX$6&gt;=EOMONTH($H$89,0),BX$6&lt;=EOMONTH(EDATE($H$89,$E$89-1),0)),$D$89/MAX($E$89,1),0)</f>
        <v>0</v>
      </c>
      <c r="BY96" s="159" t="n">
        <f aca="false">IF(AND(BY$6&gt;=EOMONTH($H$89,0),BY$6&lt;=EOMONTH(EDATE($H$89,$E$89-1),0)),$D$89/MAX($E$89,1),0)</f>
        <v>0</v>
      </c>
      <c r="BZ96" s="159" t="n">
        <f aca="false">IF(AND(BZ$6&gt;=EOMONTH($H$89,0),BZ$6&lt;=EOMONTH(EDATE($H$89,$E$89-1),0)),$D$89/MAX($E$89,1),0)</f>
        <v>0</v>
      </c>
      <c r="CA96" s="159" t="n">
        <f aca="false">IF(AND(CA$6&gt;=EOMONTH($H$89,0),CA$6&lt;=EOMONTH(EDATE($H$89,$E$89-1),0)),$D$89/MAX($E$89,1),0)</f>
        <v>0</v>
      </c>
    </row>
    <row r="98" customFormat="false" ht="15" hidden="false" customHeight="false" outlineLevel="0" collapsed="false">
      <c r="B98" s="194" t="s">
        <v>364</v>
      </c>
    </row>
    <row r="99" customFormat="false" ht="15" hidden="false" customHeight="false" outlineLevel="0" collapsed="false">
      <c r="B99" s="10" t="s">
        <v>365</v>
      </c>
      <c r="L99" s="187" t="n">
        <f aca="false">SUMIFS($T99:$CA99,$T$5:$CA$5,2026)</f>
        <v>0.105306666666667</v>
      </c>
      <c r="M99" s="187" t="n">
        <f aca="false">SUMIFS($T99:$CA99,$T$5:$CA$5,2027)</f>
        <v>0.421226666666667</v>
      </c>
      <c r="N99" s="187" t="n">
        <f aca="false">SUMIFS($T99:$CA99,$T$5:$CA$5,2028)</f>
        <v>0</v>
      </c>
      <c r="O99" s="187" t="n">
        <f aca="false">SUMIFS($T99:$CA99,$T$5:$CA$5,2029)</f>
        <v>0</v>
      </c>
      <c r="P99" s="187" t="n">
        <f aca="false">SUMIFS($T99:$CA99,$T$5:$CA$5,2030)</f>
        <v>0</v>
      </c>
      <c r="T99" s="187" t="n">
        <f aca="false">(SUMPRODUCT(T77:T80,$I$71:$I$74))/1000000</f>
        <v>0</v>
      </c>
      <c r="U99" s="187" t="n">
        <f aca="false">(SUMPRODUCT(U77:U80,$I$71:$I$74))/1000000</f>
        <v>0</v>
      </c>
      <c r="V99" s="187" t="n">
        <f aca="false">(SUMPRODUCT(V77:V80,$I$71:$I$74))/1000000</f>
        <v>0</v>
      </c>
      <c r="W99" s="187" t="n">
        <f aca="false">(SUMPRODUCT(W77:W80,$I$71:$I$74))/1000000</f>
        <v>0</v>
      </c>
      <c r="X99" s="187" t="n">
        <f aca="false">(SUMPRODUCT(X77:X80,$I$71:$I$74))/1000000</f>
        <v>0</v>
      </c>
      <c r="Y99" s="187" t="n">
        <f aca="false">(SUMPRODUCT(Y77:Y80,$I$71:$I$74))/1000000</f>
        <v>0</v>
      </c>
      <c r="Z99" s="187" t="n">
        <f aca="false">(SUMPRODUCT(Z77:Z80,$I$71:$I$74))/1000000</f>
        <v>0</v>
      </c>
      <c r="AA99" s="187" t="n">
        <f aca="false">(SUMPRODUCT(AA77:AA80,$I$71:$I$74))/1000000</f>
        <v>0</v>
      </c>
      <c r="AB99" s="187" t="n">
        <f aca="false">(SUMPRODUCT(AB77:AB80,$I$71:$I$74))/1000000</f>
        <v>0</v>
      </c>
      <c r="AC99" s="187" t="n">
        <f aca="false">(SUMPRODUCT(AC77:AC80,$I$71:$I$74))/1000000</f>
        <v>0</v>
      </c>
      <c r="AD99" s="187" t="n">
        <f aca="false">(SUMPRODUCT(AD77:AD80,$I$71:$I$74))/1000000</f>
        <v>0</v>
      </c>
      <c r="AE99" s="187" t="n">
        <f aca="false">(SUMPRODUCT(AE77:AE80,$I$71:$I$74))/1000000</f>
        <v>0.105306666666667</v>
      </c>
      <c r="AF99" s="187" t="n">
        <f aca="false">(SUMPRODUCT(AF77:AF80,$I$71:$I$74))/1000000</f>
        <v>0.105306666666667</v>
      </c>
      <c r="AG99" s="187" t="n">
        <f aca="false">(SUMPRODUCT(AG77:AG80,$I$71:$I$74))/1000000</f>
        <v>0.105306666666667</v>
      </c>
      <c r="AH99" s="187" t="n">
        <f aca="false">(SUMPRODUCT(AH77:AH80,$I$71:$I$74))/1000000</f>
        <v>0.105306666666667</v>
      </c>
      <c r="AI99" s="187" t="n">
        <f aca="false">(SUMPRODUCT(AI77:AI80,$I$71:$I$74))/1000000</f>
        <v>0.105306666666667</v>
      </c>
      <c r="AJ99" s="187" t="n">
        <f aca="false">(SUMPRODUCT(AJ77:AJ80,$I$71:$I$74))/1000000</f>
        <v>0</v>
      </c>
      <c r="AK99" s="187" t="n">
        <f aca="false">(SUMPRODUCT(AK77:AK80,$I$71:$I$74))/1000000</f>
        <v>0</v>
      </c>
      <c r="AL99" s="187" t="n">
        <f aca="false">(SUMPRODUCT(AL77:AL80,$I$71:$I$74))/1000000</f>
        <v>0</v>
      </c>
      <c r="AM99" s="187" t="n">
        <f aca="false">(SUMPRODUCT(AM77:AM80,$I$71:$I$74))/1000000</f>
        <v>0</v>
      </c>
      <c r="AN99" s="187" t="n">
        <f aca="false">(SUMPRODUCT(AN77:AN80,$I$71:$I$74))/1000000</f>
        <v>0</v>
      </c>
      <c r="AO99" s="187" t="n">
        <f aca="false">(SUMPRODUCT(AO77:AO80,$I$71:$I$74))/1000000</f>
        <v>0</v>
      </c>
      <c r="AP99" s="187" t="n">
        <f aca="false">(SUMPRODUCT(AP77:AP80,$I$71:$I$74))/1000000</f>
        <v>0</v>
      </c>
      <c r="AQ99" s="187" t="n">
        <f aca="false">(SUMPRODUCT(AQ77:AQ80,$I$71:$I$74))/1000000</f>
        <v>0</v>
      </c>
      <c r="AR99" s="187" t="n">
        <f aca="false">(SUMPRODUCT(AR77:AR80,$I$71:$I$74))/1000000</f>
        <v>0</v>
      </c>
      <c r="AS99" s="187" t="n">
        <f aca="false">(SUMPRODUCT(AS77:AS80,$I$71:$I$74))/1000000</f>
        <v>0</v>
      </c>
      <c r="AT99" s="187" t="n">
        <f aca="false">(SUMPRODUCT(AT77:AT80,$I$71:$I$74))/1000000</f>
        <v>0</v>
      </c>
      <c r="AU99" s="187" t="n">
        <f aca="false">(SUMPRODUCT(AU77:AU80,$I$71:$I$74))/1000000</f>
        <v>0</v>
      </c>
      <c r="AV99" s="187" t="n">
        <f aca="false">(SUMPRODUCT(AV77:AV80,$I$71:$I$74))/1000000</f>
        <v>0</v>
      </c>
      <c r="AW99" s="187" t="n">
        <f aca="false">(SUMPRODUCT(AW77:AW80,$I$71:$I$74))/1000000</f>
        <v>0</v>
      </c>
      <c r="AX99" s="187" t="n">
        <f aca="false">(SUMPRODUCT(AX77:AX80,$I$71:$I$74))/1000000</f>
        <v>0</v>
      </c>
      <c r="AY99" s="187" t="n">
        <f aca="false">(SUMPRODUCT(AY77:AY80,$I$71:$I$74))/1000000</f>
        <v>0</v>
      </c>
      <c r="AZ99" s="187" t="n">
        <f aca="false">(SUMPRODUCT(AZ77:AZ80,$I$71:$I$74))/1000000</f>
        <v>0</v>
      </c>
      <c r="BA99" s="187" t="n">
        <f aca="false">(SUMPRODUCT(BA77:BA80,$I$71:$I$74))/1000000</f>
        <v>0</v>
      </c>
      <c r="BB99" s="187" t="n">
        <f aca="false">(SUMPRODUCT(BB77:BB80,$I$71:$I$74))/1000000</f>
        <v>0</v>
      </c>
      <c r="BC99" s="187" t="n">
        <f aca="false">(SUMPRODUCT(BC77:BC80,$I$71:$I$74))/1000000</f>
        <v>0</v>
      </c>
      <c r="BD99" s="187" t="n">
        <f aca="false">(SUMPRODUCT(BD77:BD80,$I$71:$I$74))/1000000</f>
        <v>0</v>
      </c>
      <c r="BE99" s="187" t="n">
        <f aca="false">(SUMPRODUCT(BE77:BE80,$I$71:$I$74))/1000000</f>
        <v>0</v>
      </c>
      <c r="BF99" s="187" t="n">
        <f aca="false">(SUMPRODUCT(BF77:BF80,$I$71:$I$74))/1000000</f>
        <v>0</v>
      </c>
      <c r="BG99" s="187" t="n">
        <f aca="false">(SUMPRODUCT(BG77:BG80,$I$71:$I$74))/1000000</f>
        <v>0</v>
      </c>
      <c r="BH99" s="187" t="n">
        <f aca="false">(SUMPRODUCT(BH77:BH80,$I$71:$I$74))/1000000</f>
        <v>0</v>
      </c>
      <c r="BI99" s="187" t="n">
        <f aca="false">(SUMPRODUCT(BI77:BI80,$I$71:$I$74))/1000000</f>
        <v>0</v>
      </c>
      <c r="BJ99" s="187" t="n">
        <f aca="false">(SUMPRODUCT(BJ77:BJ80,$I$71:$I$74))/1000000</f>
        <v>0</v>
      </c>
      <c r="BK99" s="187" t="n">
        <f aca="false">(SUMPRODUCT(BK77:BK80,$I$71:$I$74))/1000000</f>
        <v>0</v>
      </c>
      <c r="BL99" s="187" t="n">
        <f aca="false">(SUMPRODUCT(BL77:BL80,$I$71:$I$74))/1000000</f>
        <v>0</v>
      </c>
      <c r="BM99" s="187" t="n">
        <f aca="false">(SUMPRODUCT(BM77:BM80,$I$71:$I$74))/1000000</f>
        <v>0</v>
      </c>
      <c r="BN99" s="187" t="n">
        <f aca="false">(SUMPRODUCT(BN77:BN80,$I$71:$I$74))/1000000</f>
        <v>0</v>
      </c>
      <c r="BO99" s="187" t="n">
        <f aca="false">(SUMPRODUCT(BO77:BO80,$I$71:$I$74))/1000000</f>
        <v>0</v>
      </c>
      <c r="BP99" s="187" t="n">
        <f aca="false">(SUMPRODUCT(BP77:BP80,$I$71:$I$74))/1000000</f>
        <v>0</v>
      </c>
      <c r="BQ99" s="187" t="n">
        <f aca="false">(SUMPRODUCT(BQ77:BQ80,$I$71:$I$74))/1000000</f>
        <v>0</v>
      </c>
      <c r="BR99" s="187" t="n">
        <f aca="false">(SUMPRODUCT(BR77:BR80,$I$71:$I$74))/1000000</f>
        <v>0</v>
      </c>
      <c r="BS99" s="187" t="n">
        <f aca="false">(SUMPRODUCT(BS77:BS80,$I$71:$I$74))/1000000</f>
        <v>0</v>
      </c>
      <c r="BT99" s="187" t="n">
        <f aca="false">(SUMPRODUCT(BT77:BT80,$I$71:$I$74))/1000000</f>
        <v>0</v>
      </c>
      <c r="BU99" s="187" t="n">
        <f aca="false">(SUMPRODUCT(BU77:BU80,$I$71:$I$74))/1000000</f>
        <v>0</v>
      </c>
      <c r="BV99" s="187" t="n">
        <f aca="false">(SUMPRODUCT(BV77:BV80,$I$71:$I$74))/1000000</f>
        <v>0</v>
      </c>
      <c r="BW99" s="187" t="n">
        <f aca="false">(SUMPRODUCT(BW77:BW80,$I$71:$I$74))/1000000</f>
        <v>0</v>
      </c>
      <c r="BX99" s="187" t="n">
        <f aca="false">(SUMPRODUCT(BX77:BX80,$I$71:$I$74))/1000000</f>
        <v>0</v>
      </c>
      <c r="BY99" s="187" t="n">
        <f aca="false">(SUMPRODUCT(BY77:BY80,$I$71:$I$74))/1000000</f>
        <v>0</v>
      </c>
      <c r="BZ99" s="187" t="n">
        <f aca="false">(SUMPRODUCT(BZ77:BZ80,$I$71:$I$74))/1000000</f>
        <v>0</v>
      </c>
      <c r="CA99" s="187" t="n">
        <f aca="false">(SUMPRODUCT(CA77:CA80,$I$71:$I$74))/1000000</f>
        <v>0</v>
      </c>
    </row>
    <row r="100" customFormat="false" ht="15" hidden="false" customHeight="false" outlineLevel="0" collapsed="false">
      <c r="B100" s="10" t="s">
        <v>366</v>
      </c>
      <c r="L100" s="187" t="n">
        <f aca="false">SUMIFS($T100:$CA100,$T$5:$CA$5,2026)</f>
        <v>0</v>
      </c>
      <c r="M100" s="187" t="n">
        <f aca="false">SUMIFS($T100:$CA100,$T$5:$CA$5,2027)</f>
        <v>0</v>
      </c>
      <c r="N100" s="187" t="n">
        <f aca="false">SUMIFS($T100:$CA100,$T$5:$CA$5,2028)</f>
        <v>0</v>
      </c>
      <c r="O100" s="187" t="n">
        <f aca="false">SUMIFS($T100:$CA100,$T$5:$CA$5,2029)</f>
        <v>0</v>
      </c>
      <c r="P100" s="187" t="n">
        <f aca="false">SUMIFS($T100:$CA100,$T$5:$CA$5,2030)</f>
        <v>0</v>
      </c>
      <c r="T100" s="187" t="n">
        <f aca="false">SUMPRODUCT(T92:T96,$I$85:$I$89)/1000000</f>
        <v>0</v>
      </c>
      <c r="U100" s="187" t="n">
        <f aca="false">SUMPRODUCT(U92:U96,$I$85:$I$89)/1000000</f>
        <v>0</v>
      </c>
      <c r="V100" s="187" t="n">
        <f aca="false">SUMPRODUCT(V92:V96,$I$85:$I$89)/1000000</f>
        <v>0</v>
      </c>
      <c r="W100" s="187" t="n">
        <f aca="false">SUMPRODUCT(W92:W96,$I$85:$I$89)/1000000</f>
        <v>0</v>
      </c>
      <c r="X100" s="187" t="n">
        <f aca="false">SUMPRODUCT(X92:X96,$I$85:$I$89)/1000000</f>
        <v>0</v>
      </c>
      <c r="Y100" s="187" t="n">
        <f aca="false">SUMPRODUCT(Y92:Y96,$I$85:$I$89)/1000000</f>
        <v>0</v>
      </c>
      <c r="Z100" s="187" t="n">
        <f aca="false">SUMPRODUCT(Z92:Z96,$I$85:$I$89)/1000000</f>
        <v>0</v>
      </c>
      <c r="AA100" s="187" t="n">
        <f aca="false">SUMPRODUCT(AA92:AA96,$I$85:$I$89)/1000000</f>
        <v>0</v>
      </c>
      <c r="AB100" s="187" t="n">
        <f aca="false">SUMPRODUCT(AB92:AB96,$I$85:$I$89)/1000000</f>
        <v>0</v>
      </c>
      <c r="AC100" s="187" t="n">
        <f aca="false">SUMPRODUCT(AC92:AC96,$I$85:$I$89)/1000000</f>
        <v>0</v>
      </c>
      <c r="AD100" s="187" t="n">
        <f aca="false">SUMPRODUCT(AD92:AD96,$I$85:$I$89)/1000000</f>
        <v>0</v>
      </c>
      <c r="AE100" s="187" t="n">
        <f aca="false">SUMPRODUCT(AE92:AE96,$I$85:$I$89)/1000000</f>
        <v>0</v>
      </c>
      <c r="AF100" s="187" t="n">
        <f aca="false">SUMPRODUCT(AF92:AF96,$I$85:$I$89)/1000000</f>
        <v>0</v>
      </c>
      <c r="AG100" s="187" t="n">
        <f aca="false">SUMPRODUCT(AG92:AG96,$I$85:$I$89)/1000000</f>
        <v>0</v>
      </c>
      <c r="AH100" s="187" t="n">
        <f aca="false">SUMPRODUCT(AH92:AH96,$I$85:$I$89)/1000000</f>
        <v>0</v>
      </c>
      <c r="AI100" s="187" t="n">
        <f aca="false">SUMPRODUCT(AI92:AI96,$I$85:$I$89)/1000000</f>
        <v>0</v>
      </c>
      <c r="AJ100" s="187" t="n">
        <f aca="false">SUMPRODUCT(AJ92:AJ96,$I$85:$I$89)/1000000</f>
        <v>0</v>
      </c>
      <c r="AK100" s="187" t="n">
        <f aca="false">SUMPRODUCT(AK92:AK96,$I$85:$I$89)/1000000</f>
        <v>0</v>
      </c>
      <c r="AL100" s="187" t="n">
        <f aca="false">SUMPRODUCT(AL92:AL96,$I$85:$I$89)/1000000</f>
        <v>0</v>
      </c>
      <c r="AM100" s="187" t="n">
        <f aca="false">SUMPRODUCT(AM92:AM96,$I$85:$I$89)/1000000</f>
        <v>0</v>
      </c>
      <c r="AN100" s="187" t="n">
        <f aca="false">SUMPRODUCT(AN92:AN96,$I$85:$I$89)/1000000</f>
        <v>0</v>
      </c>
      <c r="AO100" s="187" t="n">
        <f aca="false">SUMPRODUCT(AO92:AO96,$I$85:$I$89)/1000000</f>
        <v>0</v>
      </c>
      <c r="AP100" s="187" t="n">
        <f aca="false">SUMPRODUCT(AP92:AP96,$I$85:$I$89)/1000000</f>
        <v>0</v>
      </c>
      <c r="AQ100" s="187" t="n">
        <f aca="false">SUMPRODUCT(AQ92:AQ96,$I$85:$I$89)/1000000</f>
        <v>0</v>
      </c>
      <c r="AR100" s="187" t="n">
        <f aca="false">SUMPRODUCT(AR92:AR96,$I$85:$I$89)/1000000</f>
        <v>0</v>
      </c>
      <c r="AS100" s="187" t="n">
        <f aca="false">SUMPRODUCT(AS92:AS96,$I$85:$I$89)/1000000</f>
        <v>0</v>
      </c>
      <c r="AT100" s="187" t="n">
        <f aca="false">SUMPRODUCT(AT92:AT96,$I$85:$I$89)/1000000</f>
        <v>0</v>
      </c>
      <c r="AU100" s="187" t="n">
        <f aca="false">SUMPRODUCT(AU92:AU96,$I$85:$I$89)/1000000</f>
        <v>0</v>
      </c>
      <c r="AV100" s="187" t="n">
        <f aca="false">SUMPRODUCT(AV92:AV96,$I$85:$I$89)/1000000</f>
        <v>0</v>
      </c>
      <c r="AW100" s="187" t="n">
        <f aca="false">SUMPRODUCT(AW92:AW96,$I$85:$I$89)/1000000</f>
        <v>0</v>
      </c>
      <c r="AX100" s="187" t="n">
        <f aca="false">SUMPRODUCT(AX92:AX96,$I$85:$I$89)/1000000</f>
        <v>0</v>
      </c>
      <c r="AY100" s="187" t="n">
        <f aca="false">SUMPRODUCT(AY92:AY96,$I$85:$I$89)/1000000</f>
        <v>0</v>
      </c>
      <c r="AZ100" s="187" t="n">
        <f aca="false">SUMPRODUCT(AZ92:AZ96,$I$85:$I$89)/1000000</f>
        <v>0</v>
      </c>
      <c r="BA100" s="187" t="n">
        <f aca="false">SUMPRODUCT(BA92:BA96,$I$85:$I$89)/1000000</f>
        <v>0</v>
      </c>
      <c r="BB100" s="187" t="n">
        <f aca="false">SUMPRODUCT(BB92:BB96,$I$85:$I$89)/1000000</f>
        <v>0</v>
      </c>
      <c r="BC100" s="187" t="n">
        <f aca="false">SUMPRODUCT(BC92:BC96,$I$85:$I$89)/1000000</f>
        <v>0</v>
      </c>
      <c r="BD100" s="187" t="n">
        <f aca="false">SUMPRODUCT(BD92:BD96,$I$85:$I$89)/1000000</f>
        <v>0</v>
      </c>
      <c r="BE100" s="187" t="n">
        <f aca="false">SUMPRODUCT(BE92:BE96,$I$85:$I$89)/1000000</f>
        <v>0</v>
      </c>
      <c r="BF100" s="187" t="n">
        <f aca="false">SUMPRODUCT(BF92:BF96,$I$85:$I$89)/1000000</f>
        <v>0</v>
      </c>
      <c r="BG100" s="187" t="n">
        <f aca="false">SUMPRODUCT(BG92:BG96,$I$85:$I$89)/1000000</f>
        <v>0</v>
      </c>
      <c r="BH100" s="187" t="n">
        <f aca="false">SUMPRODUCT(BH92:BH96,$I$85:$I$89)/1000000</f>
        <v>0</v>
      </c>
      <c r="BI100" s="187" t="n">
        <f aca="false">SUMPRODUCT(BI92:BI96,$I$85:$I$89)/1000000</f>
        <v>0</v>
      </c>
      <c r="BJ100" s="187" t="n">
        <f aca="false">SUMPRODUCT(BJ92:BJ96,$I$85:$I$89)/1000000</f>
        <v>0</v>
      </c>
      <c r="BK100" s="187" t="n">
        <f aca="false">SUMPRODUCT(BK92:BK96,$I$85:$I$89)/1000000</f>
        <v>0</v>
      </c>
      <c r="BL100" s="187" t="n">
        <f aca="false">SUMPRODUCT(BL92:BL96,$I$85:$I$89)/1000000</f>
        <v>0</v>
      </c>
      <c r="BM100" s="187" t="n">
        <f aca="false">SUMPRODUCT(BM92:BM96,$I$85:$I$89)/1000000</f>
        <v>0</v>
      </c>
      <c r="BN100" s="187" t="n">
        <f aca="false">SUMPRODUCT(BN92:BN96,$I$85:$I$89)/1000000</f>
        <v>0</v>
      </c>
      <c r="BO100" s="187" t="n">
        <f aca="false">SUMPRODUCT(BO92:BO96,$I$85:$I$89)/1000000</f>
        <v>0</v>
      </c>
      <c r="BP100" s="187" t="n">
        <f aca="false">SUMPRODUCT(BP92:BP96,$I$85:$I$89)/1000000</f>
        <v>0</v>
      </c>
      <c r="BQ100" s="187" t="n">
        <f aca="false">SUMPRODUCT(BQ92:BQ96,$I$85:$I$89)/1000000</f>
        <v>0</v>
      </c>
      <c r="BR100" s="187" t="n">
        <f aca="false">SUMPRODUCT(BR92:BR96,$I$85:$I$89)/1000000</f>
        <v>0</v>
      </c>
      <c r="BS100" s="187" t="n">
        <f aca="false">SUMPRODUCT(BS92:BS96,$I$85:$I$89)/1000000</f>
        <v>0</v>
      </c>
      <c r="BT100" s="187" t="n">
        <f aca="false">SUMPRODUCT(BT92:BT96,$I$85:$I$89)/1000000</f>
        <v>0</v>
      </c>
      <c r="BU100" s="187" t="n">
        <f aca="false">SUMPRODUCT(BU92:BU96,$I$85:$I$89)/1000000</f>
        <v>0</v>
      </c>
      <c r="BV100" s="187" t="n">
        <f aca="false">SUMPRODUCT(BV92:BV96,$I$85:$I$89)/1000000</f>
        <v>0</v>
      </c>
      <c r="BW100" s="187" t="n">
        <f aca="false">SUMPRODUCT(BW92:BW96,$I$85:$I$89)/1000000</f>
        <v>0</v>
      </c>
      <c r="BX100" s="187" t="n">
        <f aca="false">SUMPRODUCT(BX92:BX96,$I$85:$I$89)/1000000</f>
        <v>0</v>
      </c>
      <c r="BY100" s="187" t="n">
        <f aca="false">SUMPRODUCT(BY92:BY96,$I$85:$I$89)/1000000</f>
        <v>0</v>
      </c>
      <c r="BZ100" s="187" t="n">
        <f aca="false">SUMPRODUCT(BZ92:BZ96,$I$85:$I$89)/1000000</f>
        <v>0</v>
      </c>
      <c r="CA100" s="187" t="n">
        <f aca="false">SUMPRODUCT(CA92:CA96,$I$85:$I$89)/1000000</f>
        <v>0</v>
      </c>
    </row>
    <row r="101" customFormat="false" ht="15" hidden="false" customHeight="false" outlineLevel="0" collapsed="false">
      <c r="B101" s="10" t="s">
        <v>367</v>
      </c>
      <c r="L101" s="187" t="n">
        <f aca="false">SUMIFS($T101:$CA101,$T$5:$CA$5,2026)</f>
        <v>0.15796</v>
      </c>
      <c r="M101" s="187" t="n">
        <f aca="false">SUMIFS($T101:$CA101,$T$5:$CA$5,2027)</f>
        <v>0.598931666666667</v>
      </c>
      <c r="N101" s="187" t="n">
        <f aca="false">SUMIFS($T101:$CA101,$T$5:$CA$5,2028)</f>
        <v>0</v>
      </c>
      <c r="O101" s="187" t="n">
        <f aca="false">SUMIFS($T101:$CA101,$T$5:$CA$5,2029)</f>
        <v>0</v>
      </c>
      <c r="P101" s="187" t="n">
        <f aca="false">SUMIFS($T101:$CA101,$T$5:$CA$5,2030)</f>
        <v>0</v>
      </c>
      <c r="T101" s="187" t="n">
        <f aca="false">(SUMPRODUCT(T77:T80,1-$I$71:$I$74))/1000000</f>
        <v>0</v>
      </c>
      <c r="U101" s="187" t="n">
        <f aca="false">(SUMPRODUCT(U77:U80,1-$I$71:$I$74))/1000000</f>
        <v>0</v>
      </c>
      <c r="V101" s="187" t="n">
        <f aca="false">(SUMPRODUCT(V77:V80,1-$I$71:$I$74))/1000000</f>
        <v>0</v>
      </c>
      <c r="W101" s="187" t="n">
        <f aca="false">(SUMPRODUCT(W77:W80,1-$I$71:$I$74))/1000000</f>
        <v>0</v>
      </c>
      <c r="X101" s="187" t="n">
        <f aca="false">(SUMPRODUCT(X77:X80,1-$I$71:$I$74))/1000000</f>
        <v>0</v>
      </c>
      <c r="Y101" s="187" t="n">
        <f aca="false">(SUMPRODUCT(Y77:Y80,1-$I$71:$I$74))/1000000</f>
        <v>0</v>
      </c>
      <c r="Z101" s="187" t="n">
        <f aca="false">(SUMPRODUCT(Z77:Z80,1-$I$71:$I$74))/1000000</f>
        <v>0</v>
      </c>
      <c r="AA101" s="187" t="n">
        <f aca="false">(SUMPRODUCT(AA77:AA80,1-$I$71:$I$74))/1000000</f>
        <v>0</v>
      </c>
      <c r="AB101" s="187" t="n">
        <f aca="false">(SUMPRODUCT(AB77:AB80,1-$I$71:$I$74))/1000000</f>
        <v>0</v>
      </c>
      <c r="AC101" s="187" t="n">
        <f aca="false">(SUMPRODUCT(AC77:AC80,1-$I$71:$I$74))/1000000</f>
        <v>0.0658166666666667</v>
      </c>
      <c r="AD101" s="187" t="n">
        <f aca="false">(SUMPRODUCT(AD77:AD80,1-$I$71:$I$74))/1000000</f>
        <v>0.0658166666666667</v>
      </c>
      <c r="AE101" s="187" t="n">
        <f aca="false">(SUMPRODUCT(AE77:AE80,1-$I$71:$I$74))/1000000</f>
        <v>0.0263266666666667</v>
      </c>
      <c r="AF101" s="187" t="n">
        <f aca="false">(SUMPRODUCT(AF77:AF80,1-$I$71:$I$74))/1000000</f>
        <v>0.0263266666666667</v>
      </c>
      <c r="AG101" s="187" t="n">
        <f aca="false">(SUMPRODUCT(AG77:AG80,1-$I$71:$I$74))/1000000</f>
        <v>0.0263266666666667</v>
      </c>
      <c r="AH101" s="187" t="n">
        <f aca="false">(SUMPRODUCT(AH77:AH80,1-$I$71:$I$74))/1000000</f>
        <v>0.0263266666666667</v>
      </c>
      <c r="AI101" s="187" t="n">
        <f aca="false">(SUMPRODUCT(AI77:AI80,1-$I$71:$I$74))/1000000</f>
        <v>0.1085975</v>
      </c>
      <c r="AJ101" s="187" t="n">
        <f aca="false">(SUMPRODUCT(AJ77:AJ80,1-$I$71:$I$74))/1000000</f>
        <v>0.0822708333333333</v>
      </c>
      <c r="AK101" s="187" t="n">
        <f aca="false">(SUMPRODUCT(AK77:AK80,1-$I$71:$I$74))/1000000</f>
        <v>0.0822708333333333</v>
      </c>
      <c r="AL101" s="187" t="n">
        <f aca="false">(SUMPRODUCT(AL77:AL80,1-$I$71:$I$74))/1000000</f>
        <v>0.0822708333333333</v>
      </c>
      <c r="AM101" s="187" t="n">
        <f aca="false">(SUMPRODUCT(AM77:AM80,1-$I$71:$I$74))/1000000</f>
        <v>0.0822708333333333</v>
      </c>
      <c r="AN101" s="187" t="n">
        <f aca="false">(SUMPRODUCT(AN77:AN80,1-$I$71:$I$74))/1000000</f>
        <v>0.0822708333333333</v>
      </c>
      <c r="AO101" s="187" t="n">
        <f aca="false">(SUMPRODUCT(AO77:AO80,1-$I$71:$I$74))/1000000</f>
        <v>0</v>
      </c>
      <c r="AP101" s="187" t="n">
        <f aca="false">(SUMPRODUCT(AP77:AP80,1-$I$71:$I$74))/1000000</f>
        <v>0</v>
      </c>
      <c r="AQ101" s="187" t="n">
        <f aca="false">(SUMPRODUCT(AQ77:AQ80,1-$I$71:$I$74))/1000000</f>
        <v>0</v>
      </c>
      <c r="AR101" s="187" t="n">
        <f aca="false">(SUMPRODUCT(AR77:AR80,1-$I$71:$I$74))/1000000</f>
        <v>0</v>
      </c>
      <c r="AS101" s="187" t="n">
        <f aca="false">(SUMPRODUCT(AS77:AS80,1-$I$71:$I$74))/1000000</f>
        <v>0</v>
      </c>
      <c r="AT101" s="187" t="n">
        <f aca="false">(SUMPRODUCT(AT77:AT80,1-$I$71:$I$74))/1000000</f>
        <v>0</v>
      </c>
      <c r="AU101" s="187" t="n">
        <f aca="false">(SUMPRODUCT(AU77:AU80,1-$I$71:$I$74))/1000000</f>
        <v>0</v>
      </c>
      <c r="AV101" s="187" t="n">
        <f aca="false">(SUMPRODUCT(AV77:AV80,1-$I$71:$I$74))/1000000</f>
        <v>0</v>
      </c>
      <c r="AW101" s="187" t="n">
        <f aca="false">(SUMPRODUCT(AW77:AW80,1-$I$71:$I$74))/1000000</f>
        <v>0</v>
      </c>
      <c r="AX101" s="187" t="n">
        <f aca="false">(SUMPRODUCT(AX77:AX80,1-$I$71:$I$74))/1000000</f>
        <v>0</v>
      </c>
      <c r="AY101" s="187" t="n">
        <f aca="false">(SUMPRODUCT(AY77:AY80,1-$I$71:$I$74))/1000000</f>
        <v>0</v>
      </c>
      <c r="AZ101" s="187" t="n">
        <f aca="false">(SUMPRODUCT(AZ77:AZ80,1-$I$71:$I$74))/1000000</f>
        <v>0</v>
      </c>
      <c r="BA101" s="187" t="n">
        <f aca="false">(SUMPRODUCT(BA77:BA80,1-$I$71:$I$74))/1000000</f>
        <v>0</v>
      </c>
      <c r="BB101" s="187" t="n">
        <f aca="false">(SUMPRODUCT(BB77:BB80,1-$I$71:$I$74))/1000000</f>
        <v>0</v>
      </c>
      <c r="BC101" s="187" t="n">
        <f aca="false">(SUMPRODUCT(BC77:BC80,1-$I$71:$I$74))/1000000</f>
        <v>0</v>
      </c>
      <c r="BD101" s="187" t="n">
        <f aca="false">(SUMPRODUCT(BD77:BD80,1-$I$71:$I$74))/1000000</f>
        <v>0</v>
      </c>
      <c r="BE101" s="187" t="n">
        <f aca="false">(SUMPRODUCT(BE77:BE80,1-$I$71:$I$74))/1000000</f>
        <v>0</v>
      </c>
      <c r="BF101" s="187" t="n">
        <f aca="false">(SUMPRODUCT(BF77:BF80,1-$I$71:$I$74))/1000000</f>
        <v>0</v>
      </c>
      <c r="BG101" s="187" t="n">
        <f aca="false">(SUMPRODUCT(BG77:BG80,1-$I$71:$I$74))/1000000</f>
        <v>0</v>
      </c>
      <c r="BH101" s="187" t="n">
        <f aca="false">(SUMPRODUCT(BH77:BH80,1-$I$71:$I$74))/1000000</f>
        <v>0</v>
      </c>
      <c r="BI101" s="187" t="n">
        <f aca="false">(SUMPRODUCT(BI77:BI80,1-$I$71:$I$74))/1000000</f>
        <v>0</v>
      </c>
      <c r="BJ101" s="187" t="n">
        <f aca="false">(SUMPRODUCT(BJ77:BJ80,1-$I$71:$I$74))/1000000</f>
        <v>0</v>
      </c>
      <c r="BK101" s="187" t="n">
        <f aca="false">(SUMPRODUCT(BK77:BK80,1-$I$71:$I$74))/1000000</f>
        <v>0</v>
      </c>
      <c r="BL101" s="187" t="n">
        <f aca="false">(SUMPRODUCT(BL77:BL80,1-$I$71:$I$74))/1000000</f>
        <v>0</v>
      </c>
      <c r="BM101" s="187" t="n">
        <f aca="false">(SUMPRODUCT(BM77:BM80,1-$I$71:$I$74))/1000000</f>
        <v>0</v>
      </c>
      <c r="BN101" s="187" t="n">
        <f aca="false">(SUMPRODUCT(BN77:BN80,1-$I$71:$I$74))/1000000</f>
        <v>0</v>
      </c>
      <c r="BO101" s="187" t="n">
        <f aca="false">(SUMPRODUCT(BO77:BO80,1-$I$71:$I$74))/1000000</f>
        <v>0</v>
      </c>
      <c r="BP101" s="187" t="n">
        <f aca="false">(SUMPRODUCT(BP77:BP80,1-$I$71:$I$74))/1000000</f>
        <v>0</v>
      </c>
      <c r="BQ101" s="187" t="n">
        <f aca="false">(SUMPRODUCT(BQ77:BQ80,1-$I$71:$I$74))/1000000</f>
        <v>0</v>
      </c>
      <c r="BR101" s="187" t="n">
        <f aca="false">(SUMPRODUCT(BR77:BR80,1-$I$71:$I$74))/1000000</f>
        <v>0</v>
      </c>
      <c r="BS101" s="187" t="n">
        <f aca="false">(SUMPRODUCT(BS77:BS80,1-$I$71:$I$74))/1000000</f>
        <v>0</v>
      </c>
      <c r="BT101" s="187" t="n">
        <f aca="false">(SUMPRODUCT(BT77:BT80,1-$I$71:$I$74))/1000000</f>
        <v>0</v>
      </c>
      <c r="BU101" s="187" t="n">
        <f aca="false">(SUMPRODUCT(BU77:BU80,1-$I$71:$I$74))/1000000</f>
        <v>0</v>
      </c>
      <c r="BV101" s="187" t="n">
        <f aca="false">(SUMPRODUCT(BV77:BV80,1-$I$71:$I$74))/1000000</f>
        <v>0</v>
      </c>
      <c r="BW101" s="187" t="n">
        <f aca="false">(SUMPRODUCT(BW77:BW80,1-$I$71:$I$74))/1000000</f>
        <v>0</v>
      </c>
      <c r="BX101" s="187" t="n">
        <f aca="false">(SUMPRODUCT(BX77:BX80,1-$I$71:$I$74))/1000000</f>
        <v>0</v>
      </c>
      <c r="BY101" s="187" t="n">
        <f aca="false">(SUMPRODUCT(BY77:BY80,1-$I$71:$I$74))/1000000</f>
        <v>0</v>
      </c>
      <c r="BZ101" s="187" t="n">
        <f aca="false">(SUMPRODUCT(BZ77:BZ80,1-$I$71:$I$74))/1000000</f>
        <v>0</v>
      </c>
      <c r="CA101" s="187" t="n">
        <f aca="false">(SUMPRODUCT(CA77:CA80,1-$I$71:$I$74))/1000000</f>
        <v>0</v>
      </c>
    </row>
    <row r="102" customFormat="false" ht="15" hidden="false" customHeight="false" outlineLevel="0" collapsed="false">
      <c r="B102" s="10" t="s">
        <v>368</v>
      </c>
      <c r="L102" s="187" t="n">
        <f aca="false">SUMIFS($T102:$CA102,$T$5:$CA$5,2026)</f>
        <v>0.0804279666666667</v>
      </c>
      <c r="M102" s="187" t="n">
        <f aca="false">SUMIFS($T102:$CA102,$T$5:$CA$5,2027)</f>
        <v>0.160855933333333</v>
      </c>
      <c r="N102" s="187" t="n">
        <f aca="false">SUMIFS($T102:$CA102,$T$5:$CA$5,2028)</f>
        <v>0</v>
      </c>
      <c r="O102" s="187" t="n">
        <f aca="false">SUMIFS($T102:$CA102,$T$5:$CA$5,2029)</f>
        <v>0</v>
      </c>
      <c r="P102" s="187" t="n">
        <f aca="false">SUMIFS($T102:$CA102,$T$5:$CA$5,2030)</f>
        <v>0</v>
      </c>
      <c r="T102" s="187" t="n">
        <f aca="false">SUMPRODUCT(T92:T96,1-$I$85:$I$89)/1000000</f>
        <v>0</v>
      </c>
      <c r="U102" s="187" t="n">
        <f aca="false">SUMPRODUCT(U92:U96,1-$I$85:$I$89)/1000000</f>
        <v>0</v>
      </c>
      <c r="V102" s="187" t="n">
        <f aca="false">SUMPRODUCT(V92:V96,1-$I$85:$I$89)/1000000</f>
        <v>0</v>
      </c>
      <c r="W102" s="187" t="n">
        <f aca="false">SUMPRODUCT(W92:W96,1-$I$85:$I$89)/1000000</f>
        <v>0</v>
      </c>
      <c r="X102" s="187" t="n">
        <f aca="false">SUMPRODUCT(X92:X96,1-$I$85:$I$89)/1000000</f>
        <v>0</v>
      </c>
      <c r="Y102" s="187" t="n">
        <f aca="false">SUMPRODUCT(Y92:Y96,1-$I$85:$I$89)/1000000</f>
        <v>0</v>
      </c>
      <c r="Z102" s="187" t="n">
        <f aca="false">SUMPRODUCT(Z92:Z96,1-$I$85:$I$89)/1000000</f>
        <v>0</v>
      </c>
      <c r="AA102" s="187" t="n">
        <f aca="false">SUMPRODUCT(AA92:AA96,1-$I$85:$I$89)/1000000</f>
        <v>0</v>
      </c>
      <c r="AB102" s="187" t="n">
        <f aca="false">SUMPRODUCT(AB92:AB96,1-$I$85:$I$89)/1000000</f>
        <v>0</v>
      </c>
      <c r="AC102" s="187" t="n">
        <f aca="false">SUMPRODUCT(AC92:AC96,1-$I$85:$I$89)/1000000</f>
        <v>0.0268093222222222</v>
      </c>
      <c r="AD102" s="187" t="n">
        <f aca="false">SUMPRODUCT(AD92:AD96,1-$I$85:$I$89)/1000000</f>
        <v>0.0268093222222222</v>
      </c>
      <c r="AE102" s="187" t="n">
        <f aca="false">SUMPRODUCT(AE92:AE96,1-$I$85:$I$89)/1000000</f>
        <v>0.0268093222222222</v>
      </c>
      <c r="AF102" s="187" t="n">
        <f aca="false">SUMPRODUCT(AF92:AF96,1-$I$85:$I$89)/1000000</f>
        <v>0.0268093222222222</v>
      </c>
      <c r="AG102" s="187" t="n">
        <f aca="false">SUMPRODUCT(AG92:AG96,1-$I$85:$I$89)/1000000</f>
        <v>0.0268093222222222</v>
      </c>
      <c r="AH102" s="187" t="n">
        <f aca="false">SUMPRODUCT(AH92:AH96,1-$I$85:$I$89)/1000000</f>
        <v>0.0268093222222222</v>
      </c>
      <c r="AI102" s="187" t="n">
        <f aca="false">SUMPRODUCT(AI92:AI96,1-$I$85:$I$89)/1000000</f>
        <v>0.0268093222222222</v>
      </c>
      <c r="AJ102" s="187" t="n">
        <f aca="false">SUMPRODUCT(AJ92:AJ96,1-$I$85:$I$89)/1000000</f>
        <v>0.0268093222222222</v>
      </c>
      <c r="AK102" s="187" t="n">
        <f aca="false">SUMPRODUCT(AK92:AK96,1-$I$85:$I$89)/1000000</f>
        <v>0.0268093222222222</v>
      </c>
      <c r="AL102" s="187" t="n">
        <f aca="false">SUMPRODUCT(AL92:AL96,1-$I$85:$I$89)/1000000</f>
        <v>0</v>
      </c>
      <c r="AM102" s="187" t="n">
        <f aca="false">SUMPRODUCT(AM92:AM96,1-$I$85:$I$89)/1000000</f>
        <v>0</v>
      </c>
      <c r="AN102" s="187" t="n">
        <f aca="false">SUMPRODUCT(AN92:AN96,1-$I$85:$I$89)/1000000</f>
        <v>0</v>
      </c>
      <c r="AO102" s="187" t="n">
        <f aca="false">SUMPRODUCT(AO92:AO96,1-$I$85:$I$89)/1000000</f>
        <v>0</v>
      </c>
      <c r="AP102" s="187" t="n">
        <f aca="false">SUMPRODUCT(AP92:AP96,1-$I$85:$I$89)/1000000</f>
        <v>0</v>
      </c>
      <c r="AQ102" s="187" t="n">
        <f aca="false">SUMPRODUCT(AQ92:AQ96,1-$I$85:$I$89)/1000000</f>
        <v>0</v>
      </c>
      <c r="AR102" s="187" t="n">
        <f aca="false">SUMPRODUCT(AR92:AR96,1-$I$85:$I$89)/1000000</f>
        <v>0</v>
      </c>
      <c r="AS102" s="187" t="n">
        <f aca="false">SUMPRODUCT(AS92:AS96,1-$I$85:$I$89)/1000000</f>
        <v>0</v>
      </c>
      <c r="AT102" s="187" t="n">
        <f aca="false">SUMPRODUCT(AT92:AT96,1-$I$85:$I$89)/1000000</f>
        <v>0</v>
      </c>
      <c r="AU102" s="187" t="n">
        <f aca="false">SUMPRODUCT(AU92:AU96,1-$I$85:$I$89)/1000000</f>
        <v>0</v>
      </c>
      <c r="AV102" s="187" t="n">
        <f aca="false">SUMPRODUCT(AV92:AV96,1-$I$85:$I$89)/1000000</f>
        <v>0</v>
      </c>
      <c r="AW102" s="187" t="n">
        <f aca="false">SUMPRODUCT(AW92:AW96,1-$I$85:$I$89)/1000000</f>
        <v>0</v>
      </c>
      <c r="AX102" s="187" t="n">
        <f aca="false">SUMPRODUCT(AX92:AX96,1-$I$85:$I$89)/1000000</f>
        <v>0</v>
      </c>
      <c r="AY102" s="187" t="n">
        <f aca="false">SUMPRODUCT(AY92:AY96,1-$I$85:$I$89)/1000000</f>
        <v>0</v>
      </c>
      <c r="AZ102" s="187" t="n">
        <f aca="false">SUMPRODUCT(AZ92:AZ96,1-$I$85:$I$89)/1000000</f>
        <v>0</v>
      </c>
      <c r="BA102" s="187" t="n">
        <f aca="false">SUMPRODUCT(BA92:BA96,1-$I$85:$I$89)/1000000</f>
        <v>0</v>
      </c>
      <c r="BB102" s="187" t="n">
        <f aca="false">SUMPRODUCT(BB92:BB96,1-$I$85:$I$89)/1000000</f>
        <v>0</v>
      </c>
      <c r="BC102" s="187" t="n">
        <f aca="false">SUMPRODUCT(BC92:BC96,1-$I$85:$I$89)/1000000</f>
        <v>0</v>
      </c>
      <c r="BD102" s="187" t="n">
        <f aca="false">SUMPRODUCT(BD92:BD96,1-$I$85:$I$89)/1000000</f>
        <v>0</v>
      </c>
      <c r="BE102" s="187" t="n">
        <f aca="false">SUMPRODUCT(BE92:BE96,1-$I$85:$I$89)/1000000</f>
        <v>0</v>
      </c>
      <c r="BF102" s="187" t="n">
        <f aca="false">SUMPRODUCT(BF92:BF96,1-$I$85:$I$89)/1000000</f>
        <v>0</v>
      </c>
      <c r="BG102" s="187" t="n">
        <f aca="false">SUMPRODUCT(BG92:BG96,1-$I$85:$I$89)/1000000</f>
        <v>0</v>
      </c>
      <c r="BH102" s="187" t="n">
        <f aca="false">SUMPRODUCT(BH92:BH96,1-$I$85:$I$89)/1000000</f>
        <v>0</v>
      </c>
      <c r="BI102" s="187" t="n">
        <f aca="false">SUMPRODUCT(BI92:BI96,1-$I$85:$I$89)/1000000</f>
        <v>0</v>
      </c>
      <c r="BJ102" s="187" t="n">
        <f aca="false">SUMPRODUCT(BJ92:BJ96,1-$I$85:$I$89)/1000000</f>
        <v>0</v>
      </c>
      <c r="BK102" s="187" t="n">
        <f aca="false">SUMPRODUCT(BK92:BK96,1-$I$85:$I$89)/1000000</f>
        <v>0</v>
      </c>
      <c r="BL102" s="187" t="n">
        <f aca="false">SUMPRODUCT(BL92:BL96,1-$I$85:$I$89)/1000000</f>
        <v>0</v>
      </c>
      <c r="BM102" s="187" t="n">
        <f aca="false">SUMPRODUCT(BM92:BM96,1-$I$85:$I$89)/1000000</f>
        <v>0</v>
      </c>
      <c r="BN102" s="187" t="n">
        <f aca="false">SUMPRODUCT(BN92:BN96,1-$I$85:$I$89)/1000000</f>
        <v>0</v>
      </c>
      <c r="BO102" s="187" t="n">
        <f aca="false">SUMPRODUCT(BO92:BO96,1-$I$85:$I$89)/1000000</f>
        <v>0</v>
      </c>
      <c r="BP102" s="187" t="n">
        <f aca="false">SUMPRODUCT(BP92:BP96,1-$I$85:$I$89)/1000000</f>
        <v>0</v>
      </c>
      <c r="BQ102" s="187" t="n">
        <f aca="false">SUMPRODUCT(BQ92:BQ96,1-$I$85:$I$89)/1000000</f>
        <v>0</v>
      </c>
      <c r="BR102" s="187" t="n">
        <f aca="false">SUMPRODUCT(BR92:BR96,1-$I$85:$I$89)/1000000</f>
        <v>0</v>
      </c>
      <c r="BS102" s="187" t="n">
        <f aca="false">SUMPRODUCT(BS92:BS96,1-$I$85:$I$89)/1000000</f>
        <v>0</v>
      </c>
      <c r="BT102" s="187" t="n">
        <f aca="false">SUMPRODUCT(BT92:BT96,1-$I$85:$I$89)/1000000</f>
        <v>0</v>
      </c>
      <c r="BU102" s="187" t="n">
        <f aca="false">SUMPRODUCT(BU92:BU96,1-$I$85:$I$89)/1000000</f>
        <v>0</v>
      </c>
      <c r="BV102" s="187" t="n">
        <f aca="false">SUMPRODUCT(BV92:BV96,1-$I$85:$I$89)/1000000</f>
        <v>0</v>
      </c>
      <c r="BW102" s="187" t="n">
        <f aca="false">SUMPRODUCT(BW92:BW96,1-$I$85:$I$89)/1000000</f>
        <v>0</v>
      </c>
      <c r="BX102" s="187" t="n">
        <f aca="false">SUMPRODUCT(BX92:BX96,1-$I$85:$I$89)/1000000</f>
        <v>0</v>
      </c>
      <c r="BY102" s="187" t="n">
        <f aca="false">SUMPRODUCT(BY92:BY96,1-$I$85:$I$89)/1000000</f>
        <v>0</v>
      </c>
      <c r="BZ102" s="187" t="n">
        <f aca="false">SUMPRODUCT(BZ92:BZ96,1-$I$85:$I$89)/1000000</f>
        <v>0</v>
      </c>
      <c r="CA102" s="187" t="n">
        <f aca="false">SUMPRODUCT(CA92:CA96,1-$I$85:$I$89)/1000000</f>
        <v>0</v>
      </c>
    </row>
    <row r="103" customFormat="false" ht="15" hidden="false" customHeight="false" outlineLevel="0" collapsed="false">
      <c r="B103" s="3" t="s">
        <v>369</v>
      </c>
      <c r="L103" s="187" t="n">
        <f aca="false">SUM(L99:L102)</f>
        <v>0.343694633333333</v>
      </c>
      <c r="M103" s="187" t="n">
        <f aca="false">SUM(M99:M102)</f>
        <v>1.18101426666667</v>
      </c>
      <c r="N103" s="187" t="n">
        <f aca="false">SUM(N99:N102)</f>
        <v>0</v>
      </c>
      <c r="O103" s="187" t="n">
        <f aca="false">SUM(O99:O102)</f>
        <v>0</v>
      </c>
      <c r="P103" s="187" t="n">
        <f aca="false">SUM(P99:P102)</f>
        <v>0</v>
      </c>
    </row>
    <row r="105" customFormat="false" ht="18" hidden="false" customHeight="true" outlineLevel="0" collapsed="false">
      <c r="B105" s="5" t="s">
        <v>370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7" customFormat="false" ht="22.35" hidden="false" customHeight="false" outlineLevel="0" collapsed="false">
      <c r="B107" s="169" t="s">
        <v>371</v>
      </c>
      <c r="C107" s="169" t="s">
        <v>346</v>
      </c>
      <c r="D107" s="169" t="s">
        <v>372</v>
      </c>
      <c r="H107" s="169" t="s">
        <v>326</v>
      </c>
      <c r="I107" s="169" t="s">
        <v>373</v>
      </c>
    </row>
    <row r="108" customFormat="false" ht="41.75" hidden="false" customHeight="false" outlineLevel="0" collapsed="false">
      <c r="B108" s="10" t="s">
        <v>485</v>
      </c>
      <c r="C108" s="190" t="s">
        <v>486</v>
      </c>
      <c r="D108" s="158" t="n">
        <v>0</v>
      </c>
      <c r="H108" s="178" t="n">
        <f aca="false">DATE(2027,4,1)</f>
        <v>46478</v>
      </c>
      <c r="I108" s="9" t="s">
        <v>376</v>
      </c>
    </row>
    <row r="109" customFormat="false" ht="28.35" hidden="false" customHeight="false" outlineLevel="0" collapsed="false">
      <c r="B109" s="10" t="s">
        <v>487</v>
      </c>
      <c r="C109" s="190" t="s">
        <v>488</v>
      </c>
      <c r="D109" s="158" t="n">
        <v>0</v>
      </c>
      <c r="H109" s="178" t="n">
        <f aca="false">DATE(2027,4,1)</f>
        <v>46478</v>
      </c>
      <c r="I109" s="9" t="s">
        <v>379</v>
      </c>
    </row>
    <row r="110" customFormat="false" ht="28.35" hidden="false" customHeight="false" outlineLevel="0" collapsed="false">
      <c r="B110" s="10" t="s">
        <v>380</v>
      </c>
      <c r="C110" s="190" t="s">
        <v>381</v>
      </c>
      <c r="D110" s="158" t="n">
        <v>0</v>
      </c>
      <c r="H110" s="178" t="n">
        <f aca="false">DATE(2027,4,1)</f>
        <v>46478</v>
      </c>
      <c r="I110" s="9" t="s">
        <v>379</v>
      </c>
    </row>
    <row r="112" customFormat="false" ht="15" hidden="false" customHeight="false" outlineLevel="0" collapsed="false">
      <c r="B112" s="194" t="s">
        <v>382</v>
      </c>
    </row>
    <row r="113" customFormat="false" ht="15" hidden="false" customHeight="false" outlineLevel="0" collapsed="false">
      <c r="B113" s="10" t="s">
        <v>489</v>
      </c>
      <c r="K113" s="187" t="n">
        <f aca="false">SUMIFS($T113:$CA113,$T$5:$CA$5,2030)</f>
        <v>0</v>
      </c>
      <c r="L113" s="187" t="n">
        <f aca="false">SUMIFS($T113:$CA113,$T$5:$CA$5,2026)</f>
        <v>0</v>
      </c>
      <c r="M113" s="187" t="n">
        <f aca="false">SUMIFS($T113:$CA113,$T$5:$CA$5,2027)</f>
        <v>0</v>
      </c>
      <c r="N113" s="187" t="n">
        <f aca="false">SUMIFS($T113:$CA113,$T$5:$CA$5,2028)</f>
        <v>0</v>
      </c>
      <c r="O113" s="187" t="n">
        <f aca="false">SUMIFS($T113:$CA113,$T$5:$CA$5,2029)</f>
        <v>0</v>
      </c>
      <c r="P113" s="187" t="n">
        <f aca="false">SUMIFS($T113:$CA113,$T$5:$CA$5,2030)</f>
        <v>0</v>
      </c>
      <c r="T113" s="187" t="n">
        <f aca="false">$D$108/1000000/12*IF($I$108="Y",T$56,IF(T$6&gt;=EOMONTH($H$108,0),1,0))</f>
        <v>0</v>
      </c>
      <c r="U113" s="187" t="n">
        <f aca="false">$D$108/1000000/12*IF($I$108="Y",U$56,IF(U$6&gt;=EOMONTH($H$108,0),1,0))</f>
        <v>0</v>
      </c>
      <c r="V113" s="187" t="n">
        <f aca="false">$D$108/1000000/12*IF($I$108="Y",V$56,IF(V$6&gt;=EOMONTH($H$108,0),1,0))</f>
        <v>0</v>
      </c>
      <c r="W113" s="187" t="n">
        <f aca="false">$D$108/1000000/12*IF($I$108="Y",W$56,IF(W$6&gt;=EOMONTH($H$108,0),1,0))</f>
        <v>0</v>
      </c>
      <c r="X113" s="187" t="n">
        <f aca="false">$D$108/1000000/12*IF($I$108="Y",X$56,IF(X$6&gt;=EOMONTH($H$108,0),1,0))</f>
        <v>0</v>
      </c>
      <c r="Y113" s="187" t="n">
        <f aca="false">$D$108/1000000/12*IF($I$108="Y",Y$56,IF(Y$6&gt;=EOMONTH($H$108,0),1,0))</f>
        <v>0</v>
      </c>
      <c r="Z113" s="187" t="n">
        <f aca="false">$D$108/1000000/12*IF($I$108="Y",Z$56,IF(Z$6&gt;=EOMONTH($H$108,0),1,0))</f>
        <v>0</v>
      </c>
      <c r="AA113" s="187" t="n">
        <f aca="false">$D$108/1000000/12*IF($I$108="Y",AA$56,IF(AA$6&gt;=EOMONTH($H$108,0),1,0))</f>
        <v>0</v>
      </c>
      <c r="AB113" s="187" t="n">
        <f aca="false">$D$108/1000000/12*IF($I$108="Y",AB$56,IF(AB$6&gt;=EOMONTH($H$108,0),1,0))</f>
        <v>0</v>
      </c>
      <c r="AC113" s="187" t="n">
        <f aca="false">$D$108/1000000/12*IF($I$108="Y",AC$56,IF(AC$6&gt;=EOMONTH($H$108,0),1,0))</f>
        <v>0</v>
      </c>
      <c r="AD113" s="187" t="n">
        <f aca="false">$D$108/1000000/12*IF($I$108="Y",AD$56,IF(AD$6&gt;=EOMONTH($H$108,0),1,0))</f>
        <v>0</v>
      </c>
      <c r="AE113" s="187" t="n">
        <f aca="false">$D$108/1000000/12*IF($I$108="Y",AE$56,IF(AE$6&gt;=EOMONTH($H$108,0),1,0))</f>
        <v>0</v>
      </c>
      <c r="AF113" s="187" t="n">
        <f aca="false">$D$108/1000000/12*IF($I$108="Y",AF$56,IF(AF$6&gt;=EOMONTH($H$108,0),1,0))</f>
        <v>0</v>
      </c>
      <c r="AG113" s="187" t="n">
        <f aca="false">$D$108/1000000/12*IF($I$108="Y",AG$56,IF(AG$6&gt;=EOMONTH($H$108,0),1,0))</f>
        <v>0</v>
      </c>
      <c r="AH113" s="187" t="n">
        <f aca="false">$D$108/1000000/12*IF($I$108="Y",AH$56,IF(AH$6&gt;=EOMONTH($H$108,0),1,0))</f>
        <v>0</v>
      </c>
      <c r="AI113" s="187" t="n">
        <f aca="false">$D$108/1000000/12*IF($I$108="Y",AI$56,IF(AI$6&gt;=EOMONTH($H$108,0),1,0))</f>
        <v>0</v>
      </c>
      <c r="AJ113" s="187" t="n">
        <f aca="false">$D$108/1000000/12*IF($I$108="Y",AJ$56,IF(AJ$6&gt;=EOMONTH($H$108,0),1,0))</f>
        <v>0</v>
      </c>
      <c r="AK113" s="187" t="n">
        <f aca="false">$D$108/1000000/12*IF($I$108="Y",AK$56,IF(AK$6&gt;=EOMONTH($H$108,0),1,0))</f>
        <v>0</v>
      </c>
      <c r="AL113" s="187" t="n">
        <f aca="false">$D$108/1000000/12*IF($I$108="Y",AL$56,IF(AL$6&gt;=EOMONTH($H$108,0),1,0))</f>
        <v>0</v>
      </c>
      <c r="AM113" s="187" t="n">
        <f aca="false">$D$108/1000000/12*IF($I$108="Y",AM$56,IF(AM$6&gt;=EOMONTH($H$108,0),1,0))</f>
        <v>0</v>
      </c>
      <c r="AN113" s="187" t="n">
        <f aca="false">$D$108/1000000/12*IF($I$108="Y",AN$56,IF(AN$6&gt;=EOMONTH($H$108,0),1,0))</f>
        <v>0</v>
      </c>
      <c r="AO113" s="187" t="n">
        <f aca="false">$D$108/1000000/12*IF($I$108="Y",AO$56,IF(AO$6&gt;=EOMONTH($H$108,0),1,0))</f>
        <v>0</v>
      </c>
      <c r="AP113" s="187" t="n">
        <f aca="false">$D$108/1000000/12*IF($I$108="Y",AP$56,IF(AP$6&gt;=EOMONTH($H$108,0),1,0))</f>
        <v>0</v>
      </c>
      <c r="AQ113" s="187" t="n">
        <f aca="false">$D$108/1000000/12*IF($I$108="Y",AQ$56,IF(AQ$6&gt;=EOMONTH($H$108,0),1,0))</f>
        <v>0</v>
      </c>
      <c r="AR113" s="187" t="n">
        <f aca="false">$D$108/1000000/12*IF($I$108="Y",AR$56,IF(AR$6&gt;=EOMONTH($H$108,0),1,0))</f>
        <v>0</v>
      </c>
      <c r="AS113" s="187" t="n">
        <f aca="false">$D$108/1000000/12*IF($I$108="Y",AS$56,IF(AS$6&gt;=EOMONTH($H$108,0),1,0))</f>
        <v>0</v>
      </c>
      <c r="AT113" s="187" t="n">
        <f aca="false">$D$108/1000000/12*IF($I$108="Y",AT$56,IF(AT$6&gt;=EOMONTH($H$108,0),1,0))</f>
        <v>0</v>
      </c>
      <c r="AU113" s="187" t="n">
        <f aca="false">$D$108/1000000/12*IF($I$108="Y",AU$56,IF(AU$6&gt;=EOMONTH($H$108,0),1,0))</f>
        <v>0</v>
      </c>
      <c r="AV113" s="187" t="n">
        <f aca="false">$D$108/1000000/12*IF($I$108="Y",AV$56,IF(AV$6&gt;=EOMONTH($H$108,0),1,0))</f>
        <v>0</v>
      </c>
      <c r="AW113" s="187" t="n">
        <f aca="false">$D$108/1000000/12*IF($I$108="Y",AW$56,IF(AW$6&gt;=EOMONTH($H$108,0),1,0))</f>
        <v>0</v>
      </c>
      <c r="AX113" s="187" t="n">
        <f aca="false">$D$108/1000000/12*IF($I$108="Y",AX$56,IF(AX$6&gt;=EOMONTH($H$108,0),1,0))</f>
        <v>0</v>
      </c>
      <c r="AY113" s="187" t="n">
        <f aca="false">$D$108/1000000/12*IF($I$108="Y",AY$56,IF(AY$6&gt;=EOMONTH($H$108,0),1,0))</f>
        <v>0</v>
      </c>
      <c r="AZ113" s="187" t="n">
        <f aca="false">$D$108/1000000/12*IF($I$108="Y",AZ$56,IF(AZ$6&gt;=EOMONTH($H$108,0),1,0))</f>
        <v>0</v>
      </c>
      <c r="BA113" s="187" t="n">
        <f aca="false">$D$108/1000000/12*IF($I$108="Y",BA$56,IF(BA$6&gt;=EOMONTH($H$108,0),1,0))</f>
        <v>0</v>
      </c>
      <c r="BB113" s="187" t="n">
        <f aca="false">$D$108/1000000/12*IF($I$108="Y",BB$56,IF(BB$6&gt;=EOMONTH($H$108,0),1,0))</f>
        <v>0</v>
      </c>
      <c r="BC113" s="187" t="n">
        <f aca="false">$D$108/1000000/12*IF($I$108="Y",BC$56,IF(BC$6&gt;=EOMONTH($H$108,0),1,0))</f>
        <v>0</v>
      </c>
      <c r="BD113" s="187" t="n">
        <f aca="false">$D$108/1000000/12*IF($I$108="Y",BD$56,IF(BD$6&gt;=EOMONTH($H$108,0),1,0))</f>
        <v>0</v>
      </c>
      <c r="BE113" s="187" t="n">
        <f aca="false">$D$108/1000000/12*IF($I$108="Y",BE$56,IF(BE$6&gt;=EOMONTH($H$108,0),1,0))</f>
        <v>0</v>
      </c>
      <c r="BF113" s="187" t="n">
        <f aca="false">$D$108/1000000/12*IF($I$108="Y",BF$56,IF(BF$6&gt;=EOMONTH($H$108,0),1,0))</f>
        <v>0</v>
      </c>
      <c r="BG113" s="187" t="n">
        <f aca="false">$D$108/1000000/12*IF($I$108="Y",BG$56,IF(BG$6&gt;=EOMONTH($H$108,0),1,0))</f>
        <v>0</v>
      </c>
      <c r="BH113" s="187" t="n">
        <f aca="false">$D$108/1000000/12*IF($I$108="Y",BH$56,IF(BH$6&gt;=EOMONTH($H$108,0),1,0))</f>
        <v>0</v>
      </c>
      <c r="BI113" s="187" t="n">
        <f aca="false">$D$108/1000000/12*IF($I$108="Y",BI$56,IF(BI$6&gt;=EOMONTH($H$108,0),1,0))</f>
        <v>0</v>
      </c>
      <c r="BJ113" s="187" t="n">
        <f aca="false">$D$108/1000000/12*IF($I$108="Y",BJ$56,IF(BJ$6&gt;=EOMONTH($H$108,0),1,0))</f>
        <v>0</v>
      </c>
      <c r="BK113" s="187" t="n">
        <f aca="false">$D$108/1000000/12*IF($I$108="Y",BK$56,IF(BK$6&gt;=EOMONTH($H$108,0),1,0))</f>
        <v>0</v>
      </c>
      <c r="BL113" s="187" t="n">
        <f aca="false">$D$108/1000000/12*IF($I$108="Y",BL$56,IF(BL$6&gt;=EOMONTH($H$108,0),1,0))</f>
        <v>0</v>
      </c>
      <c r="BM113" s="187" t="n">
        <f aca="false">$D$108/1000000/12*IF($I$108="Y",BM$56,IF(BM$6&gt;=EOMONTH($H$108,0),1,0))</f>
        <v>0</v>
      </c>
      <c r="BN113" s="187" t="n">
        <f aca="false">$D$108/1000000/12*IF($I$108="Y",BN$56,IF(BN$6&gt;=EOMONTH($H$108,0),1,0))</f>
        <v>0</v>
      </c>
      <c r="BO113" s="187" t="n">
        <f aca="false">$D$108/1000000/12*IF($I$108="Y",BO$56,IF(BO$6&gt;=EOMONTH($H$108,0),1,0))</f>
        <v>0</v>
      </c>
      <c r="BP113" s="187" t="n">
        <f aca="false">$D$108/1000000/12*IF($I$108="Y",BP$56,IF(BP$6&gt;=EOMONTH($H$108,0),1,0))</f>
        <v>0</v>
      </c>
      <c r="BQ113" s="187" t="n">
        <f aca="false">$D$108/1000000/12*IF($I$108="Y",BQ$56,IF(BQ$6&gt;=EOMONTH($H$108,0),1,0))</f>
        <v>0</v>
      </c>
      <c r="BR113" s="187" t="n">
        <f aca="false">$D$108/1000000/12*IF($I$108="Y",BR$56,IF(BR$6&gt;=EOMONTH($H$108,0),1,0))</f>
        <v>0</v>
      </c>
      <c r="BS113" s="187" t="n">
        <f aca="false">$D$108/1000000/12*IF($I$108="Y",BS$56,IF(BS$6&gt;=EOMONTH($H$108,0),1,0))</f>
        <v>0</v>
      </c>
      <c r="BT113" s="187" t="n">
        <f aca="false">$D$108/1000000/12*IF($I$108="Y",BT$56,IF(BT$6&gt;=EOMONTH($H$108,0),1,0))</f>
        <v>0</v>
      </c>
      <c r="BU113" s="187" t="n">
        <f aca="false">$D$108/1000000/12*IF($I$108="Y",BU$56,IF(BU$6&gt;=EOMONTH($H$108,0),1,0))</f>
        <v>0</v>
      </c>
      <c r="BV113" s="187" t="n">
        <f aca="false">$D$108/1000000/12*IF($I$108="Y",BV$56,IF(BV$6&gt;=EOMONTH($H$108,0),1,0))</f>
        <v>0</v>
      </c>
      <c r="BW113" s="187" t="n">
        <f aca="false">$D$108/1000000/12*IF($I$108="Y",BW$56,IF(BW$6&gt;=EOMONTH($H$108,0),1,0))</f>
        <v>0</v>
      </c>
      <c r="BX113" s="187" t="n">
        <f aca="false">$D$108/1000000/12*IF($I$108="Y",BX$56,IF(BX$6&gt;=EOMONTH($H$108,0),1,0))</f>
        <v>0</v>
      </c>
      <c r="BY113" s="187" t="n">
        <f aca="false">$D$108/1000000/12*IF($I$108="Y",BY$56,IF(BY$6&gt;=EOMONTH($H$108,0),1,0))</f>
        <v>0</v>
      </c>
      <c r="BZ113" s="187" t="n">
        <f aca="false">$D$108/1000000/12*IF($I$108="Y",BZ$56,IF(BZ$6&gt;=EOMONTH($H$108,0),1,0))</f>
        <v>0</v>
      </c>
      <c r="CA113" s="187" t="n">
        <f aca="false">$D$108/1000000/12*IF($I$108="Y",CA$56,IF(CA$6&gt;=EOMONTH($H$108,0),1,0))</f>
        <v>0</v>
      </c>
    </row>
    <row r="114" customFormat="false" ht="15" hidden="false" customHeight="false" outlineLevel="0" collapsed="false">
      <c r="B114" s="10" t="s">
        <v>490</v>
      </c>
      <c r="K114" s="187" t="n">
        <f aca="false">SUMIFS($T114:$CA114,$T$5:$CA$5,2030)</f>
        <v>0</v>
      </c>
      <c r="L114" s="187" t="n">
        <f aca="false">SUMIFS($T114:$CA114,$T$5:$CA$5,2026)</f>
        <v>0</v>
      </c>
      <c r="M114" s="187" t="n">
        <f aca="false">SUMIFS($T114:$CA114,$T$5:$CA$5,2027)</f>
        <v>0</v>
      </c>
      <c r="N114" s="187" t="n">
        <f aca="false">SUMIFS($T114:$CA114,$T$5:$CA$5,2028)</f>
        <v>0</v>
      </c>
      <c r="O114" s="187" t="n">
        <f aca="false">SUMIFS($T114:$CA114,$T$5:$CA$5,2029)</f>
        <v>0</v>
      </c>
      <c r="P114" s="187" t="n">
        <f aca="false">SUMIFS($T114:$CA114,$T$5:$CA$5,2030)</f>
        <v>0</v>
      </c>
      <c r="T114" s="187" t="n">
        <f aca="false">$D$109/1000000/12*IF($I$109="Y",T$56,IF(T$6&gt;=EOMONTH($H$109,0),1,0))</f>
        <v>0</v>
      </c>
      <c r="U114" s="187" t="n">
        <f aca="false">$D$109/1000000/12*IF($I$109="Y",U$56,IF(U$6&gt;=EOMONTH($H$109,0),1,0))</f>
        <v>0</v>
      </c>
      <c r="V114" s="187" t="n">
        <f aca="false">$D$109/1000000/12*IF($I$109="Y",V$56,IF(V$6&gt;=EOMONTH($H$109,0),1,0))</f>
        <v>0</v>
      </c>
      <c r="W114" s="187" t="n">
        <f aca="false">$D$109/1000000/12*IF($I$109="Y",W$56,IF(W$6&gt;=EOMONTH($H$109,0),1,0))</f>
        <v>0</v>
      </c>
      <c r="X114" s="187" t="n">
        <f aca="false">$D$109/1000000/12*IF($I$109="Y",X$56,IF(X$6&gt;=EOMONTH($H$109,0),1,0))</f>
        <v>0</v>
      </c>
      <c r="Y114" s="187" t="n">
        <f aca="false">$D$109/1000000/12*IF($I$109="Y",Y$56,IF(Y$6&gt;=EOMONTH($H$109,0),1,0))</f>
        <v>0</v>
      </c>
      <c r="Z114" s="187" t="n">
        <f aca="false">$D$109/1000000/12*IF($I$109="Y",Z$56,IF(Z$6&gt;=EOMONTH($H$109,0),1,0))</f>
        <v>0</v>
      </c>
      <c r="AA114" s="187" t="n">
        <f aca="false">$D$109/1000000/12*IF($I$109="Y",AA$56,IF(AA$6&gt;=EOMONTH($H$109,0),1,0))</f>
        <v>0</v>
      </c>
      <c r="AB114" s="187" t="n">
        <f aca="false">$D$109/1000000/12*IF($I$109="Y",AB$56,IF(AB$6&gt;=EOMONTH($H$109,0),1,0))</f>
        <v>0</v>
      </c>
      <c r="AC114" s="187" t="n">
        <f aca="false">$D$109/1000000/12*IF($I$109="Y",AC$56,IF(AC$6&gt;=EOMONTH($H$109,0),1,0))</f>
        <v>0</v>
      </c>
      <c r="AD114" s="187" t="n">
        <f aca="false">$D$109/1000000/12*IF($I$109="Y",AD$56,IF(AD$6&gt;=EOMONTH($H$109,0),1,0))</f>
        <v>0</v>
      </c>
      <c r="AE114" s="187" t="n">
        <f aca="false">$D$109/1000000/12*IF($I$109="Y",AE$56,IF(AE$6&gt;=EOMONTH($H$109,0),1,0))</f>
        <v>0</v>
      </c>
      <c r="AF114" s="187" t="n">
        <f aca="false">$D$109/1000000/12*IF($I$109="Y",AF$56,IF(AF$6&gt;=EOMONTH($H$109,0),1,0))</f>
        <v>0</v>
      </c>
      <c r="AG114" s="187" t="n">
        <f aca="false">$D$109/1000000/12*IF($I$109="Y",AG$56,IF(AG$6&gt;=EOMONTH($H$109,0),1,0))</f>
        <v>0</v>
      </c>
      <c r="AH114" s="187" t="n">
        <f aca="false">$D$109/1000000/12*IF($I$109="Y",AH$56,IF(AH$6&gt;=EOMONTH($H$109,0),1,0))</f>
        <v>0</v>
      </c>
      <c r="AI114" s="187" t="n">
        <f aca="false">$D$109/1000000/12*IF($I$109="Y",AI$56,IF(AI$6&gt;=EOMONTH($H$109,0),1,0))</f>
        <v>0</v>
      </c>
      <c r="AJ114" s="187" t="n">
        <f aca="false">$D$109/1000000/12*IF($I$109="Y",AJ$56,IF(AJ$6&gt;=EOMONTH($H$109,0),1,0))</f>
        <v>0</v>
      </c>
      <c r="AK114" s="187" t="n">
        <f aca="false">$D$109/1000000/12*IF($I$109="Y",AK$56,IF(AK$6&gt;=EOMONTH($H$109,0),1,0))</f>
        <v>0</v>
      </c>
      <c r="AL114" s="187" t="n">
        <f aca="false">$D$109/1000000/12*IF($I$109="Y",AL$56,IF(AL$6&gt;=EOMONTH($H$109,0),1,0))</f>
        <v>0</v>
      </c>
      <c r="AM114" s="187" t="n">
        <f aca="false">$D$109/1000000/12*IF($I$109="Y",AM$56,IF(AM$6&gt;=EOMONTH($H$109,0),1,0))</f>
        <v>0</v>
      </c>
      <c r="AN114" s="187" t="n">
        <f aca="false">$D$109/1000000/12*IF($I$109="Y",AN$56,IF(AN$6&gt;=EOMONTH($H$109,0),1,0))</f>
        <v>0</v>
      </c>
      <c r="AO114" s="187" t="n">
        <f aca="false">$D$109/1000000/12*IF($I$109="Y",AO$56,IF(AO$6&gt;=EOMONTH($H$109,0),1,0))</f>
        <v>0</v>
      </c>
      <c r="AP114" s="187" t="n">
        <f aca="false">$D$109/1000000/12*IF($I$109="Y",AP$56,IF(AP$6&gt;=EOMONTH($H$109,0),1,0))</f>
        <v>0</v>
      </c>
      <c r="AQ114" s="187" t="n">
        <f aca="false">$D$109/1000000/12*IF($I$109="Y",AQ$56,IF(AQ$6&gt;=EOMONTH($H$109,0),1,0))</f>
        <v>0</v>
      </c>
      <c r="AR114" s="187" t="n">
        <f aca="false">$D$109/1000000/12*IF($I$109="Y",AR$56,IF(AR$6&gt;=EOMONTH($H$109,0),1,0))</f>
        <v>0</v>
      </c>
      <c r="AS114" s="187" t="n">
        <f aca="false">$D$109/1000000/12*IF($I$109="Y",AS$56,IF(AS$6&gt;=EOMONTH($H$109,0),1,0))</f>
        <v>0</v>
      </c>
      <c r="AT114" s="187" t="n">
        <f aca="false">$D$109/1000000/12*IF($I$109="Y",AT$56,IF(AT$6&gt;=EOMONTH($H$109,0),1,0))</f>
        <v>0</v>
      </c>
      <c r="AU114" s="187" t="n">
        <f aca="false">$D$109/1000000/12*IF($I$109="Y",AU$56,IF(AU$6&gt;=EOMONTH($H$109,0),1,0))</f>
        <v>0</v>
      </c>
      <c r="AV114" s="187" t="n">
        <f aca="false">$D$109/1000000/12*IF($I$109="Y",AV$56,IF(AV$6&gt;=EOMONTH($H$109,0),1,0))</f>
        <v>0</v>
      </c>
      <c r="AW114" s="187" t="n">
        <f aca="false">$D$109/1000000/12*IF($I$109="Y",AW$56,IF(AW$6&gt;=EOMONTH($H$109,0),1,0))</f>
        <v>0</v>
      </c>
      <c r="AX114" s="187" t="n">
        <f aca="false">$D$109/1000000/12*IF($I$109="Y",AX$56,IF(AX$6&gt;=EOMONTH($H$109,0),1,0))</f>
        <v>0</v>
      </c>
      <c r="AY114" s="187" t="n">
        <f aca="false">$D$109/1000000/12*IF($I$109="Y",AY$56,IF(AY$6&gt;=EOMONTH($H$109,0),1,0))</f>
        <v>0</v>
      </c>
      <c r="AZ114" s="187" t="n">
        <f aca="false">$D$109/1000000/12*IF($I$109="Y",AZ$56,IF(AZ$6&gt;=EOMONTH($H$109,0),1,0))</f>
        <v>0</v>
      </c>
      <c r="BA114" s="187" t="n">
        <f aca="false">$D$109/1000000/12*IF($I$109="Y",BA$56,IF(BA$6&gt;=EOMONTH($H$109,0),1,0))</f>
        <v>0</v>
      </c>
      <c r="BB114" s="187" t="n">
        <f aca="false">$D$109/1000000/12*IF($I$109="Y",BB$56,IF(BB$6&gt;=EOMONTH($H$109,0),1,0))</f>
        <v>0</v>
      </c>
      <c r="BC114" s="187" t="n">
        <f aca="false">$D$109/1000000/12*IF($I$109="Y",BC$56,IF(BC$6&gt;=EOMONTH($H$109,0),1,0))</f>
        <v>0</v>
      </c>
      <c r="BD114" s="187" t="n">
        <f aca="false">$D$109/1000000/12*IF($I$109="Y",BD$56,IF(BD$6&gt;=EOMONTH($H$109,0),1,0))</f>
        <v>0</v>
      </c>
      <c r="BE114" s="187" t="n">
        <f aca="false">$D$109/1000000/12*IF($I$109="Y",BE$56,IF(BE$6&gt;=EOMONTH($H$109,0),1,0))</f>
        <v>0</v>
      </c>
      <c r="BF114" s="187" t="n">
        <f aca="false">$D$109/1000000/12*IF($I$109="Y",BF$56,IF(BF$6&gt;=EOMONTH($H$109,0),1,0))</f>
        <v>0</v>
      </c>
      <c r="BG114" s="187" t="n">
        <f aca="false">$D$109/1000000/12*IF($I$109="Y",BG$56,IF(BG$6&gt;=EOMONTH($H$109,0),1,0))</f>
        <v>0</v>
      </c>
      <c r="BH114" s="187" t="n">
        <f aca="false">$D$109/1000000/12*IF($I$109="Y",BH$56,IF(BH$6&gt;=EOMONTH($H$109,0),1,0))</f>
        <v>0</v>
      </c>
      <c r="BI114" s="187" t="n">
        <f aca="false">$D$109/1000000/12*IF($I$109="Y",BI$56,IF(BI$6&gt;=EOMONTH($H$109,0),1,0))</f>
        <v>0</v>
      </c>
      <c r="BJ114" s="187" t="n">
        <f aca="false">$D$109/1000000/12*IF($I$109="Y",BJ$56,IF(BJ$6&gt;=EOMONTH($H$109,0),1,0))</f>
        <v>0</v>
      </c>
      <c r="BK114" s="187" t="n">
        <f aca="false">$D$109/1000000/12*IF($I$109="Y",BK$56,IF(BK$6&gt;=EOMONTH($H$109,0),1,0))</f>
        <v>0</v>
      </c>
      <c r="BL114" s="187" t="n">
        <f aca="false">$D$109/1000000/12*IF($I$109="Y",BL$56,IF(BL$6&gt;=EOMONTH($H$109,0),1,0))</f>
        <v>0</v>
      </c>
      <c r="BM114" s="187" t="n">
        <f aca="false">$D$109/1000000/12*IF($I$109="Y",BM$56,IF(BM$6&gt;=EOMONTH($H$109,0),1,0))</f>
        <v>0</v>
      </c>
      <c r="BN114" s="187" t="n">
        <f aca="false">$D$109/1000000/12*IF($I$109="Y",BN$56,IF(BN$6&gt;=EOMONTH($H$109,0),1,0))</f>
        <v>0</v>
      </c>
      <c r="BO114" s="187" t="n">
        <f aca="false">$D$109/1000000/12*IF($I$109="Y",BO$56,IF(BO$6&gt;=EOMONTH($H$109,0),1,0))</f>
        <v>0</v>
      </c>
      <c r="BP114" s="187" t="n">
        <f aca="false">$D$109/1000000/12*IF($I$109="Y",BP$56,IF(BP$6&gt;=EOMONTH($H$109,0),1,0))</f>
        <v>0</v>
      </c>
      <c r="BQ114" s="187" t="n">
        <f aca="false">$D$109/1000000/12*IF($I$109="Y",BQ$56,IF(BQ$6&gt;=EOMONTH($H$109,0),1,0))</f>
        <v>0</v>
      </c>
      <c r="BR114" s="187" t="n">
        <f aca="false">$D$109/1000000/12*IF($I$109="Y",BR$56,IF(BR$6&gt;=EOMONTH($H$109,0),1,0))</f>
        <v>0</v>
      </c>
      <c r="BS114" s="187" t="n">
        <f aca="false">$D$109/1000000/12*IF($I$109="Y",BS$56,IF(BS$6&gt;=EOMONTH($H$109,0),1,0))</f>
        <v>0</v>
      </c>
      <c r="BT114" s="187" t="n">
        <f aca="false">$D$109/1000000/12*IF($I$109="Y",BT$56,IF(BT$6&gt;=EOMONTH($H$109,0),1,0))</f>
        <v>0</v>
      </c>
      <c r="BU114" s="187" t="n">
        <f aca="false">$D$109/1000000/12*IF($I$109="Y",BU$56,IF(BU$6&gt;=EOMONTH($H$109,0),1,0))</f>
        <v>0</v>
      </c>
      <c r="BV114" s="187" t="n">
        <f aca="false">$D$109/1000000/12*IF($I$109="Y",BV$56,IF(BV$6&gt;=EOMONTH($H$109,0),1,0))</f>
        <v>0</v>
      </c>
      <c r="BW114" s="187" t="n">
        <f aca="false">$D$109/1000000/12*IF($I$109="Y",BW$56,IF(BW$6&gt;=EOMONTH($H$109,0),1,0))</f>
        <v>0</v>
      </c>
      <c r="BX114" s="187" t="n">
        <f aca="false">$D$109/1000000/12*IF($I$109="Y",BX$56,IF(BX$6&gt;=EOMONTH($H$109,0),1,0))</f>
        <v>0</v>
      </c>
      <c r="BY114" s="187" t="n">
        <f aca="false">$D$109/1000000/12*IF($I$109="Y",BY$56,IF(BY$6&gt;=EOMONTH($H$109,0),1,0))</f>
        <v>0</v>
      </c>
      <c r="BZ114" s="187" t="n">
        <f aca="false">$D$109/1000000/12*IF($I$109="Y",BZ$56,IF(BZ$6&gt;=EOMONTH($H$109,0),1,0))</f>
        <v>0</v>
      </c>
      <c r="CA114" s="187" t="n">
        <f aca="false">$D$109/1000000/12*IF($I$109="Y",CA$56,IF(CA$6&gt;=EOMONTH($H$109,0),1,0))</f>
        <v>0</v>
      </c>
    </row>
    <row r="115" customFormat="false" ht="15" hidden="false" customHeight="false" outlineLevel="0" collapsed="false">
      <c r="B115" s="10" t="s">
        <v>385</v>
      </c>
      <c r="K115" s="187" t="n">
        <f aca="false">SUMIFS($T115:$CA115,$T$5:$CA$5,2030)</f>
        <v>0</v>
      </c>
      <c r="L115" s="187" t="n">
        <f aca="false">SUMIFS($T115:$CA115,$T$5:$CA$5,2026)</f>
        <v>0</v>
      </c>
      <c r="M115" s="187" t="n">
        <f aca="false">SUMIFS($T115:$CA115,$T$5:$CA$5,2027)</f>
        <v>0</v>
      </c>
      <c r="N115" s="187" t="n">
        <f aca="false">SUMIFS($T115:$CA115,$T$5:$CA$5,2028)</f>
        <v>0</v>
      </c>
      <c r="O115" s="187" t="n">
        <f aca="false">SUMIFS($T115:$CA115,$T$5:$CA$5,2029)</f>
        <v>0</v>
      </c>
      <c r="P115" s="187" t="n">
        <f aca="false">SUMIFS($T115:$CA115,$T$5:$CA$5,2030)</f>
        <v>0</v>
      </c>
      <c r="T115" s="187" t="n">
        <f aca="false">$D$110/1000000/12*IF($I$110="Y",T$56,IF(T$6&gt;=EOMONTH($H$110,0),1,0))</f>
        <v>0</v>
      </c>
      <c r="U115" s="187" t="n">
        <f aca="false">$D$110/1000000/12*IF($I$110="Y",U$56,IF(U$6&gt;=EOMONTH($H$110,0),1,0))</f>
        <v>0</v>
      </c>
      <c r="V115" s="187" t="n">
        <f aca="false">$D$110/1000000/12*IF($I$110="Y",V$56,IF(V$6&gt;=EOMONTH($H$110,0),1,0))</f>
        <v>0</v>
      </c>
      <c r="W115" s="187" t="n">
        <f aca="false">$D$110/1000000/12*IF($I$110="Y",W$56,IF(W$6&gt;=EOMONTH($H$110,0),1,0))</f>
        <v>0</v>
      </c>
      <c r="X115" s="187" t="n">
        <f aca="false">$D$110/1000000/12*IF($I$110="Y",X$56,IF(X$6&gt;=EOMONTH($H$110,0),1,0))</f>
        <v>0</v>
      </c>
      <c r="Y115" s="187" t="n">
        <f aca="false">$D$110/1000000/12*IF($I$110="Y",Y$56,IF(Y$6&gt;=EOMONTH($H$110,0),1,0))</f>
        <v>0</v>
      </c>
      <c r="Z115" s="187" t="n">
        <f aca="false">$D$110/1000000/12*IF($I$110="Y",Z$56,IF(Z$6&gt;=EOMONTH($H$110,0),1,0))</f>
        <v>0</v>
      </c>
      <c r="AA115" s="187" t="n">
        <f aca="false">$D$110/1000000/12*IF($I$110="Y",AA$56,IF(AA$6&gt;=EOMONTH($H$110,0),1,0))</f>
        <v>0</v>
      </c>
      <c r="AB115" s="187" t="n">
        <f aca="false">$D$110/1000000/12*IF($I$110="Y",AB$56,IF(AB$6&gt;=EOMONTH($H$110,0),1,0))</f>
        <v>0</v>
      </c>
      <c r="AC115" s="187" t="n">
        <f aca="false">$D$110/1000000/12*IF($I$110="Y",AC$56,IF(AC$6&gt;=EOMONTH($H$110,0),1,0))</f>
        <v>0</v>
      </c>
      <c r="AD115" s="187" t="n">
        <f aca="false">$D$110/1000000/12*IF($I$110="Y",AD$56,IF(AD$6&gt;=EOMONTH($H$110,0),1,0))</f>
        <v>0</v>
      </c>
      <c r="AE115" s="187" t="n">
        <f aca="false">$D$110/1000000/12*IF($I$110="Y",AE$56,IF(AE$6&gt;=EOMONTH($H$110,0),1,0))</f>
        <v>0</v>
      </c>
      <c r="AF115" s="187" t="n">
        <f aca="false">$D$110/1000000/12*IF($I$110="Y",AF$56,IF(AF$6&gt;=EOMONTH($H$110,0),1,0))</f>
        <v>0</v>
      </c>
      <c r="AG115" s="187" t="n">
        <f aca="false">$D$110/1000000/12*IF($I$110="Y",AG$56,IF(AG$6&gt;=EOMONTH($H$110,0),1,0))</f>
        <v>0</v>
      </c>
      <c r="AH115" s="187" t="n">
        <f aca="false">$D$110/1000000/12*IF($I$110="Y",AH$56,IF(AH$6&gt;=EOMONTH($H$110,0),1,0))</f>
        <v>0</v>
      </c>
      <c r="AI115" s="187" t="n">
        <f aca="false">$D$110/1000000/12*IF($I$110="Y",AI$56,IF(AI$6&gt;=EOMONTH($H$110,0),1,0))</f>
        <v>0</v>
      </c>
      <c r="AJ115" s="187" t="n">
        <f aca="false">$D$110/1000000/12*IF($I$110="Y",AJ$56,IF(AJ$6&gt;=EOMONTH($H$110,0),1,0))</f>
        <v>0</v>
      </c>
      <c r="AK115" s="187" t="n">
        <f aca="false">$D$110/1000000/12*IF($I$110="Y",AK$56,IF(AK$6&gt;=EOMONTH($H$110,0),1,0))</f>
        <v>0</v>
      </c>
      <c r="AL115" s="187" t="n">
        <f aca="false">$D$110/1000000/12*IF($I$110="Y",AL$56,IF(AL$6&gt;=EOMONTH($H$110,0),1,0))</f>
        <v>0</v>
      </c>
      <c r="AM115" s="187" t="n">
        <f aca="false">$D$110/1000000/12*IF($I$110="Y",AM$56,IF(AM$6&gt;=EOMONTH($H$110,0),1,0))</f>
        <v>0</v>
      </c>
      <c r="AN115" s="187" t="n">
        <f aca="false">$D$110/1000000/12*IF($I$110="Y",AN$56,IF(AN$6&gt;=EOMONTH($H$110,0),1,0))</f>
        <v>0</v>
      </c>
      <c r="AO115" s="187" t="n">
        <f aca="false">$D$110/1000000/12*IF($I$110="Y",AO$56,IF(AO$6&gt;=EOMONTH($H$110,0),1,0))</f>
        <v>0</v>
      </c>
      <c r="AP115" s="187" t="n">
        <f aca="false">$D$110/1000000/12*IF($I$110="Y",AP$56,IF(AP$6&gt;=EOMONTH($H$110,0),1,0))</f>
        <v>0</v>
      </c>
      <c r="AQ115" s="187" t="n">
        <f aca="false">$D$110/1000000/12*IF($I$110="Y",AQ$56,IF(AQ$6&gt;=EOMONTH($H$110,0),1,0))</f>
        <v>0</v>
      </c>
      <c r="AR115" s="187" t="n">
        <f aca="false">$D$110/1000000/12*IF($I$110="Y",AR$56,IF(AR$6&gt;=EOMONTH($H$110,0),1,0))</f>
        <v>0</v>
      </c>
      <c r="AS115" s="187" t="n">
        <f aca="false">$D$110/1000000/12*IF($I$110="Y",AS$56,IF(AS$6&gt;=EOMONTH($H$110,0),1,0))</f>
        <v>0</v>
      </c>
      <c r="AT115" s="187" t="n">
        <f aca="false">$D$110/1000000/12*IF($I$110="Y",AT$56,IF(AT$6&gt;=EOMONTH($H$110,0),1,0))</f>
        <v>0</v>
      </c>
      <c r="AU115" s="187" t="n">
        <f aca="false">$D$110/1000000/12*IF($I$110="Y",AU$56,IF(AU$6&gt;=EOMONTH($H$110,0),1,0))</f>
        <v>0</v>
      </c>
      <c r="AV115" s="187" t="n">
        <f aca="false">$D$110/1000000/12*IF($I$110="Y",AV$56,IF(AV$6&gt;=EOMONTH($H$110,0),1,0))</f>
        <v>0</v>
      </c>
      <c r="AW115" s="187" t="n">
        <f aca="false">$D$110/1000000/12*IF($I$110="Y",AW$56,IF(AW$6&gt;=EOMONTH($H$110,0),1,0))</f>
        <v>0</v>
      </c>
      <c r="AX115" s="187" t="n">
        <f aca="false">$D$110/1000000/12*IF($I$110="Y",AX$56,IF(AX$6&gt;=EOMONTH($H$110,0),1,0))</f>
        <v>0</v>
      </c>
      <c r="AY115" s="187" t="n">
        <f aca="false">$D$110/1000000/12*IF($I$110="Y",AY$56,IF(AY$6&gt;=EOMONTH($H$110,0),1,0))</f>
        <v>0</v>
      </c>
      <c r="AZ115" s="187" t="n">
        <f aca="false">$D$110/1000000/12*IF($I$110="Y",AZ$56,IF(AZ$6&gt;=EOMONTH($H$110,0),1,0))</f>
        <v>0</v>
      </c>
      <c r="BA115" s="187" t="n">
        <f aca="false">$D$110/1000000/12*IF($I$110="Y",BA$56,IF(BA$6&gt;=EOMONTH($H$110,0),1,0))</f>
        <v>0</v>
      </c>
      <c r="BB115" s="187" t="n">
        <f aca="false">$D$110/1000000/12*IF($I$110="Y",BB$56,IF(BB$6&gt;=EOMONTH($H$110,0),1,0))</f>
        <v>0</v>
      </c>
      <c r="BC115" s="187" t="n">
        <f aca="false">$D$110/1000000/12*IF($I$110="Y",BC$56,IF(BC$6&gt;=EOMONTH($H$110,0),1,0))</f>
        <v>0</v>
      </c>
      <c r="BD115" s="187" t="n">
        <f aca="false">$D$110/1000000/12*IF($I$110="Y",BD$56,IF(BD$6&gt;=EOMONTH($H$110,0),1,0))</f>
        <v>0</v>
      </c>
      <c r="BE115" s="187" t="n">
        <f aca="false">$D$110/1000000/12*IF($I$110="Y",BE$56,IF(BE$6&gt;=EOMONTH($H$110,0),1,0))</f>
        <v>0</v>
      </c>
      <c r="BF115" s="187" t="n">
        <f aca="false">$D$110/1000000/12*IF($I$110="Y",BF$56,IF(BF$6&gt;=EOMONTH($H$110,0),1,0))</f>
        <v>0</v>
      </c>
      <c r="BG115" s="187" t="n">
        <f aca="false">$D$110/1000000/12*IF($I$110="Y",BG$56,IF(BG$6&gt;=EOMONTH($H$110,0),1,0))</f>
        <v>0</v>
      </c>
      <c r="BH115" s="187" t="n">
        <f aca="false">$D$110/1000000/12*IF($I$110="Y",BH$56,IF(BH$6&gt;=EOMONTH($H$110,0),1,0))</f>
        <v>0</v>
      </c>
      <c r="BI115" s="187" t="n">
        <f aca="false">$D$110/1000000/12*IF($I$110="Y",BI$56,IF(BI$6&gt;=EOMONTH($H$110,0),1,0))</f>
        <v>0</v>
      </c>
      <c r="BJ115" s="187" t="n">
        <f aca="false">$D$110/1000000/12*IF($I$110="Y",BJ$56,IF(BJ$6&gt;=EOMONTH($H$110,0),1,0))</f>
        <v>0</v>
      </c>
      <c r="BK115" s="187" t="n">
        <f aca="false">$D$110/1000000/12*IF($I$110="Y",BK$56,IF(BK$6&gt;=EOMONTH($H$110,0),1,0))</f>
        <v>0</v>
      </c>
      <c r="BL115" s="187" t="n">
        <f aca="false">$D$110/1000000/12*IF($I$110="Y",BL$56,IF(BL$6&gt;=EOMONTH($H$110,0),1,0))</f>
        <v>0</v>
      </c>
      <c r="BM115" s="187" t="n">
        <f aca="false">$D$110/1000000/12*IF($I$110="Y",BM$56,IF(BM$6&gt;=EOMONTH($H$110,0),1,0))</f>
        <v>0</v>
      </c>
      <c r="BN115" s="187" t="n">
        <f aca="false">$D$110/1000000/12*IF($I$110="Y",BN$56,IF(BN$6&gt;=EOMONTH($H$110,0),1,0))</f>
        <v>0</v>
      </c>
      <c r="BO115" s="187" t="n">
        <f aca="false">$D$110/1000000/12*IF($I$110="Y",BO$56,IF(BO$6&gt;=EOMONTH($H$110,0),1,0))</f>
        <v>0</v>
      </c>
      <c r="BP115" s="187" t="n">
        <f aca="false">$D$110/1000000/12*IF($I$110="Y",BP$56,IF(BP$6&gt;=EOMONTH($H$110,0),1,0))</f>
        <v>0</v>
      </c>
      <c r="BQ115" s="187" t="n">
        <f aca="false">$D$110/1000000/12*IF($I$110="Y",BQ$56,IF(BQ$6&gt;=EOMONTH($H$110,0),1,0))</f>
        <v>0</v>
      </c>
      <c r="BR115" s="187" t="n">
        <f aca="false">$D$110/1000000/12*IF($I$110="Y",BR$56,IF(BR$6&gt;=EOMONTH($H$110,0),1,0))</f>
        <v>0</v>
      </c>
      <c r="BS115" s="187" t="n">
        <f aca="false">$D$110/1000000/12*IF($I$110="Y",BS$56,IF(BS$6&gt;=EOMONTH($H$110,0),1,0))</f>
        <v>0</v>
      </c>
      <c r="BT115" s="187" t="n">
        <f aca="false">$D$110/1000000/12*IF($I$110="Y",BT$56,IF(BT$6&gt;=EOMONTH($H$110,0),1,0))</f>
        <v>0</v>
      </c>
      <c r="BU115" s="187" t="n">
        <f aca="false">$D$110/1000000/12*IF($I$110="Y",BU$56,IF(BU$6&gt;=EOMONTH($H$110,0),1,0))</f>
        <v>0</v>
      </c>
      <c r="BV115" s="187" t="n">
        <f aca="false">$D$110/1000000/12*IF($I$110="Y",BV$56,IF(BV$6&gt;=EOMONTH($H$110,0),1,0))</f>
        <v>0</v>
      </c>
      <c r="BW115" s="187" t="n">
        <f aca="false">$D$110/1000000/12*IF($I$110="Y",BW$56,IF(BW$6&gt;=EOMONTH($H$110,0),1,0))</f>
        <v>0</v>
      </c>
      <c r="BX115" s="187" t="n">
        <f aca="false">$D$110/1000000/12*IF($I$110="Y",BX$56,IF(BX$6&gt;=EOMONTH($H$110,0),1,0))</f>
        <v>0</v>
      </c>
      <c r="BY115" s="187" t="n">
        <f aca="false">$D$110/1000000/12*IF($I$110="Y",BY$56,IF(BY$6&gt;=EOMONTH($H$110,0),1,0))</f>
        <v>0</v>
      </c>
      <c r="BZ115" s="187" t="n">
        <f aca="false">$D$110/1000000/12*IF($I$110="Y",BZ$56,IF(BZ$6&gt;=EOMONTH($H$110,0),1,0))</f>
        <v>0</v>
      </c>
      <c r="CA115" s="187" t="n">
        <f aca="false">$D$110/1000000/12*IF($I$110="Y",CA$56,IF(CA$6&gt;=EOMONTH($H$110,0),1,0))</f>
        <v>0</v>
      </c>
    </row>
    <row r="116" customFormat="false" ht="15" hidden="false" customHeight="false" outlineLevel="0" collapsed="false">
      <c r="B116" s="3" t="s">
        <v>386</v>
      </c>
      <c r="K116" s="187" t="n">
        <f aca="false">SUM(K113:K115)</f>
        <v>0</v>
      </c>
      <c r="L116" s="187" t="n">
        <f aca="false">SUM(L113:L115)</f>
        <v>0</v>
      </c>
      <c r="M116" s="187" t="n">
        <f aca="false">SUM(M113:M115)</f>
        <v>0</v>
      </c>
      <c r="N116" s="187" t="n">
        <f aca="false">SUM(N113:N115)</f>
        <v>0</v>
      </c>
      <c r="O116" s="187" t="n">
        <f aca="false">SUM(O113:O115)</f>
        <v>0</v>
      </c>
      <c r="P116" s="187" t="n">
        <f aca="false">SUM(P113:P115)</f>
        <v>0</v>
      </c>
    </row>
    <row r="118" customFormat="false" ht="18" hidden="false" customHeight="true" outlineLevel="0" collapsed="false">
      <c r="B118" s="5" t="s">
        <v>387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20" customFormat="false" ht="15" hidden="false" customHeight="false" outlineLevel="0" collapsed="false">
      <c r="B120" s="193" t="s">
        <v>491</v>
      </c>
      <c r="F120" s="195" t="s">
        <v>389</v>
      </c>
    </row>
    <row r="121" customFormat="false" ht="15" hidden="false" customHeight="false" outlineLevel="0" collapsed="false">
      <c r="B121" s="193" t="s">
        <v>492</v>
      </c>
      <c r="F121" s="195" t="s">
        <v>391</v>
      </c>
    </row>
    <row r="122" customFormat="false" ht="15" hidden="false" customHeight="false" outlineLevel="0" collapsed="false">
      <c r="B122" s="193" t="s">
        <v>493</v>
      </c>
      <c r="F122" s="195" t="s">
        <v>393</v>
      </c>
    </row>
    <row r="123" customFormat="false" ht="15" hidden="false" customHeight="false" outlineLevel="0" collapsed="false">
      <c r="B123" s="193" t="s">
        <v>494</v>
      </c>
      <c r="F123" s="195" t="s">
        <v>395</v>
      </c>
    </row>
    <row r="124" customFormat="false" ht="15" hidden="false" customHeight="false" outlineLevel="0" collapsed="false">
      <c r="B124" s="193" t="s">
        <v>495</v>
      </c>
      <c r="F124" s="195" t="s">
        <v>397</v>
      </c>
    </row>
    <row r="125" customFormat="false" ht="15" hidden="false" customHeight="false" outlineLevel="0" collapsed="false">
      <c r="B125" s="193" t="s">
        <v>496</v>
      </c>
      <c r="F125" s="195" t="s">
        <v>399</v>
      </c>
    </row>
    <row r="126" customFormat="false" ht="15" hidden="false" customHeight="false" outlineLevel="0" collapsed="false">
      <c r="B126" s="193" t="s">
        <v>497</v>
      </c>
      <c r="F126" s="195" t="s">
        <v>401</v>
      </c>
    </row>
    <row r="127" customFormat="false" ht="15" hidden="false" customHeight="false" outlineLevel="0" collapsed="false">
      <c r="B127" s="193" t="s">
        <v>498</v>
      </c>
      <c r="F127" s="195" t="s">
        <v>403</v>
      </c>
    </row>
    <row r="128" customFormat="false" ht="15" hidden="false" customHeight="false" outlineLevel="0" collapsed="false">
      <c r="B128" s="193" t="s">
        <v>499</v>
      </c>
      <c r="F128" s="195" t="s">
        <v>405</v>
      </c>
    </row>
    <row r="129" customFormat="false" ht="15" hidden="false" customHeight="false" outlineLevel="0" collapsed="false">
      <c r="B129" s="193" t="s">
        <v>500</v>
      </c>
      <c r="F129" s="195" t="s">
        <v>407</v>
      </c>
    </row>
    <row r="131" customFormat="false" ht="18" hidden="false" customHeight="true" outlineLevel="0" collapsed="false">
      <c r="B131" s="5" t="s">
        <v>408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</sheetData>
  <mergeCells count="3">
    <mergeCell ref="D10:H10"/>
    <mergeCell ref="D11:H11"/>
    <mergeCell ref="D12:H12"/>
  </mergeCells>
  <dataValidations count="1">
    <dataValidation allowBlank="true" errorStyle="stop" operator="between" showDropDown="false" showErrorMessage="false" showInputMessage="false" sqref="I108:I11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#TBD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53</v>
      </c>
      <c r="F6" s="22" t="s">
        <v>409</v>
      </c>
      <c r="G6" s="23"/>
      <c r="Q6" s="16"/>
      <c r="R6" s="16"/>
    </row>
    <row r="7" customFormat="false" ht="16.5" hidden="false" customHeight="true" outlineLevel="0" collapsed="false">
      <c r="D7" s="21" t="s">
        <v>54</v>
      </c>
      <c r="F7" s="196" t="s">
        <v>250</v>
      </c>
      <c r="G7" s="197"/>
      <c r="I7" s="14"/>
      <c r="J7" s="14"/>
      <c r="K7" s="14"/>
    </row>
    <row r="8" s="14" customFormat="true" ht="16.5" hidden="false" customHeight="true" outlineLevel="0" collapsed="false">
      <c r="D8" s="21" t="s">
        <v>56</v>
      </c>
      <c r="F8" s="26" t="s">
        <v>436</v>
      </c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60</v>
      </c>
      <c r="F11" s="198" t="n">
        <f aca="false">'SALES-2 Model'!$D$13</f>
        <v>46478</v>
      </c>
      <c r="M11" s="21"/>
      <c r="Q11" s="16"/>
      <c r="R11" s="16"/>
    </row>
    <row r="12" s="14" customFormat="true" ht="16.5" hidden="false" customHeight="true" outlineLevel="0" collapsed="false">
      <c r="D12" s="21" t="s">
        <v>61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62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410</v>
      </c>
    </row>
    <row r="17" s="14" customFormat="true" ht="17.25" hidden="false" customHeight="true" outlineLevel="0" collapsed="false">
      <c r="D17" s="32" t="s">
        <v>68</v>
      </c>
      <c r="E17" s="33"/>
      <c r="F17" s="33"/>
      <c r="G17" s="33"/>
      <c r="H17" s="32" t="s">
        <v>69</v>
      </c>
      <c r="I17" s="32" t="s">
        <v>70</v>
      </c>
      <c r="J17" s="34" t="s">
        <v>71</v>
      </c>
    </row>
    <row r="18" s="14" customFormat="true" ht="17.25" hidden="false" customHeight="true" outlineLevel="0" collapsed="false">
      <c r="D18" s="33"/>
      <c r="E18" s="33" t="s">
        <v>501</v>
      </c>
      <c r="F18" s="33"/>
      <c r="G18" s="36"/>
      <c r="H18" s="199" t="s">
        <v>412</v>
      </c>
      <c r="I18" s="37" t="s">
        <v>93</v>
      </c>
      <c r="J18" s="200" t="n">
        <f aca="false">'SALES-2 Model'!$D$27/1000000</f>
        <v>0</v>
      </c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502</v>
      </c>
      <c r="F19" s="33"/>
      <c r="G19" s="36"/>
      <c r="H19" s="199" t="s">
        <v>412</v>
      </c>
      <c r="I19" s="37" t="s">
        <v>93</v>
      </c>
      <c r="J19" s="200" t="n">
        <f aca="false">'SALES-2 Model'!$D$29/1000000</f>
        <v>0</v>
      </c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503</v>
      </c>
      <c r="F20" s="33"/>
      <c r="G20" s="36"/>
      <c r="H20" s="199" t="s">
        <v>412</v>
      </c>
      <c r="I20" s="37" t="s">
        <v>268</v>
      </c>
      <c r="J20" s="233" t="n">
        <f aca="false">'SALES-2 Model'!$D$28</f>
        <v>0</v>
      </c>
      <c r="L20" s="203"/>
      <c r="P20" s="16"/>
      <c r="Q20" s="35"/>
      <c r="R20" s="16"/>
    </row>
    <row r="21" s="14" customFormat="true" ht="17.25" hidden="false" customHeight="true" outlineLevel="0" collapsed="false">
      <c r="D21" s="33"/>
      <c r="E21" s="40"/>
      <c r="F21" s="40"/>
      <c r="G21" s="41"/>
      <c r="H21" s="204"/>
      <c r="I21" s="42"/>
      <c r="J21" s="55"/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95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504</v>
      </c>
      <c r="F24" s="33"/>
      <c r="G24" s="36"/>
      <c r="H24" s="33" t="s">
        <v>417</v>
      </c>
      <c r="I24" s="37" t="s">
        <v>268</v>
      </c>
      <c r="J24" s="206" t="n">
        <f aca="false">'SALES-2 Model'!$D$34*'SALES-2 Model'!$D$35</f>
        <v>0</v>
      </c>
      <c r="Q24" s="16"/>
      <c r="R24" s="16"/>
    </row>
    <row r="25" s="14" customFormat="true" ht="17.25" hidden="false" customHeight="true" outlineLevel="0" collapsed="false">
      <c r="D25" s="33"/>
      <c r="E25" s="33" t="s">
        <v>505</v>
      </c>
      <c r="F25" s="33"/>
      <c r="G25" s="36"/>
      <c r="H25" s="33" t="s">
        <v>417</v>
      </c>
      <c r="I25" s="37" t="s">
        <v>268</v>
      </c>
      <c r="J25" s="206" t="n">
        <f aca="false">'SALES-2 Model'!$D$36*'SALES-2 Model'!$D$37</f>
        <v>0.108</v>
      </c>
      <c r="Q25" s="16"/>
      <c r="R25" s="16"/>
    </row>
    <row r="26" s="14" customFormat="true" ht="17.25" hidden="false" customHeight="true" outlineLevel="0" collapsed="false">
      <c r="D26" s="33"/>
      <c r="E26" s="40"/>
      <c r="F26" s="40"/>
      <c r="G26" s="41"/>
      <c r="H26" s="40"/>
      <c r="I26" s="42"/>
      <c r="J26" s="55"/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102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7" t="s">
        <v>420</v>
      </c>
      <c r="F29" s="40"/>
      <c r="G29" s="41"/>
      <c r="H29" s="40"/>
      <c r="I29" s="42" t="s">
        <v>93</v>
      </c>
      <c r="J29" s="208" t="n">
        <f aca="false">('SALES-2 Model'!$D$49+'SALES-2 Model'!$D$50+'SALES-2 Model'!$D$51)/1000000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/>
      <c r="E31" s="33"/>
      <c r="F31" s="33"/>
      <c r="G31" s="33"/>
      <c r="H31" s="32"/>
      <c r="I31" s="42"/>
      <c r="J31" s="34"/>
      <c r="Q31" s="16"/>
      <c r="R31" s="16"/>
    </row>
    <row r="32" s="14" customFormat="true" ht="17.25" hidden="true" customHeight="true" outlineLevel="1" collapsed="false">
      <c r="D32" s="33"/>
      <c r="E32" s="33"/>
      <c r="F32" s="33"/>
      <c r="G32" s="36"/>
      <c r="H32" s="199"/>
      <c r="I32" s="37"/>
      <c r="J32" s="38"/>
      <c r="Q32" s="16"/>
      <c r="R32" s="16"/>
    </row>
    <row r="33" s="14" customFormat="true" ht="17.25" hidden="true" customHeight="true" outlineLevel="1" collapsed="false">
      <c r="D33" s="33"/>
      <c r="E33" s="33"/>
      <c r="F33" s="33"/>
      <c r="G33" s="36"/>
      <c r="H33" s="33"/>
      <c r="I33" s="37"/>
      <c r="J33" s="39"/>
      <c r="Q33" s="16"/>
      <c r="R33" s="16"/>
    </row>
    <row r="34" s="14" customFormat="true" ht="17.25" hidden="true" customHeight="true" outlineLevel="1" collapsed="false">
      <c r="D34" s="33"/>
      <c r="E34" s="40"/>
      <c r="F34" s="40"/>
      <c r="G34" s="41"/>
      <c r="H34" s="40"/>
      <c r="I34" s="42"/>
      <c r="J34" s="53"/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/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/>
      <c r="F37" s="33"/>
      <c r="G37" s="36"/>
      <c r="H37" s="33"/>
      <c r="I37" s="37"/>
      <c r="J37" s="54"/>
      <c r="Q37" s="16"/>
      <c r="R37" s="16"/>
    </row>
    <row r="38" s="14" customFormat="true" ht="17.25" hidden="true" customHeight="true" outlineLevel="1" collapsed="false">
      <c r="D38" s="33"/>
      <c r="E38" s="33"/>
      <c r="F38" s="33"/>
      <c r="G38" s="36"/>
      <c r="H38" s="33"/>
      <c r="I38" s="37"/>
      <c r="J38" s="44"/>
      <c r="Q38" s="16"/>
      <c r="R38" s="16"/>
    </row>
    <row r="39" s="14" customFormat="true" ht="17.25" hidden="true" customHeight="true" outlineLevel="1" collapsed="false">
      <c r="D39" s="33"/>
      <c r="E39" s="40"/>
      <c r="F39" s="40"/>
      <c r="G39" s="41"/>
      <c r="H39" s="40"/>
      <c r="I39" s="42"/>
      <c r="J39" s="53"/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/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/>
      <c r="F42" s="46"/>
      <c r="G42" s="36"/>
      <c r="H42" s="46"/>
      <c r="I42" s="37"/>
      <c r="J42" s="52"/>
      <c r="Q42" s="16"/>
      <c r="R42" s="16"/>
    </row>
    <row r="43" s="14" customFormat="true" ht="17.25" hidden="true" customHeight="true" outlineLevel="1" collapsed="false">
      <c r="D43" s="32"/>
      <c r="E43" s="33"/>
      <c r="F43" s="46"/>
      <c r="G43" s="36"/>
      <c r="H43" s="46"/>
      <c r="I43" s="37"/>
      <c r="J43" s="55"/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/>
      <c r="E45" s="33"/>
      <c r="F45" s="33"/>
      <c r="G45" s="33"/>
      <c r="H45" s="32"/>
      <c r="I45" s="32"/>
      <c r="J45" s="34"/>
      <c r="Q45" s="16"/>
      <c r="R45" s="16"/>
    </row>
    <row r="46" s="14" customFormat="true" ht="17.25" hidden="true" customHeight="true" outlineLevel="1" collapsed="false">
      <c r="D46" s="33"/>
      <c r="E46" s="33"/>
      <c r="F46" s="33"/>
      <c r="G46" s="36"/>
      <c r="H46" s="33"/>
      <c r="I46" s="37"/>
      <c r="J46" s="38"/>
      <c r="Q46" s="16"/>
      <c r="R46" s="16"/>
    </row>
    <row r="47" s="14" customFormat="true" ht="17.25" hidden="true" customHeight="true" outlineLevel="1" collapsed="false">
      <c r="D47" s="33"/>
      <c r="E47" s="33"/>
      <c r="F47" s="33"/>
      <c r="G47" s="36"/>
      <c r="H47" s="33"/>
      <c r="I47" s="37"/>
      <c r="J47" s="39"/>
      <c r="Q47" s="16"/>
      <c r="R47" s="16"/>
    </row>
    <row r="48" s="14" customFormat="true" ht="17.25" hidden="true" customHeight="true" outlineLevel="1" collapsed="false">
      <c r="D48" s="33"/>
      <c r="E48" s="40"/>
      <c r="F48" s="40"/>
      <c r="G48" s="41"/>
      <c r="H48" s="40"/>
      <c r="I48" s="42"/>
      <c r="J48" s="53"/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/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/>
      <c r="F51" s="33"/>
      <c r="G51" s="36"/>
      <c r="H51" s="33"/>
      <c r="I51" s="37"/>
      <c r="J51" s="54"/>
      <c r="Q51" s="16"/>
      <c r="R51" s="16"/>
    </row>
    <row r="52" s="14" customFormat="true" ht="17.25" hidden="true" customHeight="true" outlineLevel="1" collapsed="false">
      <c r="D52" s="33"/>
      <c r="E52" s="33"/>
      <c r="F52" s="33"/>
      <c r="G52" s="36"/>
      <c r="H52" s="33"/>
      <c r="I52" s="37"/>
      <c r="J52" s="44"/>
      <c r="Q52" s="16"/>
      <c r="R52" s="16"/>
    </row>
    <row r="53" s="14" customFormat="true" ht="17.25" hidden="true" customHeight="true" outlineLevel="1" collapsed="false">
      <c r="D53" s="33"/>
      <c r="E53" s="40"/>
      <c r="F53" s="40"/>
      <c r="G53" s="41"/>
      <c r="H53" s="40"/>
      <c r="I53" s="42"/>
      <c r="J53" s="53"/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/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/>
      <c r="F56" s="46"/>
      <c r="G56" s="36"/>
      <c r="H56" s="46"/>
      <c r="I56" s="37"/>
      <c r="J56" s="52"/>
      <c r="Q56" s="16"/>
      <c r="R56" s="16"/>
    </row>
    <row r="57" s="14" customFormat="true" ht="17.25" hidden="true" customHeight="true" outlineLevel="1" collapsed="false">
      <c r="D57" s="32"/>
      <c r="E57" s="33"/>
      <c r="F57" s="46"/>
      <c r="G57" s="36"/>
      <c r="H57" s="46"/>
      <c r="I57" s="37"/>
      <c r="J57" s="55"/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118</v>
      </c>
      <c r="CD60" s="19"/>
      <c r="CE60" s="19"/>
      <c r="CF60" s="19"/>
      <c r="CG60" s="19"/>
      <c r="CI60" s="19" t="s">
        <v>119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9"/>
      <c r="CD62" s="130"/>
      <c r="CE62" s="130"/>
      <c r="CF62" s="130"/>
      <c r="CG62" s="130"/>
      <c r="CI62" s="209" t="s">
        <v>421</v>
      </c>
      <c r="CJ62" s="209"/>
      <c r="CK62" s="209"/>
      <c r="CL62" s="209"/>
      <c r="CM62" s="209"/>
    </row>
    <row r="63" s="14" customFormat="true" ht="16.5" hidden="false" customHeight="true" outlineLevel="0" collapsed="false">
      <c r="D63" s="30" t="s">
        <v>120</v>
      </c>
      <c r="E63" s="31"/>
      <c r="F63" s="31"/>
      <c r="G63" s="31"/>
      <c r="H63" s="30" t="s">
        <v>121</v>
      </c>
      <c r="I63" s="31" t="s">
        <v>68</v>
      </c>
      <c r="J63" s="31" t="s">
        <v>95</v>
      </c>
      <c r="K63" s="31" t="s">
        <v>122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123</v>
      </c>
      <c r="R63" s="31" t="s">
        <v>66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93</v>
      </c>
      <c r="H64" s="16"/>
      <c r="I64" s="65" t="str">
        <f aca="false">$H$18</f>
        <v>TTM 6/1/26</v>
      </c>
      <c r="J64" s="65" t="s">
        <v>125</v>
      </c>
      <c r="K64" s="65" t="s">
        <v>126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127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 t="s">
        <v>506</v>
      </c>
      <c r="H66" s="71" t="s">
        <v>507</v>
      </c>
      <c r="I66" s="210" t="n">
        <f aca="false">'SALES-2 Model'!$D$62</f>
        <v>0</v>
      </c>
      <c r="J66" s="210" t="n">
        <f aca="false">I66+'SALES-2 Model'!$K$62</f>
        <v>0</v>
      </c>
      <c r="K66" s="211" t="n">
        <f aca="false">'SALES-2 Model'!$K$62</f>
        <v>0</v>
      </c>
      <c r="L66" s="210" t="n">
        <f aca="false">'SALES-2 Model'!L62</f>
        <v>0</v>
      </c>
      <c r="M66" s="210" t="n">
        <f aca="false">'SALES-2 Model'!M62</f>
        <v>0</v>
      </c>
      <c r="N66" s="210" t="n">
        <f aca="false">'SALES-2 Model'!N62</f>
        <v>0</v>
      </c>
      <c r="O66" s="210" t="n">
        <f aca="false">'SALES-2 Model'!O62</f>
        <v>0</v>
      </c>
      <c r="P66" s="212" t="n">
        <f aca="false">'SALES-2 Model'!P62</f>
        <v>0</v>
      </c>
      <c r="Q66" s="75" t="s">
        <v>252</v>
      </c>
      <c r="R66" s="16" t="str">
        <f aca="false">IF(K66=P66, "", "Error")</f>
        <v/>
      </c>
      <c r="T66" s="210" t="n">
        <f aca="false">'SALES-2 Model'!T62</f>
        <v>0</v>
      </c>
      <c r="U66" s="210" t="n">
        <f aca="false">'SALES-2 Model'!U62</f>
        <v>0</v>
      </c>
      <c r="V66" s="210" t="n">
        <f aca="false">'SALES-2 Model'!V62</f>
        <v>0</v>
      </c>
      <c r="W66" s="210" t="n">
        <f aca="false">'SALES-2 Model'!W62</f>
        <v>0</v>
      </c>
      <c r="X66" s="210" t="n">
        <f aca="false">'SALES-2 Model'!X62</f>
        <v>0</v>
      </c>
      <c r="Y66" s="210" t="n">
        <f aca="false">'SALES-2 Model'!Y62</f>
        <v>0</v>
      </c>
      <c r="Z66" s="210" t="n">
        <f aca="false">'SALES-2 Model'!Z62</f>
        <v>0</v>
      </c>
      <c r="AA66" s="210" t="n">
        <f aca="false">'SALES-2 Model'!AA62</f>
        <v>0</v>
      </c>
      <c r="AB66" s="210" t="n">
        <f aca="false">'SALES-2 Model'!AB62</f>
        <v>0</v>
      </c>
      <c r="AC66" s="210" t="n">
        <f aca="false">'SALES-2 Model'!AC62</f>
        <v>0</v>
      </c>
      <c r="AD66" s="210" t="n">
        <f aca="false">'SALES-2 Model'!AD62</f>
        <v>0</v>
      </c>
      <c r="AE66" s="212" t="n">
        <f aca="false">'SALES-2 Model'!AE62</f>
        <v>0</v>
      </c>
      <c r="AF66" s="213" t="n">
        <f aca="false">'SALES-2 Model'!AF62</f>
        <v>0</v>
      </c>
      <c r="AG66" s="210" t="n">
        <f aca="false">'SALES-2 Model'!AG62</f>
        <v>0</v>
      </c>
      <c r="AH66" s="210" t="n">
        <f aca="false">'SALES-2 Model'!AH62</f>
        <v>0</v>
      </c>
      <c r="AI66" s="210" t="n">
        <f aca="false">'SALES-2 Model'!AI62</f>
        <v>0</v>
      </c>
      <c r="AJ66" s="210" t="n">
        <f aca="false">'SALES-2 Model'!AJ62</f>
        <v>0</v>
      </c>
      <c r="AK66" s="210" t="n">
        <f aca="false">'SALES-2 Model'!AK62</f>
        <v>0</v>
      </c>
      <c r="AL66" s="210" t="n">
        <f aca="false">'SALES-2 Model'!AL62</f>
        <v>0</v>
      </c>
      <c r="AM66" s="210" t="n">
        <f aca="false">'SALES-2 Model'!AM62</f>
        <v>0</v>
      </c>
      <c r="AN66" s="210" t="n">
        <f aca="false">'SALES-2 Model'!AN62</f>
        <v>0</v>
      </c>
      <c r="AO66" s="210" t="n">
        <f aca="false">'SALES-2 Model'!AO62</f>
        <v>0</v>
      </c>
      <c r="AP66" s="210" t="n">
        <f aca="false">'SALES-2 Model'!AP62</f>
        <v>0</v>
      </c>
      <c r="AQ66" s="212" t="n">
        <f aca="false">'SALES-2 Model'!AQ62</f>
        <v>0</v>
      </c>
      <c r="AR66" s="213" t="n">
        <f aca="false">'SALES-2 Model'!AR62</f>
        <v>0</v>
      </c>
      <c r="AS66" s="210" t="n">
        <f aca="false">'SALES-2 Model'!AS62</f>
        <v>0</v>
      </c>
      <c r="AT66" s="210" t="n">
        <f aca="false">'SALES-2 Model'!AT62</f>
        <v>0</v>
      </c>
      <c r="AU66" s="210" t="n">
        <f aca="false">'SALES-2 Model'!AU62</f>
        <v>0</v>
      </c>
      <c r="AV66" s="210" t="n">
        <f aca="false">'SALES-2 Model'!AV62</f>
        <v>0</v>
      </c>
      <c r="AW66" s="210" t="n">
        <f aca="false">'SALES-2 Model'!AW62</f>
        <v>0</v>
      </c>
      <c r="AX66" s="210" t="n">
        <f aca="false">'SALES-2 Model'!AX62</f>
        <v>0</v>
      </c>
      <c r="AY66" s="210" t="n">
        <f aca="false">'SALES-2 Model'!AY62</f>
        <v>0</v>
      </c>
      <c r="AZ66" s="210" t="n">
        <f aca="false">'SALES-2 Model'!AZ62</f>
        <v>0</v>
      </c>
      <c r="BA66" s="210" t="n">
        <f aca="false">'SALES-2 Model'!BA62</f>
        <v>0</v>
      </c>
      <c r="BB66" s="210" t="n">
        <f aca="false">'SALES-2 Model'!BB62</f>
        <v>0</v>
      </c>
      <c r="BC66" s="212" t="n">
        <f aca="false">'SALES-2 Model'!BC62</f>
        <v>0</v>
      </c>
      <c r="BD66" s="213" t="n">
        <f aca="false">'SALES-2 Model'!BD62</f>
        <v>0</v>
      </c>
      <c r="BE66" s="210" t="n">
        <f aca="false">'SALES-2 Model'!BE62</f>
        <v>0</v>
      </c>
      <c r="BF66" s="210" t="n">
        <f aca="false">'SALES-2 Model'!BF62</f>
        <v>0</v>
      </c>
      <c r="BG66" s="210" t="n">
        <f aca="false">'SALES-2 Model'!BG62</f>
        <v>0</v>
      </c>
      <c r="BH66" s="210" t="n">
        <f aca="false">'SALES-2 Model'!BH62</f>
        <v>0</v>
      </c>
      <c r="BI66" s="210" t="n">
        <f aca="false">'SALES-2 Model'!BI62</f>
        <v>0</v>
      </c>
      <c r="BJ66" s="210" t="n">
        <f aca="false">'SALES-2 Model'!BJ62</f>
        <v>0</v>
      </c>
      <c r="BK66" s="210" t="n">
        <f aca="false">'SALES-2 Model'!BK62</f>
        <v>0</v>
      </c>
      <c r="BL66" s="210" t="n">
        <f aca="false">'SALES-2 Model'!BL62</f>
        <v>0</v>
      </c>
      <c r="BM66" s="210" t="n">
        <f aca="false">'SALES-2 Model'!BM62</f>
        <v>0</v>
      </c>
      <c r="BN66" s="210" t="n">
        <f aca="false">'SALES-2 Model'!BN62</f>
        <v>0</v>
      </c>
      <c r="BO66" s="212" t="n">
        <f aca="false">'SALES-2 Model'!BO62</f>
        <v>0</v>
      </c>
      <c r="BP66" s="213" t="n">
        <f aca="false">'SALES-2 Model'!BP62</f>
        <v>0</v>
      </c>
      <c r="BQ66" s="210" t="n">
        <f aca="false">'SALES-2 Model'!BQ62</f>
        <v>0</v>
      </c>
      <c r="BR66" s="210" t="n">
        <f aca="false">'SALES-2 Model'!BR62</f>
        <v>0</v>
      </c>
      <c r="BS66" s="210" t="n">
        <f aca="false">'SALES-2 Model'!BS62</f>
        <v>0</v>
      </c>
      <c r="BT66" s="210" t="n">
        <f aca="false">'SALES-2 Model'!BT62</f>
        <v>0</v>
      </c>
      <c r="BU66" s="210" t="n">
        <f aca="false">'SALES-2 Model'!BU62</f>
        <v>0</v>
      </c>
      <c r="BV66" s="210" t="n">
        <f aca="false">'SALES-2 Model'!BV62</f>
        <v>0</v>
      </c>
      <c r="BW66" s="210" t="n">
        <f aca="false">'SALES-2 Model'!BW62</f>
        <v>0</v>
      </c>
      <c r="BX66" s="210" t="n">
        <f aca="false">'SALES-2 Model'!BX62</f>
        <v>0</v>
      </c>
      <c r="BY66" s="210" t="n">
        <f aca="false">'SALES-2 Model'!BY62</f>
        <v>0</v>
      </c>
      <c r="BZ66" s="210" t="n">
        <f aca="false">'SALES-2 Model'!BZ62</f>
        <v>0</v>
      </c>
      <c r="CA66" s="210" t="n">
        <f aca="false">'SALES-2 Model'!CA62</f>
        <v>0</v>
      </c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 t="s">
        <v>508</v>
      </c>
      <c r="H67" s="71" t="s">
        <v>509</v>
      </c>
      <c r="I67" s="210" t="n">
        <f aca="false">'SALES-2 Model'!$D$63</f>
        <v>0</v>
      </c>
      <c r="J67" s="210" t="n">
        <f aca="false">I67+'SALES-2 Model'!$K$63</f>
        <v>0</v>
      </c>
      <c r="K67" s="211" t="n">
        <f aca="false">'SALES-2 Model'!$K$63</f>
        <v>0</v>
      </c>
      <c r="L67" s="210" t="n">
        <f aca="false">'SALES-2 Model'!L63</f>
        <v>0</v>
      </c>
      <c r="M67" s="210" t="n">
        <f aca="false">'SALES-2 Model'!M63</f>
        <v>0</v>
      </c>
      <c r="N67" s="210" t="n">
        <f aca="false">'SALES-2 Model'!N63</f>
        <v>0</v>
      </c>
      <c r="O67" s="210" t="n">
        <f aca="false">'SALES-2 Model'!O63</f>
        <v>0</v>
      </c>
      <c r="P67" s="212" t="n">
        <f aca="false">'SALES-2 Model'!P63</f>
        <v>0</v>
      </c>
      <c r="Q67" s="75" t="s">
        <v>252</v>
      </c>
      <c r="R67" s="16" t="str">
        <f aca="false">IF(K67=P67, "", "Error")</f>
        <v/>
      </c>
      <c r="T67" s="210" t="n">
        <f aca="false">'SALES-2 Model'!T63</f>
        <v>0</v>
      </c>
      <c r="U67" s="210" t="n">
        <f aca="false">'SALES-2 Model'!U63</f>
        <v>0</v>
      </c>
      <c r="V67" s="210" t="n">
        <f aca="false">'SALES-2 Model'!V63</f>
        <v>0</v>
      </c>
      <c r="W67" s="210" t="n">
        <f aca="false">'SALES-2 Model'!W63</f>
        <v>0</v>
      </c>
      <c r="X67" s="210" t="n">
        <f aca="false">'SALES-2 Model'!X63</f>
        <v>0</v>
      </c>
      <c r="Y67" s="210" t="n">
        <f aca="false">'SALES-2 Model'!Y63</f>
        <v>0</v>
      </c>
      <c r="Z67" s="210" t="n">
        <f aca="false">'SALES-2 Model'!Z63</f>
        <v>0</v>
      </c>
      <c r="AA67" s="210" t="n">
        <f aca="false">'SALES-2 Model'!AA63</f>
        <v>0</v>
      </c>
      <c r="AB67" s="210" t="n">
        <f aca="false">'SALES-2 Model'!AB63</f>
        <v>0</v>
      </c>
      <c r="AC67" s="210" t="n">
        <f aca="false">'SALES-2 Model'!AC63</f>
        <v>0</v>
      </c>
      <c r="AD67" s="210" t="n">
        <f aca="false">'SALES-2 Model'!AD63</f>
        <v>0</v>
      </c>
      <c r="AE67" s="212" t="n">
        <f aca="false">'SALES-2 Model'!AE63</f>
        <v>0</v>
      </c>
      <c r="AF67" s="213" t="n">
        <f aca="false">'SALES-2 Model'!AF63</f>
        <v>0</v>
      </c>
      <c r="AG67" s="210" t="n">
        <f aca="false">'SALES-2 Model'!AG63</f>
        <v>0</v>
      </c>
      <c r="AH67" s="210" t="n">
        <f aca="false">'SALES-2 Model'!AH63</f>
        <v>0</v>
      </c>
      <c r="AI67" s="210" t="n">
        <f aca="false">'SALES-2 Model'!AI63</f>
        <v>0</v>
      </c>
      <c r="AJ67" s="210" t="n">
        <f aca="false">'SALES-2 Model'!AJ63</f>
        <v>0</v>
      </c>
      <c r="AK67" s="210" t="n">
        <f aca="false">'SALES-2 Model'!AK63</f>
        <v>0</v>
      </c>
      <c r="AL67" s="210" t="n">
        <f aca="false">'SALES-2 Model'!AL63</f>
        <v>0</v>
      </c>
      <c r="AM67" s="210" t="n">
        <f aca="false">'SALES-2 Model'!AM63</f>
        <v>0</v>
      </c>
      <c r="AN67" s="210" t="n">
        <f aca="false">'SALES-2 Model'!AN63</f>
        <v>0</v>
      </c>
      <c r="AO67" s="210" t="n">
        <f aca="false">'SALES-2 Model'!AO63</f>
        <v>0</v>
      </c>
      <c r="AP67" s="210" t="n">
        <f aca="false">'SALES-2 Model'!AP63</f>
        <v>0</v>
      </c>
      <c r="AQ67" s="212" t="n">
        <f aca="false">'SALES-2 Model'!AQ63</f>
        <v>0</v>
      </c>
      <c r="AR67" s="213" t="n">
        <f aca="false">'SALES-2 Model'!AR63</f>
        <v>0</v>
      </c>
      <c r="AS67" s="210" t="n">
        <f aca="false">'SALES-2 Model'!AS63</f>
        <v>0</v>
      </c>
      <c r="AT67" s="210" t="n">
        <f aca="false">'SALES-2 Model'!AT63</f>
        <v>0</v>
      </c>
      <c r="AU67" s="210" t="n">
        <f aca="false">'SALES-2 Model'!AU63</f>
        <v>0</v>
      </c>
      <c r="AV67" s="210" t="n">
        <f aca="false">'SALES-2 Model'!AV63</f>
        <v>0</v>
      </c>
      <c r="AW67" s="210" t="n">
        <f aca="false">'SALES-2 Model'!AW63</f>
        <v>0</v>
      </c>
      <c r="AX67" s="210" t="n">
        <f aca="false">'SALES-2 Model'!AX63</f>
        <v>0</v>
      </c>
      <c r="AY67" s="210" t="n">
        <f aca="false">'SALES-2 Model'!AY63</f>
        <v>0</v>
      </c>
      <c r="AZ67" s="210" t="n">
        <f aca="false">'SALES-2 Model'!AZ63</f>
        <v>0</v>
      </c>
      <c r="BA67" s="210" t="n">
        <f aca="false">'SALES-2 Model'!BA63</f>
        <v>0</v>
      </c>
      <c r="BB67" s="210" t="n">
        <f aca="false">'SALES-2 Model'!BB63</f>
        <v>0</v>
      </c>
      <c r="BC67" s="212" t="n">
        <f aca="false">'SALES-2 Model'!BC63</f>
        <v>0</v>
      </c>
      <c r="BD67" s="213" t="n">
        <f aca="false">'SALES-2 Model'!BD63</f>
        <v>0</v>
      </c>
      <c r="BE67" s="210" t="n">
        <f aca="false">'SALES-2 Model'!BE63</f>
        <v>0</v>
      </c>
      <c r="BF67" s="210" t="n">
        <f aca="false">'SALES-2 Model'!BF63</f>
        <v>0</v>
      </c>
      <c r="BG67" s="210" t="n">
        <f aca="false">'SALES-2 Model'!BG63</f>
        <v>0</v>
      </c>
      <c r="BH67" s="210" t="n">
        <f aca="false">'SALES-2 Model'!BH63</f>
        <v>0</v>
      </c>
      <c r="BI67" s="210" t="n">
        <f aca="false">'SALES-2 Model'!BI63</f>
        <v>0</v>
      </c>
      <c r="BJ67" s="210" t="n">
        <f aca="false">'SALES-2 Model'!BJ63</f>
        <v>0</v>
      </c>
      <c r="BK67" s="210" t="n">
        <f aca="false">'SALES-2 Model'!BK63</f>
        <v>0</v>
      </c>
      <c r="BL67" s="210" t="n">
        <f aca="false">'SALES-2 Model'!BL63</f>
        <v>0</v>
      </c>
      <c r="BM67" s="210" t="n">
        <f aca="false">'SALES-2 Model'!BM63</f>
        <v>0</v>
      </c>
      <c r="BN67" s="210" t="n">
        <f aca="false">'SALES-2 Model'!BN63</f>
        <v>0</v>
      </c>
      <c r="BO67" s="212" t="n">
        <f aca="false">'SALES-2 Model'!BO63</f>
        <v>0</v>
      </c>
      <c r="BP67" s="213" t="n">
        <f aca="false">'SALES-2 Model'!BP63</f>
        <v>0</v>
      </c>
      <c r="BQ67" s="210" t="n">
        <f aca="false">'SALES-2 Model'!BQ63</f>
        <v>0</v>
      </c>
      <c r="BR67" s="210" t="n">
        <f aca="false">'SALES-2 Model'!BR63</f>
        <v>0</v>
      </c>
      <c r="BS67" s="210" t="n">
        <f aca="false">'SALES-2 Model'!BS63</f>
        <v>0</v>
      </c>
      <c r="BT67" s="210" t="n">
        <f aca="false">'SALES-2 Model'!BT63</f>
        <v>0</v>
      </c>
      <c r="BU67" s="210" t="n">
        <f aca="false">'SALES-2 Model'!BU63</f>
        <v>0</v>
      </c>
      <c r="BV67" s="210" t="n">
        <f aca="false">'SALES-2 Model'!BV63</f>
        <v>0</v>
      </c>
      <c r="BW67" s="210" t="n">
        <f aca="false">'SALES-2 Model'!BW63</f>
        <v>0</v>
      </c>
      <c r="BX67" s="210" t="n">
        <f aca="false">'SALES-2 Model'!BX63</f>
        <v>0</v>
      </c>
      <c r="BY67" s="210" t="n">
        <f aca="false">'SALES-2 Model'!BY63</f>
        <v>0</v>
      </c>
      <c r="BZ67" s="210" t="n">
        <f aca="false">'SALES-2 Model'!BZ63</f>
        <v>0</v>
      </c>
      <c r="CA67" s="210" t="n">
        <f aca="false">'SALES-2 Model'!CA63</f>
        <v>0</v>
      </c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128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129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4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4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4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4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4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130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131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 t="s">
        <v>510</v>
      </c>
      <c r="H79" s="71" t="s">
        <v>511</v>
      </c>
      <c r="I79" s="215" t="n">
        <f aca="false">'SALES-2 Model'!$D$64</f>
        <v>0</v>
      </c>
      <c r="J79" s="215" t="n">
        <f aca="false">I79-'SALES-2 Model'!$K$64</f>
        <v>0</v>
      </c>
      <c r="K79" s="211" t="n">
        <f aca="false">'SALES-2 Model'!$K$64</f>
        <v>0</v>
      </c>
      <c r="L79" s="215" t="n">
        <f aca="false">'SALES-2 Model'!L64</f>
        <v>0</v>
      </c>
      <c r="M79" s="215" t="n">
        <f aca="false">'SALES-2 Model'!M64</f>
        <v>0</v>
      </c>
      <c r="N79" s="215" t="n">
        <f aca="false">'SALES-2 Model'!N64</f>
        <v>0</v>
      </c>
      <c r="O79" s="215" t="n">
        <f aca="false">'SALES-2 Model'!O64</f>
        <v>0</v>
      </c>
      <c r="P79" s="215" t="n">
        <f aca="false">'SALES-2 Model'!P64</f>
        <v>0</v>
      </c>
      <c r="Q79" s="93" t="s">
        <v>252</v>
      </c>
      <c r="R79" s="16" t="str">
        <f aca="false">IF(K79=P79, "", "Error")</f>
        <v/>
      </c>
      <c r="T79" s="215" t="n">
        <f aca="false">'SALES-2 Model'!T64</f>
        <v>0</v>
      </c>
      <c r="U79" s="215" t="n">
        <f aca="false">'SALES-2 Model'!U64</f>
        <v>0</v>
      </c>
      <c r="V79" s="215" t="n">
        <f aca="false">'SALES-2 Model'!V64</f>
        <v>0</v>
      </c>
      <c r="W79" s="215" t="n">
        <f aca="false">'SALES-2 Model'!W64</f>
        <v>0</v>
      </c>
      <c r="X79" s="215" t="n">
        <f aca="false">'SALES-2 Model'!X64</f>
        <v>0</v>
      </c>
      <c r="Y79" s="215" t="n">
        <f aca="false">'SALES-2 Model'!Y64</f>
        <v>0</v>
      </c>
      <c r="Z79" s="215" t="n">
        <f aca="false">'SALES-2 Model'!Z64</f>
        <v>0</v>
      </c>
      <c r="AA79" s="215" t="n">
        <f aca="false">'SALES-2 Model'!AA64</f>
        <v>0</v>
      </c>
      <c r="AB79" s="215" t="n">
        <f aca="false">'SALES-2 Model'!AB64</f>
        <v>0</v>
      </c>
      <c r="AC79" s="215" t="n">
        <f aca="false">'SALES-2 Model'!AC64</f>
        <v>0</v>
      </c>
      <c r="AD79" s="215" t="n">
        <f aca="false">'SALES-2 Model'!AD64</f>
        <v>0</v>
      </c>
      <c r="AE79" s="216" t="n">
        <f aca="false">'SALES-2 Model'!AE64</f>
        <v>0</v>
      </c>
      <c r="AF79" s="217" t="n">
        <f aca="false">'SALES-2 Model'!AF64</f>
        <v>0</v>
      </c>
      <c r="AG79" s="217" t="n">
        <f aca="false">'SALES-2 Model'!AG64</f>
        <v>0</v>
      </c>
      <c r="AH79" s="217" t="n">
        <f aca="false">'SALES-2 Model'!AH64</f>
        <v>0</v>
      </c>
      <c r="AI79" s="217" t="n">
        <f aca="false">'SALES-2 Model'!AI64</f>
        <v>0</v>
      </c>
      <c r="AJ79" s="217" t="n">
        <f aca="false">'SALES-2 Model'!AJ64</f>
        <v>0</v>
      </c>
      <c r="AK79" s="217" t="n">
        <f aca="false">'SALES-2 Model'!AK64</f>
        <v>0</v>
      </c>
      <c r="AL79" s="217" t="n">
        <f aca="false">'SALES-2 Model'!AL64</f>
        <v>0</v>
      </c>
      <c r="AM79" s="217" t="n">
        <f aca="false">'SALES-2 Model'!AM64</f>
        <v>0</v>
      </c>
      <c r="AN79" s="217" t="n">
        <f aca="false">'SALES-2 Model'!AN64</f>
        <v>0</v>
      </c>
      <c r="AO79" s="217" t="n">
        <f aca="false">'SALES-2 Model'!AO64</f>
        <v>0</v>
      </c>
      <c r="AP79" s="217" t="n">
        <f aca="false">'SALES-2 Model'!AP64</f>
        <v>0</v>
      </c>
      <c r="AQ79" s="217" t="n">
        <f aca="false">'SALES-2 Model'!AQ64</f>
        <v>0</v>
      </c>
      <c r="AR79" s="217" t="n">
        <f aca="false">'SALES-2 Model'!AR64</f>
        <v>0</v>
      </c>
      <c r="AS79" s="217" t="n">
        <f aca="false">'SALES-2 Model'!AS64</f>
        <v>0</v>
      </c>
      <c r="AT79" s="217" t="n">
        <f aca="false">'SALES-2 Model'!AT64</f>
        <v>0</v>
      </c>
      <c r="AU79" s="217" t="n">
        <f aca="false">'SALES-2 Model'!AU64</f>
        <v>0</v>
      </c>
      <c r="AV79" s="217" t="n">
        <f aca="false">'SALES-2 Model'!AV64</f>
        <v>0</v>
      </c>
      <c r="AW79" s="217" t="n">
        <f aca="false">'SALES-2 Model'!AW64</f>
        <v>0</v>
      </c>
      <c r="AX79" s="217" t="n">
        <f aca="false">'SALES-2 Model'!AX64</f>
        <v>0</v>
      </c>
      <c r="AY79" s="217" t="n">
        <f aca="false">'SALES-2 Model'!AY64</f>
        <v>0</v>
      </c>
      <c r="AZ79" s="217" t="n">
        <f aca="false">'SALES-2 Model'!AZ64</f>
        <v>0</v>
      </c>
      <c r="BA79" s="217" t="n">
        <f aca="false">'SALES-2 Model'!BA64</f>
        <v>0</v>
      </c>
      <c r="BB79" s="217" t="n">
        <f aca="false">'SALES-2 Model'!BB64</f>
        <v>0</v>
      </c>
      <c r="BC79" s="217" t="n">
        <f aca="false">'SALES-2 Model'!BC64</f>
        <v>0</v>
      </c>
      <c r="BD79" s="217" t="n">
        <f aca="false">'SALES-2 Model'!BD64</f>
        <v>0</v>
      </c>
      <c r="BE79" s="217" t="n">
        <f aca="false">'SALES-2 Model'!BE64</f>
        <v>0</v>
      </c>
      <c r="BF79" s="217" t="n">
        <f aca="false">'SALES-2 Model'!BF64</f>
        <v>0</v>
      </c>
      <c r="BG79" s="217" t="n">
        <f aca="false">'SALES-2 Model'!BG64</f>
        <v>0</v>
      </c>
      <c r="BH79" s="217" t="n">
        <f aca="false">'SALES-2 Model'!BH64</f>
        <v>0</v>
      </c>
      <c r="BI79" s="217" t="n">
        <f aca="false">'SALES-2 Model'!BI64</f>
        <v>0</v>
      </c>
      <c r="BJ79" s="217" t="n">
        <f aca="false">'SALES-2 Model'!BJ64</f>
        <v>0</v>
      </c>
      <c r="BK79" s="217" t="n">
        <f aca="false">'SALES-2 Model'!BK64</f>
        <v>0</v>
      </c>
      <c r="BL79" s="217" t="n">
        <f aca="false">'SALES-2 Model'!BL64</f>
        <v>0</v>
      </c>
      <c r="BM79" s="217" t="n">
        <f aca="false">'SALES-2 Model'!BM64</f>
        <v>0</v>
      </c>
      <c r="BN79" s="217" t="n">
        <f aca="false">'SALES-2 Model'!BN64</f>
        <v>0</v>
      </c>
      <c r="BO79" s="217" t="n">
        <f aca="false">'SALES-2 Model'!BO64</f>
        <v>0</v>
      </c>
      <c r="BP79" s="217" t="n">
        <f aca="false">'SALES-2 Model'!BP64</f>
        <v>0</v>
      </c>
      <c r="BQ79" s="217" t="n">
        <f aca="false">'SALES-2 Model'!BQ64</f>
        <v>0</v>
      </c>
      <c r="BR79" s="217" t="n">
        <f aca="false">'SALES-2 Model'!BR64</f>
        <v>0</v>
      </c>
      <c r="BS79" s="217" t="n">
        <f aca="false">'SALES-2 Model'!BS64</f>
        <v>0</v>
      </c>
      <c r="BT79" s="217" t="n">
        <f aca="false">'SALES-2 Model'!BT64</f>
        <v>0</v>
      </c>
      <c r="BU79" s="217" t="n">
        <f aca="false">'SALES-2 Model'!BU64</f>
        <v>0</v>
      </c>
      <c r="BV79" s="217" t="n">
        <f aca="false">'SALES-2 Model'!BV64</f>
        <v>0</v>
      </c>
      <c r="BW79" s="217" t="n">
        <f aca="false">'SALES-2 Model'!BW64</f>
        <v>0</v>
      </c>
      <c r="BX79" s="217" t="n">
        <f aca="false">'SALES-2 Model'!BX64</f>
        <v>0</v>
      </c>
      <c r="BY79" s="217" t="n">
        <f aca="false">'SALES-2 Model'!BY64</f>
        <v>0</v>
      </c>
      <c r="BZ79" s="217" t="n">
        <f aca="false">'SALES-2 Model'!BZ64</f>
        <v>0</v>
      </c>
      <c r="CA79" s="217" t="n">
        <f aca="false">'SALES-2 Model'!CA64</f>
        <v>0</v>
      </c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4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4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4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4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134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135</v>
      </c>
      <c r="F88" s="109"/>
      <c r="G88" s="109"/>
      <c r="H88" s="110"/>
      <c r="I88" s="218" t="n">
        <f aca="false">SUM(I68, I76, I84)</f>
        <v>0</v>
      </c>
      <c r="J88" s="218" t="n">
        <f aca="false">SUM(J68, J76, J84)</f>
        <v>0</v>
      </c>
      <c r="K88" s="218" t="n">
        <f aca="false">SUM(K68, K76, K84)</f>
        <v>0</v>
      </c>
      <c r="L88" s="218" t="n">
        <f aca="false">SUM(L68, L76, L84)</f>
        <v>0</v>
      </c>
      <c r="M88" s="218" t="n">
        <f aca="false">SUM(M68, M76, M84)</f>
        <v>0</v>
      </c>
      <c r="N88" s="218" t="n">
        <f aca="false">SUM(N68, N76, N84)</f>
        <v>0</v>
      </c>
      <c r="O88" s="218" t="n">
        <f aca="false">SUM(O68, O76, O84)</f>
        <v>0</v>
      </c>
      <c r="P88" s="218" t="n">
        <f aca="false">SUM(P68, P76, P84)</f>
        <v>0</v>
      </c>
      <c r="Q88" s="16"/>
      <c r="R88" s="16"/>
      <c r="T88" s="219" t="n">
        <f aca="false">SUM(T68, T76, T84)</f>
        <v>0</v>
      </c>
      <c r="U88" s="219" t="n">
        <f aca="false">SUM(U68, U76, U84)</f>
        <v>0</v>
      </c>
      <c r="V88" s="219" t="n">
        <f aca="false">SUM(V68, V76, V84)</f>
        <v>0</v>
      </c>
      <c r="W88" s="219" t="n">
        <f aca="false">SUM(W68, W76, W84)</f>
        <v>0</v>
      </c>
      <c r="X88" s="219" t="n">
        <f aca="false">SUM(X68, X76, X84)</f>
        <v>0</v>
      </c>
      <c r="Y88" s="219" t="n">
        <f aca="false">SUM(Y68, Y76, Y84)</f>
        <v>0</v>
      </c>
      <c r="Z88" s="219" t="n">
        <f aca="false">SUM(Z68, Z76, Z84)</f>
        <v>0</v>
      </c>
      <c r="AA88" s="219" t="n">
        <f aca="false">SUM(AA68, AA76, AA84)</f>
        <v>0</v>
      </c>
      <c r="AB88" s="219" t="n">
        <f aca="false">SUM(AB68, AB76, AB84)</f>
        <v>0</v>
      </c>
      <c r="AC88" s="219" t="n">
        <f aca="false">SUM(AC68, AC76, AC84)</f>
        <v>0</v>
      </c>
      <c r="AD88" s="219" t="n">
        <f aca="false">SUM(AD68, AD76, AD84)</f>
        <v>0</v>
      </c>
      <c r="AE88" s="219" t="n">
        <f aca="false">SUM(AE68, AE76, AE84)</f>
        <v>0</v>
      </c>
      <c r="AF88" s="219" t="n">
        <f aca="false">SUM(AF68, AF76, AF84)</f>
        <v>0</v>
      </c>
      <c r="AG88" s="219" t="n">
        <f aca="false">SUM(AG68, AG76, AG84)</f>
        <v>0</v>
      </c>
      <c r="AH88" s="219" t="n">
        <f aca="false">SUM(AH68, AH76, AH84)</f>
        <v>0</v>
      </c>
      <c r="AI88" s="219" t="n">
        <f aca="false">SUM(AI68, AI76, AI84)</f>
        <v>0</v>
      </c>
      <c r="AJ88" s="219" t="n">
        <f aca="false">SUM(AJ68, AJ76, AJ84)</f>
        <v>0</v>
      </c>
      <c r="AK88" s="219" t="n">
        <f aca="false">SUM(AK68, AK76, AK84)</f>
        <v>0</v>
      </c>
      <c r="AL88" s="219" t="n">
        <f aca="false">SUM(AL68, AL76, AL84)</f>
        <v>0</v>
      </c>
      <c r="AM88" s="219" t="n">
        <f aca="false">SUM(AM68, AM76, AM84)</f>
        <v>0</v>
      </c>
      <c r="AN88" s="219" t="n">
        <f aca="false">SUM(AN68, AN76, AN84)</f>
        <v>0</v>
      </c>
      <c r="AO88" s="219" t="n">
        <f aca="false">SUM(AO68, AO76, AO84)</f>
        <v>0</v>
      </c>
      <c r="AP88" s="219" t="n">
        <f aca="false">SUM(AP68, AP76, AP84)</f>
        <v>0</v>
      </c>
      <c r="AQ88" s="219" t="n">
        <f aca="false">SUM(AQ68, AQ76, AQ84)</f>
        <v>0</v>
      </c>
      <c r="AR88" s="219" t="n">
        <f aca="false">SUM(AR68, AR76, AR84)</f>
        <v>0</v>
      </c>
      <c r="AS88" s="219" t="n">
        <f aca="false">SUM(AS68, AS76, AS84)</f>
        <v>0</v>
      </c>
      <c r="AT88" s="219" t="n">
        <f aca="false">SUM(AT68, AT76, AT84)</f>
        <v>0</v>
      </c>
      <c r="AU88" s="219" t="n">
        <f aca="false">SUM(AU68, AU76, AU84)</f>
        <v>0</v>
      </c>
      <c r="AV88" s="219" t="n">
        <f aca="false">SUM(AV68, AV76, AV84)</f>
        <v>0</v>
      </c>
      <c r="AW88" s="219" t="n">
        <f aca="false">SUM(AW68, AW76, AW84)</f>
        <v>0</v>
      </c>
      <c r="AX88" s="219" t="n">
        <f aca="false">SUM(AX68, AX76, AX84)</f>
        <v>0</v>
      </c>
      <c r="AY88" s="219" t="n">
        <f aca="false">SUM(AY68, AY76, AY84)</f>
        <v>0</v>
      </c>
      <c r="AZ88" s="219" t="n">
        <f aca="false">SUM(AZ68, AZ76, AZ84)</f>
        <v>0</v>
      </c>
      <c r="BA88" s="219" t="n">
        <f aca="false">SUM(BA68, BA76, BA84)</f>
        <v>0</v>
      </c>
      <c r="BB88" s="219" t="n">
        <f aca="false">SUM(BB68, BB76, BB84)</f>
        <v>0</v>
      </c>
      <c r="BC88" s="219" t="n">
        <f aca="false">SUM(BC68, BC76, BC84)</f>
        <v>0</v>
      </c>
      <c r="BD88" s="219" t="n">
        <f aca="false">SUM(BD68, BD76, BD84)</f>
        <v>0</v>
      </c>
      <c r="BE88" s="219" t="n">
        <f aca="false">SUM(BE68, BE76, BE84)</f>
        <v>0</v>
      </c>
      <c r="BF88" s="219" t="n">
        <f aca="false">SUM(BF68, BF76, BF84)</f>
        <v>0</v>
      </c>
      <c r="BG88" s="219" t="n">
        <f aca="false">SUM(BG68, BG76, BG84)</f>
        <v>0</v>
      </c>
      <c r="BH88" s="219" t="n">
        <f aca="false">SUM(BH68, BH76, BH84)</f>
        <v>0</v>
      </c>
      <c r="BI88" s="219" t="n">
        <f aca="false">SUM(BI68, BI76, BI84)</f>
        <v>0</v>
      </c>
      <c r="BJ88" s="219" t="n">
        <f aca="false">SUM(BJ68, BJ76, BJ84)</f>
        <v>0</v>
      </c>
      <c r="BK88" s="219" t="n">
        <f aca="false">SUM(BK68, BK76, BK84)</f>
        <v>0</v>
      </c>
      <c r="BL88" s="219" t="n">
        <f aca="false">SUM(BL68, BL76, BL84)</f>
        <v>0</v>
      </c>
      <c r="BM88" s="219" t="n">
        <f aca="false">SUM(BM68, BM76, BM84)</f>
        <v>0</v>
      </c>
      <c r="BN88" s="219" t="n">
        <f aca="false">SUM(BN68, BN76, BN84)</f>
        <v>0</v>
      </c>
      <c r="BO88" s="219" t="n">
        <f aca="false">SUM(BO68, BO76, BO84)</f>
        <v>0</v>
      </c>
      <c r="BP88" s="219" t="n">
        <f aca="false">SUM(BP68, BP76, BP84)</f>
        <v>0</v>
      </c>
      <c r="BQ88" s="219" t="n">
        <f aca="false">SUM(BQ68, BQ76, BQ84)</f>
        <v>0</v>
      </c>
      <c r="BR88" s="219" t="n">
        <f aca="false">SUM(BR68, BR76, BR84)</f>
        <v>0</v>
      </c>
      <c r="BS88" s="219" t="n">
        <f aca="false">SUM(BS68, BS76, BS84)</f>
        <v>0</v>
      </c>
      <c r="BT88" s="219" t="n">
        <f aca="false">SUM(BT68, BT76, BT84)</f>
        <v>0</v>
      </c>
      <c r="BU88" s="219" t="n">
        <f aca="false">SUM(BU68, BU76, BU84)</f>
        <v>0</v>
      </c>
      <c r="BV88" s="219" t="n">
        <f aca="false">SUM(BV68, BV76, BV84)</f>
        <v>0</v>
      </c>
      <c r="BW88" s="219" t="n">
        <f aca="false">SUM(BW68, BW76, BW84)</f>
        <v>0</v>
      </c>
      <c r="BX88" s="219" t="n">
        <f aca="false">SUM(BX68, BX76, BX84)</f>
        <v>0</v>
      </c>
      <c r="BY88" s="219" t="n">
        <f aca="false">SUM(BY68, BY76, BY84)</f>
        <v>0</v>
      </c>
      <c r="BZ88" s="219" t="n">
        <f aca="false">SUM(BZ68, BZ76, BZ84)</f>
        <v>0</v>
      </c>
      <c r="CA88" s="219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9" t="s">
        <v>421</v>
      </c>
      <c r="CJ90" s="209"/>
      <c r="CK90" s="209"/>
      <c r="CL90" s="209"/>
      <c r="CM90" s="209"/>
    </row>
    <row r="91" s="14" customFormat="true" ht="16.5" hidden="false" customHeight="true" outlineLevel="0" collapsed="false">
      <c r="D91" s="30" t="s">
        <v>136</v>
      </c>
      <c r="E91" s="31"/>
      <c r="F91" s="31"/>
      <c r="G91" s="31"/>
      <c r="H91" s="220" t="s">
        <v>121</v>
      </c>
      <c r="I91" s="31" t="s">
        <v>68</v>
      </c>
      <c r="J91" s="31" t="s">
        <v>95</v>
      </c>
      <c r="K91" s="31" t="s">
        <v>122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123</v>
      </c>
      <c r="R91" s="31" t="s">
        <v>66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93</v>
      </c>
      <c r="H92" s="29"/>
      <c r="I92" s="65" t="str">
        <f aca="false">$H$18</f>
        <v>TTM 6/1/26</v>
      </c>
      <c r="J92" s="65" t="s">
        <v>125</v>
      </c>
      <c r="K92" s="65" t="s">
        <v>126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127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4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4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128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129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4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4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4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4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4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130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131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 t="s">
        <v>485</v>
      </c>
      <c r="H107" s="29" t="s">
        <v>486</v>
      </c>
      <c r="I107" s="91" t="n">
        <v>0</v>
      </c>
      <c r="J107" s="215" t="n">
        <f aca="false">I107+'SALES-2 Model'!$K$113</f>
        <v>0</v>
      </c>
      <c r="K107" s="211" t="n">
        <f aca="false">'SALES-2 Model'!$K$113</f>
        <v>0</v>
      </c>
      <c r="L107" s="215" t="n">
        <f aca="false">'SALES-2 Model'!L113</f>
        <v>0</v>
      </c>
      <c r="M107" s="215" t="n">
        <f aca="false">'SALES-2 Model'!M113</f>
        <v>0</v>
      </c>
      <c r="N107" s="215" t="n">
        <f aca="false">'SALES-2 Model'!N113</f>
        <v>0</v>
      </c>
      <c r="O107" s="215" t="n">
        <f aca="false">'SALES-2 Model'!O113</f>
        <v>0</v>
      </c>
      <c r="P107" s="215" t="n">
        <f aca="false">'SALES-2 Model'!P113</f>
        <v>0</v>
      </c>
      <c r="Q107" s="93" t="s">
        <v>252</v>
      </c>
      <c r="R107" s="16" t="str">
        <f aca="false">IF(K107=P107, "", "Error")</f>
        <v/>
      </c>
      <c r="T107" s="215" t="n">
        <f aca="false">'SALES-2 Model'!T113</f>
        <v>0</v>
      </c>
      <c r="U107" s="215" t="n">
        <f aca="false">'SALES-2 Model'!U113</f>
        <v>0</v>
      </c>
      <c r="V107" s="215" t="n">
        <f aca="false">'SALES-2 Model'!V113</f>
        <v>0</v>
      </c>
      <c r="W107" s="215" t="n">
        <f aca="false">'SALES-2 Model'!W113</f>
        <v>0</v>
      </c>
      <c r="X107" s="215" t="n">
        <f aca="false">'SALES-2 Model'!X113</f>
        <v>0</v>
      </c>
      <c r="Y107" s="215" t="n">
        <f aca="false">'SALES-2 Model'!Y113</f>
        <v>0</v>
      </c>
      <c r="Z107" s="215" t="n">
        <f aca="false">'SALES-2 Model'!Z113</f>
        <v>0</v>
      </c>
      <c r="AA107" s="215" t="n">
        <f aca="false">'SALES-2 Model'!AA113</f>
        <v>0</v>
      </c>
      <c r="AB107" s="215" t="n">
        <f aca="false">'SALES-2 Model'!AB113</f>
        <v>0</v>
      </c>
      <c r="AC107" s="215" t="n">
        <f aca="false">'SALES-2 Model'!AC113</f>
        <v>0</v>
      </c>
      <c r="AD107" s="215" t="n">
        <f aca="false">'SALES-2 Model'!AD113</f>
        <v>0</v>
      </c>
      <c r="AE107" s="216" t="n">
        <f aca="false">'SALES-2 Model'!AE113</f>
        <v>0</v>
      </c>
      <c r="AF107" s="217" t="n">
        <f aca="false">'SALES-2 Model'!AF113</f>
        <v>0</v>
      </c>
      <c r="AG107" s="217" t="n">
        <f aca="false">'SALES-2 Model'!AG113</f>
        <v>0</v>
      </c>
      <c r="AH107" s="217" t="n">
        <f aca="false">'SALES-2 Model'!AH113</f>
        <v>0</v>
      </c>
      <c r="AI107" s="217" t="n">
        <f aca="false">'SALES-2 Model'!AI113</f>
        <v>0</v>
      </c>
      <c r="AJ107" s="217" t="n">
        <f aca="false">'SALES-2 Model'!AJ113</f>
        <v>0</v>
      </c>
      <c r="AK107" s="217" t="n">
        <f aca="false">'SALES-2 Model'!AK113</f>
        <v>0</v>
      </c>
      <c r="AL107" s="217" t="n">
        <f aca="false">'SALES-2 Model'!AL113</f>
        <v>0</v>
      </c>
      <c r="AM107" s="217" t="n">
        <f aca="false">'SALES-2 Model'!AM113</f>
        <v>0</v>
      </c>
      <c r="AN107" s="217" t="n">
        <f aca="false">'SALES-2 Model'!AN113</f>
        <v>0</v>
      </c>
      <c r="AO107" s="217" t="n">
        <f aca="false">'SALES-2 Model'!AO113</f>
        <v>0</v>
      </c>
      <c r="AP107" s="217" t="n">
        <f aca="false">'SALES-2 Model'!AP113</f>
        <v>0</v>
      </c>
      <c r="AQ107" s="217" t="n">
        <f aca="false">'SALES-2 Model'!AQ113</f>
        <v>0</v>
      </c>
      <c r="AR107" s="217" t="n">
        <f aca="false">'SALES-2 Model'!AR113</f>
        <v>0</v>
      </c>
      <c r="AS107" s="217" t="n">
        <f aca="false">'SALES-2 Model'!AS113</f>
        <v>0</v>
      </c>
      <c r="AT107" s="217" t="n">
        <f aca="false">'SALES-2 Model'!AT113</f>
        <v>0</v>
      </c>
      <c r="AU107" s="217" t="n">
        <f aca="false">'SALES-2 Model'!AU113</f>
        <v>0</v>
      </c>
      <c r="AV107" s="217" t="n">
        <f aca="false">'SALES-2 Model'!AV113</f>
        <v>0</v>
      </c>
      <c r="AW107" s="217" t="n">
        <f aca="false">'SALES-2 Model'!AW113</f>
        <v>0</v>
      </c>
      <c r="AX107" s="217" t="n">
        <f aca="false">'SALES-2 Model'!AX113</f>
        <v>0</v>
      </c>
      <c r="AY107" s="217" t="n">
        <f aca="false">'SALES-2 Model'!AY113</f>
        <v>0</v>
      </c>
      <c r="AZ107" s="217" t="n">
        <f aca="false">'SALES-2 Model'!AZ113</f>
        <v>0</v>
      </c>
      <c r="BA107" s="217" t="n">
        <f aca="false">'SALES-2 Model'!BA113</f>
        <v>0</v>
      </c>
      <c r="BB107" s="217" t="n">
        <f aca="false">'SALES-2 Model'!BB113</f>
        <v>0</v>
      </c>
      <c r="BC107" s="217" t="n">
        <f aca="false">'SALES-2 Model'!BC113</f>
        <v>0</v>
      </c>
      <c r="BD107" s="217" t="n">
        <f aca="false">'SALES-2 Model'!BD113</f>
        <v>0</v>
      </c>
      <c r="BE107" s="217" t="n">
        <f aca="false">'SALES-2 Model'!BE113</f>
        <v>0</v>
      </c>
      <c r="BF107" s="217" t="n">
        <f aca="false">'SALES-2 Model'!BF113</f>
        <v>0</v>
      </c>
      <c r="BG107" s="217" t="n">
        <f aca="false">'SALES-2 Model'!BG113</f>
        <v>0</v>
      </c>
      <c r="BH107" s="217" t="n">
        <f aca="false">'SALES-2 Model'!BH113</f>
        <v>0</v>
      </c>
      <c r="BI107" s="217" t="n">
        <f aca="false">'SALES-2 Model'!BI113</f>
        <v>0</v>
      </c>
      <c r="BJ107" s="217" t="n">
        <f aca="false">'SALES-2 Model'!BJ113</f>
        <v>0</v>
      </c>
      <c r="BK107" s="217" t="n">
        <f aca="false">'SALES-2 Model'!BK113</f>
        <v>0</v>
      </c>
      <c r="BL107" s="217" t="n">
        <f aca="false">'SALES-2 Model'!BL113</f>
        <v>0</v>
      </c>
      <c r="BM107" s="217" t="n">
        <f aca="false">'SALES-2 Model'!BM113</f>
        <v>0</v>
      </c>
      <c r="BN107" s="217" t="n">
        <f aca="false">'SALES-2 Model'!BN113</f>
        <v>0</v>
      </c>
      <c r="BO107" s="217" t="n">
        <f aca="false">'SALES-2 Model'!BO113</f>
        <v>0</v>
      </c>
      <c r="BP107" s="217" t="n">
        <f aca="false">'SALES-2 Model'!BP113</f>
        <v>0</v>
      </c>
      <c r="BQ107" s="217" t="n">
        <f aca="false">'SALES-2 Model'!BQ113</f>
        <v>0</v>
      </c>
      <c r="BR107" s="217" t="n">
        <f aca="false">'SALES-2 Model'!BR113</f>
        <v>0</v>
      </c>
      <c r="BS107" s="217" t="n">
        <f aca="false">'SALES-2 Model'!BS113</f>
        <v>0</v>
      </c>
      <c r="BT107" s="217" t="n">
        <f aca="false">'SALES-2 Model'!BT113</f>
        <v>0</v>
      </c>
      <c r="BU107" s="217" t="n">
        <f aca="false">'SALES-2 Model'!BU113</f>
        <v>0</v>
      </c>
      <c r="BV107" s="217" t="n">
        <f aca="false">'SALES-2 Model'!BV113</f>
        <v>0</v>
      </c>
      <c r="BW107" s="217" t="n">
        <f aca="false">'SALES-2 Model'!BW113</f>
        <v>0</v>
      </c>
      <c r="BX107" s="217" t="n">
        <f aca="false">'SALES-2 Model'!BX113</f>
        <v>0</v>
      </c>
      <c r="BY107" s="217" t="n">
        <f aca="false">'SALES-2 Model'!BY113</f>
        <v>0</v>
      </c>
      <c r="BZ107" s="217" t="n">
        <f aca="false">'SALES-2 Model'!BZ113</f>
        <v>0</v>
      </c>
      <c r="CA107" s="217" t="n">
        <f aca="false">'SALES-2 Model'!CA113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 t="s">
        <v>487</v>
      </c>
      <c r="H108" s="29" t="s">
        <v>488</v>
      </c>
      <c r="I108" s="91" t="n">
        <v>0</v>
      </c>
      <c r="J108" s="215" t="n">
        <f aca="false">I108+'SALES-2 Model'!$K$114</f>
        <v>0</v>
      </c>
      <c r="K108" s="211" t="n">
        <f aca="false">'SALES-2 Model'!$K$114</f>
        <v>0</v>
      </c>
      <c r="L108" s="215" t="n">
        <f aca="false">'SALES-2 Model'!L114</f>
        <v>0</v>
      </c>
      <c r="M108" s="215" t="n">
        <f aca="false">'SALES-2 Model'!M114</f>
        <v>0</v>
      </c>
      <c r="N108" s="215" t="n">
        <f aca="false">'SALES-2 Model'!N114</f>
        <v>0</v>
      </c>
      <c r="O108" s="215" t="n">
        <f aca="false">'SALES-2 Model'!O114</f>
        <v>0</v>
      </c>
      <c r="P108" s="215" t="n">
        <f aca="false">'SALES-2 Model'!P114</f>
        <v>0</v>
      </c>
      <c r="Q108" s="93" t="s">
        <v>252</v>
      </c>
      <c r="R108" s="16" t="str">
        <f aca="false">IF(K108=P108, "", "Error")</f>
        <v/>
      </c>
      <c r="T108" s="215" t="n">
        <f aca="false">'SALES-2 Model'!T114</f>
        <v>0</v>
      </c>
      <c r="U108" s="215" t="n">
        <f aca="false">'SALES-2 Model'!U114</f>
        <v>0</v>
      </c>
      <c r="V108" s="215" t="n">
        <f aca="false">'SALES-2 Model'!V114</f>
        <v>0</v>
      </c>
      <c r="W108" s="215" t="n">
        <f aca="false">'SALES-2 Model'!W114</f>
        <v>0</v>
      </c>
      <c r="X108" s="215" t="n">
        <f aca="false">'SALES-2 Model'!X114</f>
        <v>0</v>
      </c>
      <c r="Y108" s="215" t="n">
        <f aca="false">'SALES-2 Model'!Y114</f>
        <v>0</v>
      </c>
      <c r="Z108" s="215" t="n">
        <f aca="false">'SALES-2 Model'!Z114</f>
        <v>0</v>
      </c>
      <c r="AA108" s="215" t="n">
        <f aca="false">'SALES-2 Model'!AA114</f>
        <v>0</v>
      </c>
      <c r="AB108" s="215" t="n">
        <f aca="false">'SALES-2 Model'!AB114</f>
        <v>0</v>
      </c>
      <c r="AC108" s="215" t="n">
        <f aca="false">'SALES-2 Model'!AC114</f>
        <v>0</v>
      </c>
      <c r="AD108" s="215" t="n">
        <f aca="false">'SALES-2 Model'!AD114</f>
        <v>0</v>
      </c>
      <c r="AE108" s="216" t="n">
        <f aca="false">'SALES-2 Model'!AE114</f>
        <v>0</v>
      </c>
      <c r="AF108" s="216" t="n">
        <f aca="false">'SALES-2 Model'!AF114</f>
        <v>0</v>
      </c>
      <c r="AG108" s="216" t="n">
        <f aca="false">'SALES-2 Model'!AG114</f>
        <v>0</v>
      </c>
      <c r="AH108" s="216" t="n">
        <f aca="false">'SALES-2 Model'!AH114</f>
        <v>0</v>
      </c>
      <c r="AI108" s="216" t="n">
        <f aca="false">'SALES-2 Model'!AI114</f>
        <v>0</v>
      </c>
      <c r="AJ108" s="216" t="n">
        <f aca="false">'SALES-2 Model'!AJ114</f>
        <v>0</v>
      </c>
      <c r="AK108" s="216" t="n">
        <f aca="false">'SALES-2 Model'!AK114</f>
        <v>0</v>
      </c>
      <c r="AL108" s="216" t="n">
        <f aca="false">'SALES-2 Model'!AL114</f>
        <v>0</v>
      </c>
      <c r="AM108" s="216" t="n">
        <f aca="false">'SALES-2 Model'!AM114</f>
        <v>0</v>
      </c>
      <c r="AN108" s="216" t="n">
        <f aca="false">'SALES-2 Model'!AN114</f>
        <v>0</v>
      </c>
      <c r="AO108" s="216" t="n">
        <f aca="false">'SALES-2 Model'!AO114</f>
        <v>0</v>
      </c>
      <c r="AP108" s="216" t="n">
        <f aca="false">'SALES-2 Model'!AP114</f>
        <v>0</v>
      </c>
      <c r="AQ108" s="216" t="n">
        <f aca="false">'SALES-2 Model'!AQ114</f>
        <v>0</v>
      </c>
      <c r="AR108" s="216" t="n">
        <f aca="false">'SALES-2 Model'!AR114</f>
        <v>0</v>
      </c>
      <c r="AS108" s="216" t="n">
        <f aca="false">'SALES-2 Model'!AS114</f>
        <v>0</v>
      </c>
      <c r="AT108" s="216" t="n">
        <f aca="false">'SALES-2 Model'!AT114</f>
        <v>0</v>
      </c>
      <c r="AU108" s="216" t="n">
        <f aca="false">'SALES-2 Model'!AU114</f>
        <v>0</v>
      </c>
      <c r="AV108" s="216" t="n">
        <f aca="false">'SALES-2 Model'!AV114</f>
        <v>0</v>
      </c>
      <c r="AW108" s="216" t="n">
        <f aca="false">'SALES-2 Model'!AW114</f>
        <v>0</v>
      </c>
      <c r="AX108" s="216" t="n">
        <f aca="false">'SALES-2 Model'!AX114</f>
        <v>0</v>
      </c>
      <c r="AY108" s="216" t="n">
        <f aca="false">'SALES-2 Model'!AY114</f>
        <v>0</v>
      </c>
      <c r="AZ108" s="216" t="n">
        <f aca="false">'SALES-2 Model'!AZ114</f>
        <v>0</v>
      </c>
      <c r="BA108" s="216" t="n">
        <f aca="false">'SALES-2 Model'!BA114</f>
        <v>0</v>
      </c>
      <c r="BB108" s="216" t="n">
        <f aca="false">'SALES-2 Model'!BB114</f>
        <v>0</v>
      </c>
      <c r="BC108" s="216" t="n">
        <f aca="false">'SALES-2 Model'!BC114</f>
        <v>0</v>
      </c>
      <c r="BD108" s="216" t="n">
        <f aca="false">'SALES-2 Model'!BD114</f>
        <v>0</v>
      </c>
      <c r="BE108" s="216" t="n">
        <f aca="false">'SALES-2 Model'!BE114</f>
        <v>0</v>
      </c>
      <c r="BF108" s="216" t="n">
        <f aca="false">'SALES-2 Model'!BF114</f>
        <v>0</v>
      </c>
      <c r="BG108" s="216" t="n">
        <f aca="false">'SALES-2 Model'!BG114</f>
        <v>0</v>
      </c>
      <c r="BH108" s="216" t="n">
        <f aca="false">'SALES-2 Model'!BH114</f>
        <v>0</v>
      </c>
      <c r="BI108" s="216" t="n">
        <f aca="false">'SALES-2 Model'!BI114</f>
        <v>0</v>
      </c>
      <c r="BJ108" s="216" t="n">
        <f aca="false">'SALES-2 Model'!BJ114</f>
        <v>0</v>
      </c>
      <c r="BK108" s="216" t="n">
        <f aca="false">'SALES-2 Model'!BK114</f>
        <v>0</v>
      </c>
      <c r="BL108" s="216" t="n">
        <f aca="false">'SALES-2 Model'!BL114</f>
        <v>0</v>
      </c>
      <c r="BM108" s="216" t="n">
        <f aca="false">'SALES-2 Model'!BM114</f>
        <v>0</v>
      </c>
      <c r="BN108" s="216" t="n">
        <f aca="false">'SALES-2 Model'!BN114</f>
        <v>0</v>
      </c>
      <c r="BO108" s="216" t="n">
        <f aca="false">'SALES-2 Model'!BO114</f>
        <v>0</v>
      </c>
      <c r="BP108" s="216" t="n">
        <f aca="false">'SALES-2 Model'!BP114</f>
        <v>0</v>
      </c>
      <c r="BQ108" s="216" t="n">
        <f aca="false">'SALES-2 Model'!BQ114</f>
        <v>0</v>
      </c>
      <c r="BR108" s="216" t="n">
        <f aca="false">'SALES-2 Model'!BR114</f>
        <v>0</v>
      </c>
      <c r="BS108" s="216" t="n">
        <f aca="false">'SALES-2 Model'!BS114</f>
        <v>0</v>
      </c>
      <c r="BT108" s="216" t="n">
        <f aca="false">'SALES-2 Model'!BT114</f>
        <v>0</v>
      </c>
      <c r="BU108" s="216" t="n">
        <f aca="false">'SALES-2 Model'!BU114</f>
        <v>0</v>
      </c>
      <c r="BV108" s="216" t="n">
        <f aca="false">'SALES-2 Model'!BV114</f>
        <v>0</v>
      </c>
      <c r="BW108" s="216" t="n">
        <f aca="false">'SALES-2 Model'!BW114</f>
        <v>0</v>
      </c>
      <c r="BX108" s="216" t="n">
        <f aca="false">'SALES-2 Model'!BX114</f>
        <v>0</v>
      </c>
      <c r="BY108" s="216" t="n">
        <f aca="false">'SALES-2 Model'!BY114</f>
        <v>0</v>
      </c>
      <c r="BZ108" s="216" t="n">
        <f aca="false">'SALES-2 Model'!BZ114</f>
        <v>0</v>
      </c>
      <c r="CA108" s="216" t="n">
        <f aca="false">'SALES-2 Model'!CA114</f>
        <v>0</v>
      </c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 t="s">
        <v>380</v>
      </c>
      <c r="H109" s="29" t="s">
        <v>381</v>
      </c>
      <c r="I109" s="91" t="n">
        <v>0</v>
      </c>
      <c r="J109" s="215" t="n">
        <f aca="false">I109+'SALES-2 Model'!$K$115</f>
        <v>0</v>
      </c>
      <c r="K109" s="211" t="n">
        <f aca="false">'SALES-2 Model'!$K$115</f>
        <v>0</v>
      </c>
      <c r="L109" s="215" t="n">
        <f aca="false">'SALES-2 Model'!L115</f>
        <v>0</v>
      </c>
      <c r="M109" s="215" t="n">
        <f aca="false">'SALES-2 Model'!M115</f>
        <v>0</v>
      </c>
      <c r="N109" s="215" t="n">
        <f aca="false">'SALES-2 Model'!N115</f>
        <v>0</v>
      </c>
      <c r="O109" s="215" t="n">
        <f aca="false">'SALES-2 Model'!O115</f>
        <v>0</v>
      </c>
      <c r="P109" s="215" t="n">
        <f aca="false">'SALES-2 Model'!P115</f>
        <v>0</v>
      </c>
      <c r="Q109" s="93" t="s">
        <v>252</v>
      </c>
      <c r="R109" s="16" t="str">
        <f aca="false">IF(K109=P109, "", "Error")</f>
        <v/>
      </c>
      <c r="T109" s="215" t="n">
        <f aca="false">'SALES-2 Model'!T115</f>
        <v>0</v>
      </c>
      <c r="U109" s="215" t="n">
        <f aca="false">'SALES-2 Model'!U115</f>
        <v>0</v>
      </c>
      <c r="V109" s="215" t="n">
        <f aca="false">'SALES-2 Model'!V115</f>
        <v>0</v>
      </c>
      <c r="W109" s="215" t="n">
        <f aca="false">'SALES-2 Model'!W115</f>
        <v>0</v>
      </c>
      <c r="X109" s="215" t="n">
        <f aca="false">'SALES-2 Model'!X115</f>
        <v>0</v>
      </c>
      <c r="Y109" s="215" t="n">
        <f aca="false">'SALES-2 Model'!Y115</f>
        <v>0</v>
      </c>
      <c r="Z109" s="215" t="n">
        <f aca="false">'SALES-2 Model'!Z115</f>
        <v>0</v>
      </c>
      <c r="AA109" s="215" t="n">
        <f aca="false">'SALES-2 Model'!AA115</f>
        <v>0</v>
      </c>
      <c r="AB109" s="215" t="n">
        <f aca="false">'SALES-2 Model'!AB115</f>
        <v>0</v>
      </c>
      <c r="AC109" s="215" t="n">
        <f aca="false">'SALES-2 Model'!AC115</f>
        <v>0</v>
      </c>
      <c r="AD109" s="215" t="n">
        <f aca="false">'SALES-2 Model'!AD115</f>
        <v>0</v>
      </c>
      <c r="AE109" s="216" t="n">
        <f aca="false">'SALES-2 Model'!AE115</f>
        <v>0</v>
      </c>
      <c r="AF109" s="216" t="n">
        <f aca="false">'SALES-2 Model'!AF115</f>
        <v>0</v>
      </c>
      <c r="AG109" s="216" t="n">
        <f aca="false">'SALES-2 Model'!AG115</f>
        <v>0</v>
      </c>
      <c r="AH109" s="216" t="n">
        <f aca="false">'SALES-2 Model'!AH115</f>
        <v>0</v>
      </c>
      <c r="AI109" s="216" t="n">
        <f aca="false">'SALES-2 Model'!AI115</f>
        <v>0</v>
      </c>
      <c r="AJ109" s="216" t="n">
        <f aca="false">'SALES-2 Model'!AJ115</f>
        <v>0</v>
      </c>
      <c r="AK109" s="216" t="n">
        <f aca="false">'SALES-2 Model'!AK115</f>
        <v>0</v>
      </c>
      <c r="AL109" s="216" t="n">
        <f aca="false">'SALES-2 Model'!AL115</f>
        <v>0</v>
      </c>
      <c r="AM109" s="216" t="n">
        <f aca="false">'SALES-2 Model'!AM115</f>
        <v>0</v>
      </c>
      <c r="AN109" s="216" t="n">
        <f aca="false">'SALES-2 Model'!AN115</f>
        <v>0</v>
      </c>
      <c r="AO109" s="216" t="n">
        <f aca="false">'SALES-2 Model'!AO115</f>
        <v>0</v>
      </c>
      <c r="AP109" s="216" t="n">
        <f aca="false">'SALES-2 Model'!AP115</f>
        <v>0</v>
      </c>
      <c r="AQ109" s="216" t="n">
        <f aca="false">'SALES-2 Model'!AQ115</f>
        <v>0</v>
      </c>
      <c r="AR109" s="216" t="n">
        <f aca="false">'SALES-2 Model'!AR115</f>
        <v>0</v>
      </c>
      <c r="AS109" s="216" t="n">
        <f aca="false">'SALES-2 Model'!AS115</f>
        <v>0</v>
      </c>
      <c r="AT109" s="216" t="n">
        <f aca="false">'SALES-2 Model'!AT115</f>
        <v>0</v>
      </c>
      <c r="AU109" s="216" t="n">
        <f aca="false">'SALES-2 Model'!AU115</f>
        <v>0</v>
      </c>
      <c r="AV109" s="216" t="n">
        <f aca="false">'SALES-2 Model'!AV115</f>
        <v>0</v>
      </c>
      <c r="AW109" s="216" t="n">
        <f aca="false">'SALES-2 Model'!AW115</f>
        <v>0</v>
      </c>
      <c r="AX109" s="216" t="n">
        <f aca="false">'SALES-2 Model'!AX115</f>
        <v>0</v>
      </c>
      <c r="AY109" s="216" t="n">
        <f aca="false">'SALES-2 Model'!AY115</f>
        <v>0</v>
      </c>
      <c r="AZ109" s="216" t="n">
        <f aca="false">'SALES-2 Model'!AZ115</f>
        <v>0</v>
      </c>
      <c r="BA109" s="216" t="n">
        <f aca="false">'SALES-2 Model'!BA115</f>
        <v>0</v>
      </c>
      <c r="BB109" s="216" t="n">
        <f aca="false">'SALES-2 Model'!BB115</f>
        <v>0</v>
      </c>
      <c r="BC109" s="216" t="n">
        <f aca="false">'SALES-2 Model'!BC115</f>
        <v>0</v>
      </c>
      <c r="BD109" s="216" t="n">
        <f aca="false">'SALES-2 Model'!BD115</f>
        <v>0</v>
      </c>
      <c r="BE109" s="216" t="n">
        <f aca="false">'SALES-2 Model'!BE115</f>
        <v>0</v>
      </c>
      <c r="BF109" s="216" t="n">
        <f aca="false">'SALES-2 Model'!BF115</f>
        <v>0</v>
      </c>
      <c r="BG109" s="216" t="n">
        <f aca="false">'SALES-2 Model'!BG115</f>
        <v>0</v>
      </c>
      <c r="BH109" s="216" t="n">
        <f aca="false">'SALES-2 Model'!BH115</f>
        <v>0</v>
      </c>
      <c r="BI109" s="216" t="n">
        <f aca="false">'SALES-2 Model'!BI115</f>
        <v>0</v>
      </c>
      <c r="BJ109" s="216" t="n">
        <f aca="false">'SALES-2 Model'!BJ115</f>
        <v>0</v>
      </c>
      <c r="BK109" s="216" t="n">
        <f aca="false">'SALES-2 Model'!BK115</f>
        <v>0</v>
      </c>
      <c r="BL109" s="216" t="n">
        <f aca="false">'SALES-2 Model'!BL115</f>
        <v>0</v>
      </c>
      <c r="BM109" s="216" t="n">
        <f aca="false">'SALES-2 Model'!BM115</f>
        <v>0</v>
      </c>
      <c r="BN109" s="216" t="n">
        <f aca="false">'SALES-2 Model'!BN115</f>
        <v>0</v>
      </c>
      <c r="BO109" s="216" t="n">
        <f aca="false">'SALES-2 Model'!BO115</f>
        <v>0</v>
      </c>
      <c r="BP109" s="216" t="n">
        <f aca="false">'SALES-2 Model'!BP115</f>
        <v>0</v>
      </c>
      <c r="BQ109" s="216" t="n">
        <f aca="false">'SALES-2 Model'!BQ115</f>
        <v>0</v>
      </c>
      <c r="BR109" s="216" t="n">
        <f aca="false">'SALES-2 Model'!BR115</f>
        <v>0</v>
      </c>
      <c r="BS109" s="216" t="n">
        <f aca="false">'SALES-2 Model'!BS115</f>
        <v>0</v>
      </c>
      <c r="BT109" s="216" t="n">
        <f aca="false">'SALES-2 Model'!BT115</f>
        <v>0</v>
      </c>
      <c r="BU109" s="216" t="n">
        <f aca="false">'SALES-2 Model'!BU115</f>
        <v>0</v>
      </c>
      <c r="BV109" s="216" t="n">
        <f aca="false">'SALES-2 Model'!BV115</f>
        <v>0</v>
      </c>
      <c r="BW109" s="216" t="n">
        <f aca="false">'SALES-2 Model'!BW115</f>
        <v>0</v>
      </c>
      <c r="BX109" s="216" t="n">
        <f aca="false">'SALES-2 Model'!BX115</f>
        <v>0</v>
      </c>
      <c r="BY109" s="216" t="n">
        <f aca="false">'SALES-2 Model'!BY115</f>
        <v>0</v>
      </c>
      <c r="BZ109" s="216" t="n">
        <f aca="false">'SALES-2 Model'!BZ115</f>
        <v>0</v>
      </c>
      <c r="CA109" s="216" t="n">
        <f aca="false">'SALES-2 Model'!CA115</f>
        <v>0</v>
      </c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4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4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134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141</v>
      </c>
      <c r="F115" s="109"/>
      <c r="G115" s="109"/>
      <c r="H115" s="109"/>
      <c r="I115" s="221" t="n">
        <f aca="false">SUM(-I96, I104, I112)</f>
        <v>0</v>
      </c>
      <c r="J115" s="221" t="n">
        <f aca="false">SUM(-J96, J104, J112)</f>
        <v>0</v>
      </c>
      <c r="K115" s="221" t="n">
        <f aca="false">SUM(-K96, K104, K112)</f>
        <v>0</v>
      </c>
      <c r="L115" s="221" t="n">
        <f aca="false">SUM(-L96, L104, L112)</f>
        <v>0</v>
      </c>
      <c r="M115" s="221" t="n">
        <f aca="false">SUM(-M96, M104, M112)</f>
        <v>0</v>
      </c>
      <c r="N115" s="221" t="n">
        <f aca="false">SUM(-N96, N104, N112)</f>
        <v>0</v>
      </c>
      <c r="O115" s="221" t="n">
        <f aca="false">SUM(-O96, O104, O112)</f>
        <v>0</v>
      </c>
      <c r="P115" s="221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2"/>
      <c r="J116" s="222"/>
      <c r="K116" s="222"/>
      <c r="L116" s="222"/>
      <c r="M116" s="222"/>
      <c r="N116" s="222"/>
      <c r="O116" s="222"/>
      <c r="P116" s="222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142</v>
      </c>
      <c r="F117" s="123"/>
      <c r="G117" s="123"/>
      <c r="H117" s="123"/>
      <c r="I117" s="223" t="n">
        <f aca="false">SUM(I88, -I115)</f>
        <v>0</v>
      </c>
      <c r="J117" s="223" t="n">
        <f aca="false">SUM(J88, -J115)</f>
        <v>0</v>
      </c>
      <c r="K117" s="224" t="n">
        <f aca="false">SUM(K88, -K115)</f>
        <v>0</v>
      </c>
      <c r="L117" s="223" t="n">
        <f aca="false">SUM(L88, -L115)</f>
        <v>0</v>
      </c>
      <c r="M117" s="223" t="n">
        <f aca="false">SUM(M88, -M115)</f>
        <v>0</v>
      </c>
      <c r="N117" s="223" t="n">
        <f aca="false">SUM(N88, -N115)</f>
        <v>0</v>
      </c>
      <c r="O117" s="223" t="n">
        <f aca="false">SUM(O88, -O115)</f>
        <v>0</v>
      </c>
      <c r="P117" s="223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143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118</v>
      </c>
      <c r="CD120" s="19"/>
      <c r="CE120" s="19"/>
      <c r="CF120" s="19"/>
      <c r="CG120" s="19"/>
      <c r="CI120" s="19" t="s">
        <v>119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144</v>
      </c>
      <c r="E123" s="31"/>
      <c r="F123" s="31"/>
      <c r="G123" s="31"/>
      <c r="H123" s="31"/>
      <c r="I123" s="31"/>
      <c r="J123" s="31"/>
      <c r="K123" s="30" t="s">
        <v>121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123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145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146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147</v>
      </c>
      <c r="F130" s="109"/>
      <c r="G130" s="109"/>
      <c r="H130" s="109"/>
      <c r="I130" s="132"/>
      <c r="J130" s="132"/>
      <c r="K130" s="225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148</v>
      </c>
      <c r="E133" s="31"/>
      <c r="F133" s="31"/>
      <c r="G133" s="31"/>
      <c r="H133" s="31"/>
      <c r="I133" s="31"/>
      <c r="J133" s="31"/>
      <c r="K133" s="30" t="s">
        <v>121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149</v>
      </c>
      <c r="Q135" s="16"/>
      <c r="R135" s="16"/>
    </row>
    <row r="136" s="14" customFormat="true" ht="16.5" hidden="false" customHeight="true" outlineLevel="0" collapsed="false">
      <c r="D136" s="134"/>
      <c r="E136" s="91" t="s">
        <v>365</v>
      </c>
      <c r="L136" s="215" t="n">
        <f aca="false">'SALES-2 Model'!L99</f>
        <v>0.105306666666667</v>
      </c>
      <c r="M136" s="215" t="n">
        <f aca="false">'SALES-2 Model'!M99</f>
        <v>0.421226666666667</v>
      </c>
      <c r="N136" s="215" t="n">
        <f aca="false">'SALES-2 Model'!N99</f>
        <v>0</v>
      </c>
      <c r="O136" s="215" t="n">
        <f aca="false">'SALES-2 Model'!O99</f>
        <v>0</v>
      </c>
      <c r="P136" s="215" t="n">
        <f aca="false">'SALES-2 Model'!P99</f>
        <v>0</v>
      </c>
      <c r="Q136" s="93" t="s">
        <v>252</v>
      </c>
      <c r="R136" s="16"/>
      <c r="T136" s="226" t="n">
        <f aca="false">'SALES-2 Model'!T99</f>
        <v>0</v>
      </c>
      <c r="U136" s="226" t="n">
        <f aca="false">'SALES-2 Model'!U99</f>
        <v>0</v>
      </c>
      <c r="V136" s="226" t="n">
        <f aca="false">'SALES-2 Model'!V99</f>
        <v>0</v>
      </c>
      <c r="W136" s="226" t="n">
        <f aca="false">'SALES-2 Model'!W99</f>
        <v>0</v>
      </c>
      <c r="X136" s="226" t="n">
        <f aca="false">'SALES-2 Model'!X99</f>
        <v>0</v>
      </c>
      <c r="Y136" s="226" t="n">
        <f aca="false">'SALES-2 Model'!Y99</f>
        <v>0</v>
      </c>
      <c r="Z136" s="226" t="n">
        <f aca="false">'SALES-2 Model'!Z99</f>
        <v>0</v>
      </c>
      <c r="AA136" s="226" t="n">
        <f aca="false">'SALES-2 Model'!AA99</f>
        <v>0</v>
      </c>
      <c r="AB136" s="226" t="n">
        <f aca="false">'SALES-2 Model'!AB99</f>
        <v>0</v>
      </c>
      <c r="AC136" s="226" t="n">
        <f aca="false">'SALES-2 Model'!AC99</f>
        <v>0</v>
      </c>
      <c r="AD136" s="226" t="n">
        <f aca="false">'SALES-2 Model'!AD99</f>
        <v>0</v>
      </c>
      <c r="AE136" s="226" t="n">
        <f aca="false">'SALES-2 Model'!AE99</f>
        <v>0.105306666666667</v>
      </c>
      <c r="AF136" s="226" t="n">
        <f aca="false">'SALES-2 Model'!AF99</f>
        <v>0.105306666666667</v>
      </c>
      <c r="AG136" s="226" t="n">
        <f aca="false">'SALES-2 Model'!AG99</f>
        <v>0.105306666666667</v>
      </c>
      <c r="AH136" s="226" t="n">
        <f aca="false">'SALES-2 Model'!AH99</f>
        <v>0.105306666666667</v>
      </c>
      <c r="AI136" s="226" t="n">
        <f aca="false">'SALES-2 Model'!AI99</f>
        <v>0.105306666666667</v>
      </c>
      <c r="AJ136" s="226" t="n">
        <f aca="false">'SALES-2 Model'!AJ99</f>
        <v>0</v>
      </c>
      <c r="AK136" s="226" t="n">
        <f aca="false">'SALES-2 Model'!AK99</f>
        <v>0</v>
      </c>
      <c r="AL136" s="226" t="n">
        <f aca="false">'SALES-2 Model'!AL99</f>
        <v>0</v>
      </c>
      <c r="AM136" s="226" t="n">
        <f aca="false">'SALES-2 Model'!AM99</f>
        <v>0</v>
      </c>
      <c r="AN136" s="226" t="n">
        <f aca="false">'SALES-2 Model'!AN99</f>
        <v>0</v>
      </c>
      <c r="AO136" s="226" t="n">
        <f aca="false">'SALES-2 Model'!AO99</f>
        <v>0</v>
      </c>
      <c r="AP136" s="226" t="n">
        <f aca="false">'SALES-2 Model'!AP99</f>
        <v>0</v>
      </c>
      <c r="AQ136" s="226" t="n">
        <f aca="false">'SALES-2 Model'!AQ99</f>
        <v>0</v>
      </c>
      <c r="AR136" s="226" t="n">
        <f aca="false">'SALES-2 Model'!AR99</f>
        <v>0</v>
      </c>
      <c r="AS136" s="226" t="n">
        <f aca="false">'SALES-2 Model'!AS99</f>
        <v>0</v>
      </c>
      <c r="AT136" s="226" t="n">
        <f aca="false">'SALES-2 Model'!AT99</f>
        <v>0</v>
      </c>
      <c r="AU136" s="226" t="n">
        <f aca="false">'SALES-2 Model'!AU99</f>
        <v>0</v>
      </c>
      <c r="AV136" s="226" t="n">
        <f aca="false">'SALES-2 Model'!AV99</f>
        <v>0</v>
      </c>
      <c r="AW136" s="226" t="n">
        <f aca="false">'SALES-2 Model'!AW99</f>
        <v>0</v>
      </c>
      <c r="AX136" s="226" t="n">
        <f aca="false">'SALES-2 Model'!AX99</f>
        <v>0</v>
      </c>
      <c r="AY136" s="226" t="n">
        <f aca="false">'SALES-2 Model'!AY99</f>
        <v>0</v>
      </c>
      <c r="AZ136" s="226" t="n">
        <f aca="false">'SALES-2 Model'!AZ99</f>
        <v>0</v>
      </c>
      <c r="BA136" s="226" t="n">
        <f aca="false">'SALES-2 Model'!BA99</f>
        <v>0</v>
      </c>
      <c r="BB136" s="226" t="n">
        <f aca="false">'SALES-2 Model'!BB99</f>
        <v>0</v>
      </c>
      <c r="BC136" s="226" t="n">
        <f aca="false">'SALES-2 Model'!BC99</f>
        <v>0</v>
      </c>
      <c r="BD136" s="226" t="n">
        <f aca="false">'SALES-2 Model'!BD99</f>
        <v>0</v>
      </c>
      <c r="BE136" s="226" t="n">
        <f aca="false">'SALES-2 Model'!BE99</f>
        <v>0</v>
      </c>
      <c r="BF136" s="226" t="n">
        <f aca="false">'SALES-2 Model'!BF99</f>
        <v>0</v>
      </c>
      <c r="BG136" s="226" t="n">
        <f aca="false">'SALES-2 Model'!BG99</f>
        <v>0</v>
      </c>
      <c r="BH136" s="226" t="n">
        <f aca="false">'SALES-2 Model'!BH99</f>
        <v>0</v>
      </c>
      <c r="BI136" s="226" t="n">
        <f aca="false">'SALES-2 Model'!BI99</f>
        <v>0</v>
      </c>
      <c r="BJ136" s="226" t="n">
        <f aca="false">'SALES-2 Model'!BJ99</f>
        <v>0</v>
      </c>
      <c r="BK136" s="226" t="n">
        <f aca="false">'SALES-2 Model'!BK99</f>
        <v>0</v>
      </c>
      <c r="BL136" s="226" t="n">
        <f aca="false">'SALES-2 Model'!BL99</f>
        <v>0</v>
      </c>
      <c r="BM136" s="226" t="n">
        <f aca="false">'SALES-2 Model'!BM99</f>
        <v>0</v>
      </c>
      <c r="BN136" s="226" t="n">
        <f aca="false">'SALES-2 Model'!BN99</f>
        <v>0</v>
      </c>
      <c r="BO136" s="226" t="n">
        <f aca="false">'SALES-2 Model'!BO99</f>
        <v>0</v>
      </c>
      <c r="BP136" s="226" t="n">
        <f aca="false">'SALES-2 Model'!BP99</f>
        <v>0</v>
      </c>
      <c r="BQ136" s="226" t="n">
        <f aca="false">'SALES-2 Model'!BQ99</f>
        <v>0</v>
      </c>
      <c r="BR136" s="226" t="n">
        <f aca="false">'SALES-2 Model'!BR99</f>
        <v>0</v>
      </c>
      <c r="BS136" s="226" t="n">
        <f aca="false">'SALES-2 Model'!BS99</f>
        <v>0</v>
      </c>
      <c r="BT136" s="226" t="n">
        <f aca="false">'SALES-2 Model'!BT99</f>
        <v>0</v>
      </c>
      <c r="BU136" s="226" t="n">
        <f aca="false">'SALES-2 Model'!BU99</f>
        <v>0</v>
      </c>
      <c r="BV136" s="226" t="n">
        <f aca="false">'SALES-2 Model'!BV99</f>
        <v>0</v>
      </c>
      <c r="BW136" s="226" t="n">
        <f aca="false">'SALES-2 Model'!BW99</f>
        <v>0</v>
      </c>
      <c r="BX136" s="226" t="n">
        <f aca="false">'SALES-2 Model'!BX99</f>
        <v>0</v>
      </c>
      <c r="BY136" s="226" t="n">
        <f aca="false">'SALES-2 Model'!BY99</f>
        <v>0</v>
      </c>
      <c r="BZ136" s="227" t="n">
        <f aca="false">'SALES-2 Model'!BZ99</f>
        <v>0</v>
      </c>
      <c r="CA136" s="227" t="n">
        <f aca="false">'SALES-2 Model'!CA99</f>
        <v>0</v>
      </c>
      <c r="CC136" s="79" t="n">
        <f aca="false">SUMIFS($T136:$CA136, $T$1:$CA$1, CC$63)</f>
        <v>0.105306666666667</v>
      </c>
      <c r="CD136" s="79" t="n">
        <f aca="false">SUMIFS($T136:$CA136, $T$1:$CA$1, CD$63)</f>
        <v>0.421226666666667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 t="s">
        <v>366</v>
      </c>
      <c r="L137" s="215" t="n">
        <f aca="false">'SALES-2 Model'!L100</f>
        <v>0</v>
      </c>
      <c r="M137" s="215" t="n">
        <f aca="false">'SALES-2 Model'!M100</f>
        <v>0</v>
      </c>
      <c r="N137" s="215" t="n">
        <f aca="false">'SALES-2 Model'!N100</f>
        <v>0</v>
      </c>
      <c r="O137" s="215" t="n">
        <f aca="false">'SALES-2 Model'!O100</f>
        <v>0</v>
      </c>
      <c r="P137" s="215" t="n">
        <f aca="false">'SALES-2 Model'!P100</f>
        <v>0</v>
      </c>
      <c r="Q137" s="93" t="s">
        <v>252</v>
      </c>
      <c r="R137" s="16"/>
      <c r="T137" s="226" t="n">
        <f aca="false">'SALES-2 Model'!T100</f>
        <v>0</v>
      </c>
      <c r="U137" s="226" t="n">
        <f aca="false">'SALES-2 Model'!U100</f>
        <v>0</v>
      </c>
      <c r="V137" s="226" t="n">
        <f aca="false">'SALES-2 Model'!V100</f>
        <v>0</v>
      </c>
      <c r="W137" s="226" t="n">
        <f aca="false">'SALES-2 Model'!W100</f>
        <v>0</v>
      </c>
      <c r="X137" s="226" t="n">
        <f aca="false">'SALES-2 Model'!X100</f>
        <v>0</v>
      </c>
      <c r="Y137" s="226" t="n">
        <f aca="false">'SALES-2 Model'!Y100</f>
        <v>0</v>
      </c>
      <c r="Z137" s="226" t="n">
        <f aca="false">'SALES-2 Model'!Z100</f>
        <v>0</v>
      </c>
      <c r="AA137" s="226" t="n">
        <f aca="false">'SALES-2 Model'!AA100</f>
        <v>0</v>
      </c>
      <c r="AB137" s="226" t="n">
        <f aca="false">'SALES-2 Model'!AB100</f>
        <v>0</v>
      </c>
      <c r="AC137" s="226" t="n">
        <f aca="false">'SALES-2 Model'!AC100</f>
        <v>0</v>
      </c>
      <c r="AD137" s="226" t="n">
        <f aca="false">'SALES-2 Model'!AD100</f>
        <v>0</v>
      </c>
      <c r="AE137" s="226" t="n">
        <f aca="false">'SALES-2 Model'!AE100</f>
        <v>0</v>
      </c>
      <c r="AF137" s="226" t="n">
        <f aca="false">'SALES-2 Model'!AF100</f>
        <v>0</v>
      </c>
      <c r="AG137" s="226" t="n">
        <f aca="false">'SALES-2 Model'!AG100</f>
        <v>0</v>
      </c>
      <c r="AH137" s="226" t="n">
        <f aca="false">'SALES-2 Model'!AH100</f>
        <v>0</v>
      </c>
      <c r="AI137" s="226" t="n">
        <f aca="false">'SALES-2 Model'!AI100</f>
        <v>0</v>
      </c>
      <c r="AJ137" s="226" t="n">
        <f aca="false">'SALES-2 Model'!AJ100</f>
        <v>0</v>
      </c>
      <c r="AK137" s="226" t="n">
        <f aca="false">'SALES-2 Model'!AK100</f>
        <v>0</v>
      </c>
      <c r="AL137" s="226" t="n">
        <f aca="false">'SALES-2 Model'!AL100</f>
        <v>0</v>
      </c>
      <c r="AM137" s="226" t="n">
        <f aca="false">'SALES-2 Model'!AM100</f>
        <v>0</v>
      </c>
      <c r="AN137" s="226" t="n">
        <f aca="false">'SALES-2 Model'!AN100</f>
        <v>0</v>
      </c>
      <c r="AO137" s="226" t="n">
        <f aca="false">'SALES-2 Model'!AO100</f>
        <v>0</v>
      </c>
      <c r="AP137" s="226" t="n">
        <f aca="false">'SALES-2 Model'!AP100</f>
        <v>0</v>
      </c>
      <c r="AQ137" s="226" t="n">
        <f aca="false">'SALES-2 Model'!AQ100</f>
        <v>0</v>
      </c>
      <c r="AR137" s="226" t="n">
        <f aca="false">'SALES-2 Model'!AR100</f>
        <v>0</v>
      </c>
      <c r="AS137" s="226" t="n">
        <f aca="false">'SALES-2 Model'!AS100</f>
        <v>0</v>
      </c>
      <c r="AT137" s="226" t="n">
        <f aca="false">'SALES-2 Model'!AT100</f>
        <v>0</v>
      </c>
      <c r="AU137" s="226" t="n">
        <f aca="false">'SALES-2 Model'!AU100</f>
        <v>0</v>
      </c>
      <c r="AV137" s="226" t="n">
        <f aca="false">'SALES-2 Model'!AV100</f>
        <v>0</v>
      </c>
      <c r="AW137" s="226" t="n">
        <f aca="false">'SALES-2 Model'!AW100</f>
        <v>0</v>
      </c>
      <c r="AX137" s="226" t="n">
        <f aca="false">'SALES-2 Model'!AX100</f>
        <v>0</v>
      </c>
      <c r="AY137" s="226" t="n">
        <f aca="false">'SALES-2 Model'!AY100</f>
        <v>0</v>
      </c>
      <c r="AZ137" s="226" t="n">
        <f aca="false">'SALES-2 Model'!AZ100</f>
        <v>0</v>
      </c>
      <c r="BA137" s="226" t="n">
        <f aca="false">'SALES-2 Model'!BA100</f>
        <v>0</v>
      </c>
      <c r="BB137" s="226" t="n">
        <f aca="false">'SALES-2 Model'!BB100</f>
        <v>0</v>
      </c>
      <c r="BC137" s="226" t="n">
        <f aca="false">'SALES-2 Model'!BC100</f>
        <v>0</v>
      </c>
      <c r="BD137" s="226" t="n">
        <f aca="false">'SALES-2 Model'!BD100</f>
        <v>0</v>
      </c>
      <c r="BE137" s="226" t="n">
        <f aca="false">'SALES-2 Model'!BE100</f>
        <v>0</v>
      </c>
      <c r="BF137" s="226" t="n">
        <f aca="false">'SALES-2 Model'!BF100</f>
        <v>0</v>
      </c>
      <c r="BG137" s="226" t="n">
        <f aca="false">'SALES-2 Model'!BG100</f>
        <v>0</v>
      </c>
      <c r="BH137" s="226" t="n">
        <f aca="false">'SALES-2 Model'!BH100</f>
        <v>0</v>
      </c>
      <c r="BI137" s="226" t="n">
        <f aca="false">'SALES-2 Model'!BI100</f>
        <v>0</v>
      </c>
      <c r="BJ137" s="226" t="n">
        <f aca="false">'SALES-2 Model'!BJ100</f>
        <v>0</v>
      </c>
      <c r="BK137" s="226" t="n">
        <f aca="false">'SALES-2 Model'!BK100</f>
        <v>0</v>
      </c>
      <c r="BL137" s="226" t="n">
        <f aca="false">'SALES-2 Model'!BL100</f>
        <v>0</v>
      </c>
      <c r="BM137" s="226" t="n">
        <f aca="false">'SALES-2 Model'!BM100</f>
        <v>0</v>
      </c>
      <c r="BN137" s="226" t="n">
        <f aca="false">'SALES-2 Model'!BN100</f>
        <v>0</v>
      </c>
      <c r="BO137" s="226" t="n">
        <f aca="false">'SALES-2 Model'!BO100</f>
        <v>0</v>
      </c>
      <c r="BP137" s="226" t="n">
        <f aca="false">'SALES-2 Model'!BP100</f>
        <v>0</v>
      </c>
      <c r="BQ137" s="226" t="n">
        <f aca="false">'SALES-2 Model'!BQ100</f>
        <v>0</v>
      </c>
      <c r="BR137" s="226" t="n">
        <f aca="false">'SALES-2 Model'!BR100</f>
        <v>0</v>
      </c>
      <c r="BS137" s="226" t="n">
        <f aca="false">'SALES-2 Model'!BS100</f>
        <v>0</v>
      </c>
      <c r="BT137" s="226" t="n">
        <f aca="false">'SALES-2 Model'!BT100</f>
        <v>0</v>
      </c>
      <c r="BU137" s="226" t="n">
        <f aca="false">'SALES-2 Model'!BU100</f>
        <v>0</v>
      </c>
      <c r="BV137" s="226" t="n">
        <f aca="false">'SALES-2 Model'!BV100</f>
        <v>0</v>
      </c>
      <c r="BW137" s="226" t="n">
        <f aca="false">'SALES-2 Model'!BW100</f>
        <v>0</v>
      </c>
      <c r="BX137" s="226" t="n">
        <f aca="false">'SALES-2 Model'!BX100</f>
        <v>0</v>
      </c>
      <c r="BY137" s="226" t="n">
        <f aca="false">'SALES-2 Model'!BY100</f>
        <v>0</v>
      </c>
      <c r="BZ137" s="227" t="n">
        <f aca="false">'SALES-2 Model'!BZ100</f>
        <v>0</v>
      </c>
      <c r="CA137" s="227" t="n">
        <f aca="false">'SALES-2 Model'!CA100</f>
        <v>0</v>
      </c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151</v>
      </c>
      <c r="L138" s="82" t="n">
        <f aca="false">SUM(L136:L137)</f>
        <v>0.105306666666667</v>
      </c>
      <c r="M138" s="82" t="n">
        <f aca="false">SUM(M136:M137)</f>
        <v>0.421226666666667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0.105306666666667</v>
      </c>
      <c r="AF138" s="131" t="n">
        <f aca="false">SUM(AF136:AF137)</f>
        <v>0.105306666666667</v>
      </c>
      <c r="AG138" s="131" t="n">
        <f aca="false">SUM(AG136:AG137)</f>
        <v>0.105306666666667</v>
      </c>
      <c r="AH138" s="131" t="n">
        <f aca="false">SUM(AH136:AH137)</f>
        <v>0.105306666666667</v>
      </c>
      <c r="AI138" s="131" t="n">
        <f aca="false">SUM(AI136:AI137)</f>
        <v>0.105306666666667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0.105306666666667</v>
      </c>
      <c r="CD138" s="136" t="n">
        <f aca="false">SUM(CD136:CD137)</f>
        <v>0.421226666666667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152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 t="s">
        <v>367</v>
      </c>
      <c r="K141" s="29"/>
      <c r="L141" s="215" t="n">
        <f aca="false">'SALES-2 Model'!L101</f>
        <v>0.15796</v>
      </c>
      <c r="M141" s="215" t="n">
        <f aca="false">'SALES-2 Model'!M101</f>
        <v>0.598931666666667</v>
      </c>
      <c r="N141" s="215" t="n">
        <f aca="false">'SALES-2 Model'!N101</f>
        <v>0</v>
      </c>
      <c r="O141" s="215" t="n">
        <f aca="false">'SALES-2 Model'!O101</f>
        <v>0</v>
      </c>
      <c r="P141" s="215" t="n">
        <f aca="false">'SALES-2 Model'!P101</f>
        <v>0</v>
      </c>
      <c r="Q141" s="93" t="s">
        <v>252</v>
      </c>
      <c r="R141" s="16"/>
      <c r="T141" s="226" t="n">
        <f aca="false">'SALES-2 Model'!T101</f>
        <v>0</v>
      </c>
      <c r="U141" s="226" t="n">
        <f aca="false">'SALES-2 Model'!U101</f>
        <v>0</v>
      </c>
      <c r="V141" s="226" t="n">
        <f aca="false">'SALES-2 Model'!V101</f>
        <v>0</v>
      </c>
      <c r="W141" s="226" t="n">
        <f aca="false">'SALES-2 Model'!W101</f>
        <v>0</v>
      </c>
      <c r="X141" s="226" t="n">
        <f aca="false">'SALES-2 Model'!X101</f>
        <v>0</v>
      </c>
      <c r="Y141" s="226" t="n">
        <f aca="false">'SALES-2 Model'!Y101</f>
        <v>0</v>
      </c>
      <c r="Z141" s="226" t="n">
        <f aca="false">'SALES-2 Model'!Z101</f>
        <v>0</v>
      </c>
      <c r="AA141" s="226" t="n">
        <f aca="false">'SALES-2 Model'!AA101</f>
        <v>0</v>
      </c>
      <c r="AB141" s="226" t="n">
        <f aca="false">'SALES-2 Model'!AB101</f>
        <v>0</v>
      </c>
      <c r="AC141" s="226" t="n">
        <f aca="false">'SALES-2 Model'!AC101</f>
        <v>0.0658166666666667</v>
      </c>
      <c r="AD141" s="226" t="n">
        <f aca="false">'SALES-2 Model'!AD101</f>
        <v>0.0658166666666667</v>
      </c>
      <c r="AE141" s="226" t="n">
        <f aca="false">'SALES-2 Model'!AE101</f>
        <v>0.0263266666666667</v>
      </c>
      <c r="AF141" s="226" t="n">
        <f aca="false">'SALES-2 Model'!AF101</f>
        <v>0.0263266666666667</v>
      </c>
      <c r="AG141" s="226" t="n">
        <f aca="false">'SALES-2 Model'!AG101</f>
        <v>0.0263266666666667</v>
      </c>
      <c r="AH141" s="226" t="n">
        <f aca="false">'SALES-2 Model'!AH101</f>
        <v>0.0263266666666667</v>
      </c>
      <c r="AI141" s="226" t="n">
        <f aca="false">'SALES-2 Model'!AI101</f>
        <v>0.1085975</v>
      </c>
      <c r="AJ141" s="226" t="n">
        <f aca="false">'SALES-2 Model'!AJ101</f>
        <v>0.0822708333333333</v>
      </c>
      <c r="AK141" s="226" t="n">
        <f aca="false">'SALES-2 Model'!AK101</f>
        <v>0.0822708333333333</v>
      </c>
      <c r="AL141" s="226" t="n">
        <f aca="false">'SALES-2 Model'!AL101</f>
        <v>0.0822708333333333</v>
      </c>
      <c r="AM141" s="226" t="n">
        <f aca="false">'SALES-2 Model'!AM101</f>
        <v>0.0822708333333333</v>
      </c>
      <c r="AN141" s="226" t="n">
        <f aca="false">'SALES-2 Model'!AN101</f>
        <v>0.0822708333333333</v>
      </c>
      <c r="AO141" s="226" t="n">
        <f aca="false">'SALES-2 Model'!AO101</f>
        <v>0</v>
      </c>
      <c r="AP141" s="226" t="n">
        <f aca="false">'SALES-2 Model'!AP101</f>
        <v>0</v>
      </c>
      <c r="AQ141" s="226" t="n">
        <f aca="false">'SALES-2 Model'!AQ101</f>
        <v>0</v>
      </c>
      <c r="AR141" s="226" t="n">
        <f aca="false">'SALES-2 Model'!AR101</f>
        <v>0</v>
      </c>
      <c r="AS141" s="226" t="n">
        <f aca="false">'SALES-2 Model'!AS101</f>
        <v>0</v>
      </c>
      <c r="AT141" s="226" t="n">
        <f aca="false">'SALES-2 Model'!AT101</f>
        <v>0</v>
      </c>
      <c r="AU141" s="226" t="n">
        <f aca="false">'SALES-2 Model'!AU101</f>
        <v>0</v>
      </c>
      <c r="AV141" s="226" t="n">
        <f aca="false">'SALES-2 Model'!AV101</f>
        <v>0</v>
      </c>
      <c r="AW141" s="226" t="n">
        <f aca="false">'SALES-2 Model'!AW101</f>
        <v>0</v>
      </c>
      <c r="AX141" s="226" t="n">
        <f aca="false">'SALES-2 Model'!AX101</f>
        <v>0</v>
      </c>
      <c r="AY141" s="226" t="n">
        <f aca="false">'SALES-2 Model'!AY101</f>
        <v>0</v>
      </c>
      <c r="AZ141" s="226" t="n">
        <f aca="false">'SALES-2 Model'!AZ101</f>
        <v>0</v>
      </c>
      <c r="BA141" s="226" t="n">
        <f aca="false">'SALES-2 Model'!BA101</f>
        <v>0</v>
      </c>
      <c r="BB141" s="226" t="n">
        <f aca="false">'SALES-2 Model'!BB101</f>
        <v>0</v>
      </c>
      <c r="BC141" s="226" t="n">
        <f aca="false">'SALES-2 Model'!BC101</f>
        <v>0</v>
      </c>
      <c r="BD141" s="226" t="n">
        <f aca="false">'SALES-2 Model'!BD101</f>
        <v>0</v>
      </c>
      <c r="BE141" s="226" t="n">
        <f aca="false">'SALES-2 Model'!BE101</f>
        <v>0</v>
      </c>
      <c r="BF141" s="226" t="n">
        <f aca="false">'SALES-2 Model'!BF101</f>
        <v>0</v>
      </c>
      <c r="BG141" s="226" t="n">
        <f aca="false">'SALES-2 Model'!BG101</f>
        <v>0</v>
      </c>
      <c r="BH141" s="226" t="n">
        <f aca="false">'SALES-2 Model'!BH101</f>
        <v>0</v>
      </c>
      <c r="BI141" s="226" t="n">
        <f aca="false">'SALES-2 Model'!BI101</f>
        <v>0</v>
      </c>
      <c r="BJ141" s="226" t="n">
        <f aca="false">'SALES-2 Model'!BJ101</f>
        <v>0</v>
      </c>
      <c r="BK141" s="226" t="n">
        <f aca="false">'SALES-2 Model'!BK101</f>
        <v>0</v>
      </c>
      <c r="BL141" s="226" t="n">
        <f aca="false">'SALES-2 Model'!BL101</f>
        <v>0</v>
      </c>
      <c r="BM141" s="226" t="n">
        <f aca="false">'SALES-2 Model'!BM101</f>
        <v>0</v>
      </c>
      <c r="BN141" s="226" t="n">
        <f aca="false">'SALES-2 Model'!BN101</f>
        <v>0</v>
      </c>
      <c r="BO141" s="226" t="n">
        <f aca="false">'SALES-2 Model'!BO101</f>
        <v>0</v>
      </c>
      <c r="BP141" s="226" t="n">
        <f aca="false">'SALES-2 Model'!BP101</f>
        <v>0</v>
      </c>
      <c r="BQ141" s="226" t="n">
        <f aca="false">'SALES-2 Model'!BQ101</f>
        <v>0</v>
      </c>
      <c r="BR141" s="226" t="n">
        <f aca="false">'SALES-2 Model'!BR101</f>
        <v>0</v>
      </c>
      <c r="BS141" s="226" t="n">
        <f aca="false">'SALES-2 Model'!BS101</f>
        <v>0</v>
      </c>
      <c r="BT141" s="226" t="n">
        <f aca="false">'SALES-2 Model'!BT101</f>
        <v>0</v>
      </c>
      <c r="BU141" s="226" t="n">
        <f aca="false">'SALES-2 Model'!BU101</f>
        <v>0</v>
      </c>
      <c r="BV141" s="226" t="n">
        <f aca="false">'SALES-2 Model'!BV101</f>
        <v>0</v>
      </c>
      <c r="BW141" s="226" t="n">
        <f aca="false">'SALES-2 Model'!BW101</f>
        <v>0</v>
      </c>
      <c r="BX141" s="226" t="n">
        <f aca="false">'SALES-2 Model'!BX101</f>
        <v>0</v>
      </c>
      <c r="BY141" s="226" t="n">
        <f aca="false">'SALES-2 Model'!BY101</f>
        <v>0</v>
      </c>
      <c r="BZ141" s="228" t="n">
        <f aca="false">'SALES-2 Model'!BZ101</f>
        <v>0</v>
      </c>
      <c r="CA141" s="228" t="n">
        <f aca="false">'SALES-2 Model'!CA101</f>
        <v>0</v>
      </c>
      <c r="CC141" s="79" t="n">
        <f aca="false">SUMIFS($T141:$CA141, $T$1:$CA$1, CC$63)</f>
        <v>0.15796</v>
      </c>
      <c r="CD141" s="79" t="n">
        <f aca="false">SUMIFS($T141:$CA141, $T$1:$CA$1, CD$63)</f>
        <v>0.598931666666667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 t="s">
        <v>368</v>
      </c>
      <c r="L142" s="215" t="n">
        <f aca="false">'SALES-2 Model'!L102</f>
        <v>0.0804279666666667</v>
      </c>
      <c r="M142" s="215" t="n">
        <f aca="false">'SALES-2 Model'!M102</f>
        <v>0.160855933333333</v>
      </c>
      <c r="N142" s="215" t="n">
        <f aca="false">'SALES-2 Model'!N102</f>
        <v>0</v>
      </c>
      <c r="O142" s="215" t="n">
        <f aca="false">'SALES-2 Model'!O102</f>
        <v>0</v>
      </c>
      <c r="P142" s="215" t="n">
        <f aca="false">'SALES-2 Model'!P102</f>
        <v>0</v>
      </c>
      <c r="Q142" s="93" t="s">
        <v>252</v>
      </c>
      <c r="R142" s="16"/>
      <c r="T142" s="226" t="n">
        <f aca="false">'SALES-2 Model'!T102</f>
        <v>0</v>
      </c>
      <c r="U142" s="226" t="n">
        <f aca="false">'SALES-2 Model'!U102</f>
        <v>0</v>
      </c>
      <c r="V142" s="226" t="n">
        <f aca="false">'SALES-2 Model'!V102</f>
        <v>0</v>
      </c>
      <c r="W142" s="226" t="n">
        <f aca="false">'SALES-2 Model'!W102</f>
        <v>0</v>
      </c>
      <c r="X142" s="226" t="n">
        <f aca="false">'SALES-2 Model'!X102</f>
        <v>0</v>
      </c>
      <c r="Y142" s="226" t="n">
        <f aca="false">'SALES-2 Model'!Y102</f>
        <v>0</v>
      </c>
      <c r="Z142" s="226" t="n">
        <f aca="false">'SALES-2 Model'!Z102</f>
        <v>0</v>
      </c>
      <c r="AA142" s="226" t="n">
        <f aca="false">'SALES-2 Model'!AA102</f>
        <v>0</v>
      </c>
      <c r="AB142" s="226" t="n">
        <f aca="false">'SALES-2 Model'!AB102</f>
        <v>0</v>
      </c>
      <c r="AC142" s="226" t="n">
        <f aca="false">'SALES-2 Model'!AC102</f>
        <v>0.0268093222222222</v>
      </c>
      <c r="AD142" s="226" t="n">
        <f aca="false">'SALES-2 Model'!AD102</f>
        <v>0.0268093222222222</v>
      </c>
      <c r="AE142" s="226" t="n">
        <f aca="false">'SALES-2 Model'!AE102</f>
        <v>0.0268093222222222</v>
      </c>
      <c r="AF142" s="226" t="n">
        <f aca="false">'SALES-2 Model'!AF102</f>
        <v>0.0268093222222222</v>
      </c>
      <c r="AG142" s="226" t="n">
        <f aca="false">'SALES-2 Model'!AG102</f>
        <v>0.0268093222222222</v>
      </c>
      <c r="AH142" s="226" t="n">
        <f aca="false">'SALES-2 Model'!AH102</f>
        <v>0.0268093222222222</v>
      </c>
      <c r="AI142" s="226" t="n">
        <f aca="false">'SALES-2 Model'!AI102</f>
        <v>0.0268093222222222</v>
      </c>
      <c r="AJ142" s="226" t="n">
        <f aca="false">'SALES-2 Model'!AJ102</f>
        <v>0.0268093222222222</v>
      </c>
      <c r="AK142" s="226" t="n">
        <f aca="false">'SALES-2 Model'!AK102</f>
        <v>0.0268093222222222</v>
      </c>
      <c r="AL142" s="226" t="n">
        <f aca="false">'SALES-2 Model'!AL102</f>
        <v>0</v>
      </c>
      <c r="AM142" s="226" t="n">
        <f aca="false">'SALES-2 Model'!AM102</f>
        <v>0</v>
      </c>
      <c r="AN142" s="226" t="n">
        <f aca="false">'SALES-2 Model'!AN102</f>
        <v>0</v>
      </c>
      <c r="AO142" s="226" t="n">
        <f aca="false">'SALES-2 Model'!AO102</f>
        <v>0</v>
      </c>
      <c r="AP142" s="226" t="n">
        <f aca="false">'SALES-2 Model'!AP102</f>
        <v>0</v>
      </c>
      <c r="AQ142" s="226" t="n">
        <f aca="false">'SALES-2 Model'!AQ102</f>
        <v>0</v>
      </c>
      <c r="AR142" s="226" t="n">
        <f aca="false">'SALES-2 Model'!AR102</f>
        <v>0</v>
      </c>
      <c r="AS142" s="226" t="n">
        <f aca="false">'SALES-2 Model'!AS102</f>
        <v>0</v>
      </c>
      <c r="AT142" s="226" t="n">
        <f aca="false">'SALES-2 Model'!AT102</f>
        <v>0</v>
      </c>
      <c r="AU142" s="226" t="n">
        <f aca="false">'SALES-2 Model'!AU102</f>
        <v>0</v>
      </c>
      <c r="AV142" s="226" t="n">
        <f aca="false">'SALES-2 Model'!AV102</f>
        <v>0</v>
      </c>
      <c r="AW142" s="226" t="n">
        <f aca="false">'SALES-2 Model'!AW102</f>
        <v>0</v>
      </c>
      <c r="AX142" s="226" t="n">
        <f aca="false">'SALES-2 Model'!AX102</f>
        <v>0</v>
      </c>
      <c r="AY142" s="226" t="n">
        <f aca="false">'SALES-2 Model'!AY102</f>
        <v>0</v>
      </c>
      <c r="AZ142" s="226" t="n">
        <f aca="false">'SALES-2 Model'!AZ102</f>
        <v>0</v>
      </c>
      <c r="BA142" s="226" t="n">
        <f aca="false">'SALES-2 Model'!BA102</f>
        <v>0</v>
      </c>
      <c r="BB142" s="226" t="n">
        <f aca="false">'SALES-2 Model'!BB102</f>
        <v>0</v>
      </c>
      <c r="BC142" s="226" t="n">
        <f aca="false">'SALES-2 Model'!BC102</f>
        <v>0</v>
      </c>
      <c r="BD142" s="226" t="n">
        <f aca="false">'SALES-2 Model'!BD102</f>
        <v>0</v>
      </c>
      <c r="BE142" s="226" t="n">
        <f aca="false">'SALES-2 Model'!BE102</f>
        <v>0</v>
      </c>
      <c r="BF142" s="226" t="n">
        <f aca="false">'SALES-2 Model'!BF102</f>
        <v>0</v>
      </c>
      <c r="BG142" s="226" t="n">
        <f aca="false">'SALES-2 Model'!BG102</f>
        <v>0</v>
      </c>
      <c r="BH142" s="226" t="n">
        <f aca="false">'SALES-2 Model'!BH102</f>
        <v>0</v>
      </c>
      <c r="BI142" s="226" t="n">
        <f aca="false">'SALES-2 Model'!BI102</f>
        <v>0</v>
      </c>
      <c r="BJ142" s="226" t="n">
        <f aca="false">'SALES-2 Model'!BJ102</f>
        <v>0</v>
      </c>
      <c r="BK142" s="226" t="n">
        <f aca="false">'SALES-2 Model'!BK102</f>
        <v>0</v>
      </c>
      <c r="BL142" s="226" t="n">
        <f aca="false">'SALES-2 Model'!BL102</f>
        <v>0</v>
      </c>
      <c r="BM142" s="226" t="n">
        <f aca="false">'SALES-2 Model'!BM102</f>
        <v>0</v>
      </c>
      <c r="BN142" s="226" t="n">
        <f aca="false">'SALES-2 Model'!BN102</f>
        <v>0</v>
      </c>
      <c r="BO142" s="226" t="n">
        <f aca="false">'SALES-2 Model'!BO102</f>
        <v>0</v>
      </c>
      <c r="BP142" s="226" t="n">
        <f aca="false">'SALES-2 Model'!BP102</f>
        <v>0</v>
      </c>
      <c r="BQ142" s="226" t="n">
        <f aca="false">'SALES-2 Model'!BQ102</f>
        <v>0</v>
      </c>
      <c r="BR142" s="226" t="n">
        <f aca="false">'SALES-2 Model'!BR102</f>
        <v>0</v>
      </c>
      <c r="BS142" s="226" t="n">
        <f aca="false">'SALES-2 Model'!BS102</f>
        <v>0</v>
      </c>
      <c r="BT142" s="226" t="n">
        <f aca="false">'SALES-2 Model'!BT102</f>
        <v>0</v>
      </c>
      <c r="BU142" s="226" t="n">
        <f aca="false">'SALES-2 Model'!BU102</f>
        <v>0</v>
      </c>
      <c r="BV142" s="226" t="n">
        <f aca="false">'SALES-2 Model'!BV102</f>
        <v>0</v>
      </c>
      <c r="BW142" s="226" t="n">
        <f aca="false">'SALES-2 Model'!BW102</f>
        <v>0</v>
      </c>
      <c r="BX142" s="226" t="n">
        <f aca="false">'SALES-2 Model'!BX102</f>
        <v>0</v>
      </c>
      <c r="BY142" s="226" t="n">
        <f aca="false">'SALES-2 Model'!BY102</f>
        <v>0</v>
      </c>
      <c r="BZ142" s="228" t="n">
        <f aca="false">'SALES-2 Model'!BZ102</f>
        <v>0</v>
      </c>
      <c r="CA142" s="228" t="n">
        <f aca="false">'SALES-2 Model'!CA102</f>
        <v>0</v>
      </c>
      <c r="CC142" s="79" t="n">
        <f aca="false">SUMIFS($T142:$CA142, $T$1:$CA$1, CC$63)</f>
        <v>0.0804279666666667</v>
      </c>
      <c r="CD142" s="79" t="n">
        <f aca="false">SUMIFS($T142:$CA142, $T$1:$CA$1, CD$63)</f>
        <v>0.160855933333333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153</v>
      </c>
      <c r="L144" s="82" t="n">
        <f aca="false">SUM(L141:L143)</f>
        <v>0.238387966666667</v>
      </c>
      <c r="M144" s="82" t="n">
        <f aca="false">SUM(M141:M143)</f>
        <v>0.7597876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0.0926259888888889</v>
      </c>
      <c r="AD144" s="131" t="n">
        <f aca="false">SUM(AD141:AD143)</f>
        <v>0.0926259888888889</v>
      </c>
      <c r="AE144" s="131" t="n">
        <f aca="false">SUM(AE141:AE143)</f>
        <v>0.0531359888888889</v>
      </c>
      <c r="AF144" s="131" t="n">
        <f aca="false">SUM(AF141:AF143)</f>
        <v>0.0531359888888889</v>
      </c>
      <c r="AG144" s="131" t="n">
        <f aca="false">SUM(AG141:AG143)</f>
        <v>0.0531359888888889</v>
      </c>
      <c r="AH144" s="131" t="n">
        <f aca="false">SUM(AH141:AH143)</f>
        <v>0.0531359888888889</v>
      </c>
      <c r="AI144" s="131" t="n">
        <f aca="false">SUM(AI141:AI143)</f>
        <v>0.135406822222222</v>
      </c>
      <c r="AJ144" s="131" t="n">
        <f aca="false">SUM(AJ141:AJ143)</f>
        <v>0.109080155555556</v>
      </c>
      <c r="AK144" s="131" t="n">
        <f aca="false">SUM(AK141:AK143)</f>
        <v>0.109080155555556</v>
      </c>
      <c r="AL144" s="131" t="n">
        <f aca="false">SUM(AL141:AL143)</f>
        <v>0.0822708333333333</v>
      </c>
      <c r="AM144" s="131" t="n">
        <f aca="false">SUM(AM141:AM143)</f>
        <v>0.0822708333333333</v>
      </c>
      <c r="AN144" s="131" t="n">
        <f aca="false">SUM(AN141:AN143)</f>
        <v>0.0822708333333333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0.238387966666667</v>
      </c>
      <c r="CD144" s="136" t="n">
        <f aca="false">SUM(CD141:CD143)</f>
        <v>0.7597876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154</v>
      </c>
      <c r="F147" s="109"/>
      <c r="G147" s="109"/>
      <c r="H147" s="109"/>
      <c r="I147" s="132"/>
      <c r="J147" s="132"/>
      <c r="K147" s="132"/>
      <c r="L147" s="120" t="n">
        <f aca="false">SUM(L138, L144)</f>
        <v>0.343694633333333</v>
      </c>
      <c r="M147" s="120" t="n">
        <f aca="false">SUM(M138, M144)</f>
        <v>1.18101426666667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0.0926259888888889</v>
      </c>
      <c r="AD147" s="120" t="n">
        <f aca="false">SUM(AD138, AD144)</f>
        <v>0.0926259888888889</v>
      </c>
      <c r="AE147" s="120" t="n">
        <f aca="false">SUM(AE138, AE144)</f>
        <v>0.158442655555556</v>
      </c>
      <c r="AF147" s="120" t="n">
        <f aca="false">SUM(AF138, AF144)</f>
        <v>0.158442655555556</v>
      </c>
      <c r="AG147" s="120" t="n">
        <f aca="false">SUM(AG138, AG144)</f>
        <v>0.158442655555556</v>
      </c>
      <c r="AH147" s="120" t="n">
        <f aca="false">SUM(AH138, AH144)</f>
        <v>0.158442655555556</v>
      </c>
      <c r="AI147" s="120" t="n">
        <f aca="false">SUM(AI138, AI144)</f>
        <v>0.240713488888889</v>
      </c>
      <c r="AJ147" s="120" t="n">
        <f aca="false">SUM(AJ138, AJ144)</f>
        <v>0.109080155555556</v>
      </c>
      <c r="AK147" s="120" t="n">
        <f aca="false">SUM(AK138, AK144)</f>
        <v>0.109080155555556</v>
      </c>
      <c r="AL147" s="120" t="n">
        <f aca="false">SUM(AL138, AL144)</f>
        <v>0.0822708333333333</v>
      </c>
      <c r="AM147" s="120" t="n">
        <f aca="false">SUM(AM138, AM144)</f>
        <v>0.0822708333333333</v>
      </c>
      <c r="AN147" s="120" t="n">
        <f aca="false">SUM(AN138, AN144)</f>
        <v>0.0822708333333333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0.343694633333333</v>
      </c>
      <c r="CD147" s="120" t="n">
        <f aca="false">SUM(CD138, CD144)</f>
        <v>1.18101426666667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428</v>
      </c>
      <c r="F149" s="123"/>
      <c r="G149" s="123"/>
      <c r="H149" s="123"/>
      <c r="I149" s="126"/>
      <c r="J149" s="126"/>
      <c r="K149" s="142"/>
      <c r="L149" s="125" t="n">
        <f aca="false">SUM(L130, -L147)</f>
        <v>-0.343694633333333</v>
      </c>
      <c r="M149" s="125" t="n">
        <f aca="false">SUM(M130, -M147)</f>
        <v>-1.18101426666667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-0.0926259888888889</v>
      </c>
      <c r="AD149" s="144" t="n">
        <f aca="false">SUM(AD130, -AD147)</f>
        <v>-0.0926259888888889</v>
      </c>
      <c r="AE149" s="144" t="n">
        <f aca="false">SUM(AE130, -AE147)</f>
        <v>-0.158442655555556</v>
      </c>
      <c r="AF149" s="144" t="n">
        <f aca="false">SUM(AF130, -AF147)</f>
        <v>-0.158442655555556</v>
      </c>
      <c r="AG149" s="144" t="n">
        <f aca="false">SUM(AG130, -AG147)</f>
        <v>-0.158442655555556</v>
      </c>
      <c r="AH149" s="144" t="n">
        <f aca="false">SUM(AH130, -AH147)</f>
        <v>-0.158442655555556</v>
      </c>
      <c r="AI149" s="144" t="n">
        <f aca="false">SUM(AI130, -AI147)</f>
        <v>-0.240713488888889</v>
      </c>
      <c r="AJ149" s="144" t="n">
        <f aca="false">SUM(AJ130, -AJ147)</f>
        <v>-0.109080155555556</v>
      </c>
      <c r="AK149" s="144" t="n">
        <f aca="false">SUM(AK130, -AK147)</f>
        <v>-0.109080155555556</v>
      </c>
      <c r="AL149" s="144" t="n">
        <f aca="false">SUM(AL130, -AL147)</f>
        <v>-0.0822708333333333</v>
      </c>
      <c r="AM149" s="144" t="n">
        <f aca="false">SUM(AM130, -AM147)</f>
        <v>-0.0822708333333333</v>
      </c>
      <c r="AN149" s="144" t="n">
        <f aca="false">SUM(AN130, -AN147)</f>
        <v>-0.0822708333333333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-0.343694633333333</v>
      </c>
      <c r="CD149" s="143" t="n">
        <f aca="false">SUM(CD130, -CD147)</f>
        <v>-1.18101426666667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156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118</v>
      </c>
      <c r="CD152" s="19"/>
      <c r="CE152" s="19"/>
      <c r="CF152" s="19"/>
      <c r="CG152" s="19"/>
      <c r="CI152" s="19" t="s">
        <v>119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157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158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159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160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161</v>
      </c>
      <c r="L158" s="90" t="n">
        <f aca="false">-L147</f>
        <v>-0.343694633333333</v>
      </c>
      <c r="M158" s="90" t="n">
        <f aca="false">-M147</f>
        <v>-1.18101426666667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-1.5247089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9" t="s">
        <v>157</v>
      </c>
      <c r="F159" s="229"/>
      <c r="G159" s="229"/>
      <c r="H159" s="229"/>
      <c r="I159" s="229"/>
      <c r="J159" s="229"/>
      <c r="K159" s="229"/>
      <c r="L159" s="230" t="n">
        <f aca="false">SUM(L156:L158)</f>
        <v>-0.343694633333333</v>
      </c>
      <c r="M159" s="230" t="n">
        <f aca="false">SUM(M156:M158)</f>
        <v>-1.18101426666667</v>
      </c>
      <c r="N159" s="230" t="n">
        <f aca="false">SUM(N156:N158)</f>
        <v>0</v>
      </c>
      <c r="O159" s="230" t="n">
        <f aca="false">SUM(O156:O158)</f>
        <v>0</v>
      </c>
      <c r="P159" s="230" t="n">
        <f aca="false">SUM(P156:P158)</f>
        <v>0</v>
      </c>
      <c r="Q159" s="231" t="n">
        <f aca="false">SUM(L159:P159)</f>
        <v>-1.5247089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162</v>
      </c>
      <c r="H160" s="21"/>
      <c r="I160" s="21"/>
      <c r="J160" s="21"/>
      <c r="K160" s="21"/>
      <c r="L160" s="90" t="n">
        <f aca="false">L159</f>
        <v>-0.343694633333333</v>
      </c>
      <c r="M160" s="90" t="n">
        <f aca="false">L160+M159</f>
        <v>-1.5247089</v>
      </c>
      <c r="N160" s="90" t="n">
        <f aca="false">M160+N159</f>
        <v>-1.5247089</v>
      </c>
      <c r="O160" s="90" t="n">
        <f aca="false">N160+O159</f>
        <v>-1.5247089</v>
      </c>
      <c r="P160" s="90" t="n">
        <f aca="false">O160+P159</f>
        <v>-1.5247089</v>
      </c>
      <c r="Q160" s="146" t="n">
        <f aca="false">P160</f>
        <v>-1.5247089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163</v>
      </c>
      <c r="H161" s="21"/>
      <c r="I161" s="21"/>
      <c r="J161" s="21"/>
      <c r="K161" s="21"/>
      <c r="L161" s="148" t="n">
        <f aca="false">IF(L160&lt;0,1,0)</f>
        <v>1</v>
      </c>
      <c r="M161" s="148" t="n">
        <f aca="false">IF(M160&lt;0,1,IF(AND(L160&lt;0,M159&gt;0),-L160/M159,0))</f>
        <v>1</v>
      </c>
      <c r="N161" s="148" t="n">
        <f aca="false">IF(N160&lt;0,1,IF(AND(M160&lt;0,N159&gt;0),-M160/N159,0))</f>
        <v>1</v>
      </c>
      <c r="O161" s="148" t="n">
        <f aca="false">IF(O160&lt;0,1,IF(AND(N160&lt;0,O159&gt;0),-N160/O159,0))</f>
        <v>1</v>
      </c>
      <c r="P161" s="148" t="n">
        <f aca="false">IF(P160&lt;0,1,IF(AND(O160&lt;0,P159&gt;0),-O160/P159,0))</f>
        <v>1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429</v>
      </c>
      <c r="F163" s="150" t="s">
        <v>430</v>
      </c>
      <c r="G163" s="148" t="n">
        <f aca="false">IFERROR(K117/-SUM(L149:P149),"n/a")</f>
        <v>0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431</v>
      </c>
      <c r="F164" s="150" t="s">
        <v>432</v>
      </c>
      <c r="G164" s="232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433</v>
      </c>
      <c r="F165" s="150" t="s">
        <v>167</v>
      </c>
      <c r="G165" s="148" t="str">
        <f aca="false">IF(SUM(L161:P161)=5,"&gt;5",SUM(L161:P161))</f>
        <v>&gt;5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164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165</v>
      </c>
      <c r="F168" s="150" t="s">
        <v>166</v>
      </c>
      <c r="G168" s="90" t="n">
        <f aca="false">SUM(L168:P168)</f>
        <v>-1.29885522834525</v>
      </c>
      <c r="H168" s="21"/>
      <c r="I168" s="21"/>
      <c r="J168" s="21"/>
      <c r="K168" s="21"/>
      <c r="L168" s="90" t="n">
        <f aca="false">L159/(1+$G$167)^L$1</f>
        <v>-0.313876377473364</v>
      </c>
      <c r="M168" s="90" t="n">
        <f aca="false">M159/(1+$G$167)^M$1</f>
        <v>-0.984978850871889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-1.29885522834525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169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C1:CM17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H18" activeCellId="0" sqref="H18"/>
    </sheetView>
  </sheetViews>
  <sheetFormatPr defaultColWidth="8.5390625" defaultRowHeight="14.25" zeroHeight="false" outlineLevelRow="1" outlineLevelCol="1"/>
  <cols>
    <col collapsed="false" customWidth="true" hidden="false" outlineLevel="0" max="4" min="1" style="0" width="2.81"/>
    <col collapsed="false" customWidth="true" hidden="false" outlineLevel="0" max="5" min="5" style="0" width="65.81"/>
    <col collapsed="false" customWidth="true" hidden="false" outlineLevel="0" max="6" min="6" style="0" width="16.54"/>
    <col collapsed="false" customWidth="true" hidden="false" outlineLevel="0" max="7" min="7" style="0" width="16.18"/>
    <col collapsed="false" customWidth="true" hidden="false" outlineLevel="0" max="8" min="8" style="0" width="22.45"/>
    <col collapsed="false" customWidth="true" hidden="false" outlineLevel="0" max="16" min="9" style="0" width="13.54"/>
    <col collapsed="false" customWidth="true" hidden="false" outlineLevel="0" max="17" min="17" style="13" width="13.54"/>
    <col collapsed="false" customWidth="true" hidden="false" outlineLevel="0" max="18" min="18" style="13" width="16.45"/>
    <col collapsed="false" customWidth="true" hidden="false" outlineLevel="0" max="19" min="19" style="0" width="2.81"/>
    <col collapsed="false" customWidth="true" hidden="false" outlineLevel="0" max="67" min="20" style="0" width="16.54"/>
    <col collapsed="false" customWidth="true" hidden="true" outlineLevel="1" max="79" min="68" style="0" width="16.54"/>
    <col collapsed="false" customWidth="true" hidden="false" outlineLevel="0" max="80" min="80" style="0" width="2.81"/>
    <col collapsed="false" customWidth="true" hidden="false" outlineLevel="0" max="85" min="81" style="0" width="16.54"/>
    <col collapsed="false" customWidth="true" hidden="false" outlineLevel="0" max="86" min="86" style="0" width="2.81"/>
    <col collapsed="false" customWidth="true" hidden="false" outlineLevel="0" max="91" min="87" style="0" width="16.54"/>
  </cols>
  <sheetData>
    <row r="1" s="14" customFormat="true" ht="16.5" hidden="true" customHeight="true" outlineLevel="1" collapsed="false">
      <c r="L1" s="15" t="n">
        <v>1</v>
      </c>
      <c r="M1" s="15" t="n">
        <v>2</v>
      </c>
      <c r="N1" s="15" t="n">
        <v>3</v>
      </c>
      <c r="O1" s="15" t="n">
        <v>4</v>
      </c>
      <c r="P1" s="15" t="n">
        <v>5</v>
      </c>
      <c r="Q1" s="16"/>
      <c r="R1" s="17" t="n">
        <f aca="false">COUNTIFS($R$66:$R$117, "Error")</f>
        <v>0</v>
      </c>
      <c r="T1" s="17" t="n">
        <v>2026</v>
      </c>
      <c r="U1" s="17" t="n">
        <v>2026</v>
      </c>
      <c r="V1" s="17" t="n">
        <v>2026</v>
      </c>
      <c r="W1" s="17" t="n">
        <v>2026</v>
      </c>
      <c r="X1" s="17" t="n">
        <v>2026</v>
      </c>
      <c r="Y1" s="17" t="n">
        <v>2026</v>
      </c>
      <c r="Z1" s="17" t="n">
        <v>2026</v>
      </c>
      <c r="AA1" s="17" t="n">
        <v>2026</v>
      </c>
      <c r="AB1" s="17" t="n">
        <v>2026</v>
      </c>
      <c r="AC1" s="17" t="n">
        <v>2026</v>
      </c>
      <c r="AD1" s="17" t="n">
        <v>2026</v>
      </c>
      <c r="AE1" s="17" t="n">
        <v>2026</v>
      </c>
      <c r="AF1" s="17" t="n">
        <v>2027</v>
      </c>
      <c r="AG1" s="17" t="n">
        <v>2027</v>
      </c>
      <c r="AH1" s="17" t="n">
        <v>2027</v>
      </c>
      <c r="AI1" s="17" t="n">
        <v>2027</v>
      </c>
      <c r="AJ1" s="17" t="n">
        <v>2027</v>
      </c>
      <c r="AK1" s="17" t="n">
        <v>2027</v>
      </c>
      <c r="AL1" s="17" t="n">
        <v>2027</v>
      </c>
      <c r="AM1" s="17" t="n">
        <v>2027</v>
      </c>
      <c r="AN1" s="17" t="n">
        <v>2027</v>
      </c>
      <c r="AO1" s="17" t="n">
        <v>2027</v>
      </c>
      <c r="AP1" s="17" t="n">
        <v>2027</v>
      </c>
      <c r="AQ1" s="17" t="n">
        <v>2027</v>
      </c>
      <c r="AR1" s="17" t="n">
        <v>2028</v>
      </c>
      <c r="AS1" s="17" t="n">
        <v>2028</v>
      </c>
      <c r="AT1" s="17" t="n">
        <v>2028</v>
      </c>
      <c r="AU1" s="17" t="n">
        <v>2028</v>
      </c>
      <c r="AV1" s="17" t="n">
        <v>2028</v>
      </c>
      <c r="AW1" s="17" t="n">
        <v>2028</v>
      </c>
      <c r="AX1" s="17" t="n">
        <v>2028</v>
      </c>
      <c r="AY1" s="17" t="n">
        <v>2028</v>
      </c>
      <c r="AZ1" s="17" t="n">
        <v>2028</v>
      </c>
      <c r="BA1" s="17" t="n">
        <v>2028</v>
      </c>
      <c r="BB1" s="17" t="n">
        <v>2028</v>
      </c>
      <c r="BC1" s="17" t="n">
        <v>2028</v>
      </c>
      <c r="BD1" s="17" t="n">
        <v>2029</v>
      </c>
      <c r="BE1" s="17" t="n">
        <v>2029</v>
      </c>
      <c r="BF1" s="17" t="n">
        <v>2029</v>
      </c>
      <c r="BG1" s="17" t="n">
        <v>2029</v>
      </c>
      <c r="BH1" s="17" t="n">
        <v>2029</v>
      </c>
      <c r="BI1" s="17" t="n">
        <v>2029</v>
      </c>
      <c r="BJ1" s="17" t="n">
        <v>2029</v>
      </c>
      <c r="BK1" s="17" t="n">
        <v>2029</v>
      </c>
      <c r="BL1" s="17" t="n">
        <v>2029</v>
      </c>
      <c r="BM1" s="17" t="n">
        <v>2029</v>
      </c>
      <c r="BN1" s="17" t="n">
        <v>2029</v>
      </c>
      <c r="BO1" s="17" t="n">
        <v>2029</v>
      </c>
      <c r="BP1" s="17" t="n">
        <v>2030</v>
      </c>
      <c r="BQ1" s="17" t="n">
        <v>2030</v>
      </c>
      <c r="BR1" s="17" t="n">
        <v>2030</v>
      </c>
      <c r="BS1" s="17" t="n">
        <v>2030</v>
      </c>
      <c r="BT1" s="17" t="n">
        <v>2030</v>
      </c>
      <c r="BU1" s="17" t="n">
        <v>2030</v>
      </c>
      <c r="BV1" s="17" t="n">
        <v>2030</v>
      </c>
      <c r="BW1" s="17" t="n">
        <v>2030</v>
      </c>
      <c r="BX1" s="17" t="n">
        <v>2030</v>
      </c>
      <c r="BY1" s="17" t="n">
        <v>2030</v>
      </c>
      <c r="BZ1" s="17" t="n">
        <v>2030</v>
      </c>
      <c r="CA1" s="17" t="n">
        <v>2030</v>
      </c>
      <c r="CI1" s="17" t="n">
        <f aca="false">COUNTIFS(CI$66:CI$149, "FALSE")</f>
        <v>0</v>
      </c>
      <c r="CJ1" s="17" t="n">
        <f aca="false">COUNTIFS(CJ$66:CJ$149, "FALSE")</f>
        <v>0</v>
      </c>
      <c r="CK1" s="17" t="n">
        <f aca="false">COUNTIFS(CK$66:CK$149, "FALSE")</f>
        <v>0</v>
      </c>
      <c r="CL1" s="17" t="n">
        <f aca="false">COUNTIFS(CL$66:CL$149, "FALSE")</f>
        <v>0</v>
      </c>
      <c r="CM1" s="17" t="n">
        <f aca="false">COUNTIFS(CM$66:CM$149, "FALSE")</f>
        <v>0</v>
      </c>
    </row>
    <row r="2" s="14" customFormat="true" ht="30.75" hidden="false" customHeight="true" outlineLevel="0" collapsed="false">
      <c r="C2" s="18" t="str">
        <f aca="false">"#"&amp;$F$6&amp;" Initiative Business Case"</f>
        <v># Initiative Business Case</v>
      </c>
      <c r="Q2" s="16"/>
      <c r="R2" s="16"/>
    </row>
    <row r="3" s="14" customFormat="true" ht="16.5" hidden="false" customHeight="true" outlineLevel="0" collapsed="false">
      <c r="Q3" s="16"/>
      <c r="R3" s="16"/>
    </row>
    <row r="4" s="14" customFormat="true" ht="16.5" hidden="false" customHeight="true" outlineLevel="0" collapsed="false">
      <c r="C4" s="19" t="s">
        <v>52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</row>
    <row r="5" s="14" customFormat="true" ht="16.5" hidden="false" customHeight="true" outlineLevel="0" collapsed="false">
      <c r="Q5" s="16"/>
      <c r="R5" s="16"/>
    </row>
    <row r="6" s="14" customFormat="true" ht="16.5" hidden="false" customHeight="true" outlineLevel="0" collapsed="false">
      <c r="D6" s="21" t="s">
        <v>53</v>
      </c>
      <c r="F6" s="22"/>
      <c r="G6" s="23"/>
      <c r="Q6" s="16"/>
      <c r="R6" s="16"/>
    </row>
    <row r="7" customFormat="false" ht="16.5" hidden="false" customHeight="true" outlineLevel="0" collapsed="false">
      <c r="D7" s="21" t="s">
        <v>54</v>
      </c>
      <c r="F7" s="196"/>
      <c r="G7" s="197"/>
      <c r="I7" s="14"/>
      <c r="J7" s="14"/>
      <c r="K7" s="14"/>
    </row>
    <row r="8" s="14" customFormat="true" ht="16.5" hidden="false" customHeight="true" outlineLevel="0" collapsed="false">
      <c r="D8" s="21" t="s">
        <v>56</v>
      </c>
      <c r="F8" s="26"/>
      <c r="G8" s="26"/>
      <c r="H8" s="26"/>
      <c r="I8" s="26"/>
      <c r="J8" s="26"/>
      <c r="Q8" s="16"/>
      <c r="R8" s="16"/>
    </row>
    <row r="9" s="14" customFormat="true" ht="16.5" hidden="false" customHeight="true" outlineLevel="0" collapsed="false">
      <c r="D9" s="21"/>
      <c r="F9" s="26"/>
      <c r="G9" s="26"/>
      <c r="H9" s="26"/>
      <c r="I9" s="26"/>
      <c r="J9" s="26"/>
      <c r="N9" s="21"/>
      <c r="Q9" s="16"/>
      <c r="R9" s="16"/>
    </row>
    <row r="10" s="14" customFormat="true" ht="16.5" hidden="false" customHeight="true" outlineLevel="0" collapsed="false">
      <c r="F10" s="26"/>
      <c r="G10" s="26"/>
      <c r="H10" s="26"/>
      <c r="I10" s="26"/>
      <c r="J10" s="26"/>
      <c r="Q10" s="16"/>
      <c r="R10" s="16"/>
    </row>
    <row r="11" s="14" customFormat="true" ht="16.5" hidden="false" customHeight="true" outlineLevel="0" collapsed="false">
      <c r="D11" s="21" t="s">
        <v>60</v>
      </c>
      <c r="F11" s="234"/>
      <c r="M11" s="21"/>
      <c r="Q11" s="16"/>
      <c r="R11" s="16"/>
    </row>
    <row r="12" s="14" customFormat="true" ht="16.5" hidden="false" customHeight="true" outlineLevel="0" collapsed="false">
      <c r="D12" s="21" t="s">
        <v>61</v>
      </c>
      <c r="F12" s="28" t="n">
        <f aca="false">$K$117</f>
        <v>0</v>
      </c>
      <c r="M12" s="21"/>
      <c r="Q12" s="16"/>
      <c r="R12" s="16"/>
    </row>
    <row r="13" s="14" customFormat="true" ht="17.25" hidden="false" customHeight="true" outlineLevel="0" collapsed="false">
      <c r="Q13" s="16"/>
      <c r="R13" s="16"/>
    </row>
    <row r="14" s="14" customFormat="true" ht="16.5" hidden="false" customHeight="true" outlineLevel="0" collapsed="false">
      <c r="C14" s="19" t="s">
        <v>62</v>
      </c>
      <c r="D14" s="19"/>
      <c r="E14" s="19"/>
      <c r="F14" s="19"/>
      <c r="G14" s="19"/>
      <c r="H14" s="19"/>
      <c r="I14" s="19"/>
      <c r="J14" s="19"/>
      <c r="L14" s="19"/>
      <c r="M14" s="19"/>
      <c r="N14" s="19"/>
      <c r="O14" s="19"/>
      <c r="P14" s="19"/>
      <c r="Q14" s="20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</row>
    <row r="15" s="14" customFormat="true" ht="17.25" hidden="false" customHeight="true" outlineLevel="0" collapsed="false">
      <c r="Q15" s="16"/>
      <c r="R15" s="16"/>
    </row>
    <row r="16" s="14" customFormat="true" ht="17.25" hidden="false" customHeight="true" outlineLevel="0" collapsed="false">
      <c r="D16" s="29" t="s">
        <v>64</v>
      </c>
    </row>
    <row r="17" s="14" customFormat="true" ht="17.25" hidden="false" customHeight="true" outlineLevel="0" collapsed="false">
      <c r="D17" s="32" t="s">
        <v>68</v>
      </c>
      <c r="E17" s="33"/>
      <c r="F17" s="33"/>
      <c r="G17" s="33"/>
      <c r="H17" s="32" t="s">
        <v>69</v>
      </c>
      <c r="I17" s="32" t="s">
        <v>70</v>
      </c>
      <c r="J17" s="34" t="s">
        <v>71</v>
      </c>
    </row>
    <row r="18" s="14" customFormat="true" ht="17.25" hidden="false" customHeight="true" outlineLevel="0" collapsed="false">
      <c r="D18" s="33"/>
      <c r="E18" s="33" t="s">
        <v>512</v>
      </c>
      <c r="F18" s="33"/>
      <c r="G18" s="36"/>
      <c r="H18" s="199" t="s">
        <v>412</v>
      </c>
      <c r="I18" s="37" t="s">
        <v>513</v>
      </c>
      <c r="J18" s="38"/>
      <c r="P18" s="16"/>
      <c r="Q18" s="35"/>
      <c r="R18" s="16"/>
    </row>
    <row r="19" s="14" customFormat="true" ht="17.25" hidden="false" customHeight="true" outlineLevel="0" collapsed="false">
      <c r="D19" s="33"/>
      <c r="E19" s="33" t="s">
        <v>514</v>
      </c>
      <c r="F19" s="33"/>
      <c r="G19" s="36"/>
      <c r="H19" s="199" t="str">
        <f aca="false">$H$18</f>
        <v>TTM 6/1/26</v>
      </c>
      <c r="I19" s="37" t="s">
        <v>515</v>
      </c>
      <c r="J19" s="38"/>
      <c r="P19" s="16"/>
      <c r="Q19" s="35"/>
      <c r="R19" s="16"/>
    </row>
    <row r="20" s="14" customFormat="true" ht="17.25" hidden="false" customHeight="true" outlineLevel="0" collapsed="false">
      <c r="D20" s="33"/>
      <c r="E20" s="33" t="s">
        <v>516</v>
      </c>
      <c r="F20" s="33"/>
      <c r="G20" s="36"/>
      <c r="H20" s="199" t="str">
        <f aca="false">$H$18</f>
        <v>TTM 6/1/26</v>
      </c>
      <c r="I20" s="37" t="s">
        <v>517</v>
      </c>
      <c r="J20" s="138"/>
      <c r="L20" s="203"/>
      <c r="P20" s="16"/>
      <c r="Q20" s="35"/>
      <c r="R20" s="16"/>
    </row>
    <row r="21" s="14" customFormat="true" ht="17.25" hidden="false" customHeight="true" outlineLevel="0" collapsed="false">
      <c r="D21" s="33"/>
      <c r="E21" s="40" t="s">
        <v>518</v>
      </c>
      <c r="F21" s="40"/>
      <c r="G21" s="41"/>
      <c r="H21" s="204" t="str">
        <f aca="false">$H$18</f>
        <v>TTM 6/1/26</v>
      </c>
      <c r="I21" s="42" t="s">
        <v>93</v>
      </c>
      <c r="J21" s="55" t="n">
        <f aca="false">(J18*J19*J20)/1000000</f>
        <v>0</v>
      </c>
      <c r="P21" s="16"/>
      <c r="Q21" s="35"/>
      <c r="R21" s="16"/>
    </row>
    <row r="22" s="14" customFormat="true" ht="17.25" hidden="false" customHeight="true" outlineLevel="0" collapsed="false">
      <c r="D22" s="33"/>
      <c r="E22" s="33"/>
      <c r="F22" s="33"/>
      <c r="G22" s="36"/>
      <c r="H22" s="33"/>
      <c r="I22" s="37"/>
      <c r="J22" s="33"/>
      <c r="Q22" s="16"/>
      <c r="R22" s="16"/>
    </row>
    <row r="23" s="14" customFormat="true" ht="17.25" hidden="false" customHeight="true" outlineLevel="0" collapsed="false">
      <c r="D23" s="32" t="s">
        <v>95</v>
      </c>
      <c r="E23" s="33"/>
      <c r="F23" s="33"/>
      <c r="G23" s="36"/>
      <c r="H23" s="32"/>
      <c r="I23" s="32"/>
      <c r="J23" s="34"/>
      <c r="Q23" s="16"/>
      <c r="R23" s="16"/>
    </row>
    <row r="24" s="14" customFormat="true" ht="17.25" hidden="false" customHeight="true" outlineLevel="0" collapsed="false">
      <c r="D24" s="33"/>
      <c r="E24" s="33" t="s">
        <v>519</v>
      </c>
      <c r="F24" s="33"/>
      <c r="G24" s="36"/>
      <c r="H24" s="33" t="s">
        <v>101</v>
      </c>
      <c r="I24" s="37" t="s">
        <v>520</v>
      </c>
      <c r="J24" s="235"/>
      <c r="Q24" s="16"/>
      <c r="R24" s="16"/>
    </row>
    <row r="25" s="14" customFormat="true" ht="17.25" hidden="false" customHeight="true" outlineLevel="0" collapsed="false">
      <c r="D25" s="33"/>
      <c r="E25" s="33" t="s">
        <v>521</v>
      </c>
      <c r="F25" s="33"/>
      <c r="G25" s="36"/>
      <c r="H25" s="33" t="s">
        <v>101</v>
      </c>
      <c r="I25" s="37" t="s">
        <v>522</v>
      </c>
      <c r="J25" s="235"/>
      <c r="Q25" s="16"/>
      <c r="R25" s="16"/>
    </row>
    <row r="26" s="14" customFormat="true" ht="17.25" hidden="false" customHeight="true" outlineLevel="0" collapsed="false">
      <c r="D26" s="33"/>
      <c r="E26" s="40" t="s">
        <v>523</v>
      </c>
      <c r="F26" s="40"/>
      <c r="G26" s="41"/>
      <c r="H26" s="40" t="s">
        <v>101</v>
      </c>
      <c r="I26" s="42" t="s">
        <v>524</v>
      </c>
      <c r="J26" s="55" t="n">
        <f aca="false">(J24*J25)/1000000</f>
        <v>0</v>
      </c>
      <c r="K26" s="45"/>
      <c r="Q26" s="16"/>
      <c r="R26" s="16"/>
    </row>
    <row r="27" s="14" customFormat="true" ht="17.25" hidden="false" customHeight="true" outlineLevel="0" collapsed="false">
      <c r="D27" s="33"/>
      <c r="E27" s="46"/>
      <c r="F27" s="46"/>
      <c r="G27" s="47"/>
      <c r="H27" s="46"/>
      <c r="I27" s="48"/>
      <c r="J27" s="49"/>
      <c r="K27" s="50"/>
      <c r="Q27" s="16"/>
      <c r="R27" s="16"/>
    </row>
    <row r="28" s="14" customFormat="true" ht="17.25" hidden="false" customHeight="true" outlineLevel="0" collapsed="false">
      <c r="D28" s="32" t="s">
        <v>102</v>
      </c>
      <c r="E28" s="46"/>
      <c r="F28" s="46"/>
      <c r="G28" s="47"/>
      <c r="H28" s="46"/>
      <c r="I28" s="48"/>
      <c r="J28" s="49"/>
      <c r="K28" s="50"/>
      <c r="L28" s="51"/>
      <c r="Q28" s="16"/>
      <c r="R28" s="16"/>
    </row>
    <row r="29" s="14" customFormat="true" ht="17.25" hidden="false" customHeight="true" outlineLevel="0" collapsed="false">
      <c r="D29" s="32"/>
      <c r="E29" s="207" t="s">
        <v>525</v>
      </c>
      <c r="F29" s="40"/>
      <c r="G29" s="41"/>
      <c r="H29" s="40"/>
      <c r="I29" s="42" t="s">
        <v>524</v>
      </c>
      <c r="J29" s="236" t="n">
        <f aca="false">J21-J26</f>
        <v>0</v>
      </c>
      <c r="Q29" s="16"/>
      <c r="R29" s="16"/>
    </row>
    <row r="30" s="14" customFormat="true" ht="17.25" hidden="false" customHeight="true" outlineLevel="0" collapsed="false">
      <c r="D30" s="16"/>
      <c r="E30" s="16"/>
      <c r="F30" s="16"/>
      <c r="G30" s="16"/>
      <c r="H30" s="16"/>
      <c r="I30" s="16"/>
      <c r="J30" s="16"/>
      <c r="Q30" s="16"/>
      <c r="R30" s="16"/>
    </row>
    <row r="31" s="14" customFormat="true" ht="17.25" hidden="true" customHeight="true" outlineLevel="1" collapsed="false">
      <c r="D31" s="32" t="s">
        <v>68</v>
      </c>
      <c r="E31" s="33"/>
      <c r="F31" s="33"/>
      <c r="G31" s="33"/>
      <c r="H31" s="32" t="s">
        <v>69</v>
      </c>
      <c r="I31" s="42" t="s">
        <v>93</v>
      </c>
      <c r="J31" s="34" t="s">
        <v>71</v>
      </c>
      <c r="Q31" s="16"/>
      <c r="R31" s="16"/>
    </row>
    <row r="32" s="14" customFormat="true" ht="17.25" hidden="true" customHeight="true" outlineLevel="1" collapsed="false">
      <c r="D32" s="33"/>
      <c r="E32" s="33" t="s">
        <v>109</v>
      </c>
      <c r="F32" s="33"/>
      <c r="G32" s="36"/>
      <c r="H32" s="199" t="str">
        <f aca="false">$H$18</f>
        <v>TTM 6/1/26</v>
      </c>
      <c r="I32" s="37" t="s">
        <v>109</v>
      </c>
      <c r="J32" s="38" t="n">
        <v>0</v>
      </c>
      <c r="Q32" s="16"/>
      <c r="R32" s="16"/>
    </row>
    <row r="33" s="14" customFormat="true" ht="17.25" hidden="true" customHeight="true" outlineLevel="1" collapsed="false">
      <c r="D33" s="33"/>
      <c r="E33" s="33" t="s">
        <v>110</v>
      </c>
      <c r="F33" s="33"/>
      <c r="G33" s="36" t="s">
        <v>74</v>
      </c>
      <c r="H33" s="33" t="s">
        <v>75</v>
      </c>
      <c r="I33" s="37" t="s">
        <v>111</v>
      </c>
      <c r="J33" s="39" t="n">
        <v>0</v>
      </c>
      <c r="Q33" s="16"/>
      <c r="R33" s="16"/>
    </row>
    <row r="34" s="14" customFormat="true" ht="17.25" hidden="true" customHeight="true" outlineLevel="1" collapsed="false">
      <c r="D34" s="33"/>
      <c r="E34" s="40" t="s">
        <v>112</v>
      </c>
      <c r="F34" s="40"/>
      <c r="G34" s="41" t="s">
        <v>79</v>
      </c>
      <c r="H34" s="40" t="s">
        <v>75</v>
      </c>
      <c r="I34" s="42" t="s">
        <v>113</v>
      </c>
      <c r="J34" s="53" t="n">
        <f aca="false">(J32*J33)/1000</f>
        <v>0</v>
      </c>
      <c r="Q34" s="16"/>
      <c r="R34" s="16"/>
    </row>
    <row r="35" s="14" customFormat="true" ht="17.25" hidden="true" customHeight="true" outlineLevel="1" collapsed="false">
      <c r="D35" s="33"/>
      <c r="E35" s="33"/>
      <c r="F35" s="33"/>
      <c r="G35" s="36"/>
      <c r="H35" s="33"/>
      <c r="I35" s="37"/>
      <c r="J35" s="33"/>
      <c r="Q35" s="16"/>
      <c r="R35" s="16"/>
    </row>
    <row r="36" s="14" customFormat="true" ht="17.25" hidden="true" customHeight="true" outlineLevel="1" collapsed="false">
      <c r="D36" s="32" t="s">
        <v>95</v>
      </c>
      <c r="E36" s="33"/>
      <c r="F36" s="33"/>
      <c r="G36" s="36"/>
      <c r="H36" s="32"/>
      <c r="I36" s="32"/>
      <c r="J36" s="34"/>
      <c r="Q36" s="16"/>
      <c r="R36" s="16"/>
    </row>
    <row r="37" s="14" customFormat="true" ht="17.25" hidden="true" customHeight="true" outlineLevel="1" collapsed="false">
      <c r="D37" s="33"/>
      <c r="E37" s="33" t="s">
        <v>109</v>
      </c>
      <c r="F37" s="33"/>
      <c r="G37" s="36"/>
      <c r="H37" s="33" t="s">
        <v>75</v>
      </c>
      <c r="I37" s="37" t="s">
        <v>109</v>
      </c>
      <c r="J37" s="54" t="n">
        <f aca="false">$J$18</f>
        <v>0</v>
      </c>
      <c r="Q37" s="16"/>
      <c r="R37" s="16"/>
    </row>
    <row r="38" s="14" customFormat="true" ht="17.25" hidden="true" customHeight="true" outlineLevel="1" collapsed="false">
      <c r="D38" s="33"/>
      <c r="E38" s="33" t="s">
        <v>110</v>
      </c>
      <c r="F38" s="33"/>
      <c r="G38" s="36" t="s">
        <v>84</v>
      </c>
      <c r="H38" s="33" t="s">
        <v>101</v>
      </c>
      <c r="I38" s="37" t="s">
        <v>111</v>
      </c>
      <c r="J38" s="44" t="n">
        <v>0</v>
      </c>
      <c r="Q38" s="16"/>
      <c r="R38" s="16"/>
    </row>
    <row r="39" s="14" customFormat="true" ht="17.25" hidden="true" customHeight="true" outlineLevel="1" collapsed="false">
      <c r="D39" s="33"/>
      <c r="E39" s="40" t="s">
        <v>112</v>
      </c>
      <c r="F39" s="40"/>
      <c r="G39" s="41" t="s">
        <v>92</v>
      </c>
      <c r="H39" s="40" t="s">
        <v>101</v>
      </c>
      <c r="I39" s="42" t="s">
        <v>113</v>
      </c>
      <c r="J39" s="53" t="n">
        <f aca="false">(J37*J38)/1000</f>
        <v>0</v>
      </c>
      <c r="Q39" s="16"/>
      <c r="R39" s="16"/>
    </row>
    <row r="40" s="14" customFormat="true" ht="17.25" hidden="true" customHeight="true" outlineLevel="1" collapsed="false">
      <c r="D40" s="33"/>
      <c r="E40" s="46"/>
      <c r="F40" s="46"/>
      <c r="G40" s="47"/>
      <c r="H40" s="46"/>
      <c r="I40" s="48"/>
      <c r="J40" s="49"/>
      <c r="Q40" s="16"/>
      <c r="R40" s="16"/>
    </row>
    <row r="41" s="14" customFormat="true" ht="17.25" hidden="true" customHeight="true" outlineLevel="1" collapsed="false">
      <c r="D41" s="32" t="s">
        <v>102</v>
      </c>
      <c r="E41" s="46"/>
      <c r="F41" s="46"/>
      <c r="G41" s="47"/>
      <c r="H41" s="46"/>
      <c r="I41" s="48"/>
      <c r="J41" s="49"/>
      <c r="Q41" s="16"/>
      <c r="R41" s="16"/>
    </row>
    <row r="42" s="14" customFormat="true" ht="17.25" hidden="true" customHeight="true" outlineLevel="1" collapsed="false">
      <c r="D42" s="32"/>
      <c r="E42" s="33" t="str">
        <f aca="false">E38</f>
        <v>xxxx unit cost</v>
      </c>
      <c r="F42" s="46"/>
      <c r="G42" s="36" t="s">
        <v>114</v>
      </c>
      <c r="H42" s="46"/>
      <c r="I42" s="37" t="s">
        <v>115</v>
      </c>
      <c r="J42" s="52" t="n">
        <f aca="false">J33-J38</f>
        <v>0</v>
      </c>
      <c r="Q42" s="16"/>
      <c r="R42" s="16"/>
    </row>
    <row r="43" s="14" customFormat="true" ht="17.25" hidden="true" customHeight="true" outlineLevel="1" collapsed="false">
      <c r="D43" s="32"/>
      <c r="E43" s="33" t="str">
        <f aca="false">E39</f>
        <v>xxxx total spend</v>
      </c>
      <c r="F43" s="46"/>
      <c r="G43" s="36" t="s">
        <v>116</v>
      </c>
      <c r="H43" s="46"/>
      <c r="I43" s="37" t="s">
        <v>113</v>
      </c>
      <c r="J43" s="55" t="n">
        <f aca="false">J34-J39</f>
        <v>0</v>
      </c>
      <c r="Q43" s="16"/>
      <c r="R43" s="16"/>
    </row>
    <row r="44" s="14" customFormat="true" ht="17.25" hidden="false" customHeight="true" outlineLevel="0" collapsed="false">
      <c r="E44" s="21"/>
      <c r="F44" s="21"/>
      <c r="G44" s="21"/>
      <c r="H44" s="21"/>
      <c r="I44" s="56"/>
      <c r="J44" s="57"/>
      <c r="Q44" s="16"/>
      <c r="R44" s="16"/>
    </row>
    <row r="45" s="14" customFormat="true" ht="17.25" hidden="true" customHeight="true" outlineLevel="1" collapsed="false">
      <c r="D45" s="32" t="s">
        <v>68</v>
      </c>
      <c r="E45" s="33"/>
      <c r="F45" s="33"/>
      <c r="G45" s="33"/>
      <c r="H45" s="32" t="s">
        <v>69</v>
      </c>
      <c r="I45" s="32" t="s">
        <v>70</v>
      </c>
      <c r="J45" s="34" t="s">
        <v>71</v>
      </c>
      <c r="Q45" s="16"/>
      <c r="R45" s="16"/>
    </row>
    <row r="46" s="14" customFormat="true" ht="17.25" hidden="true" customHeight="true" outlineLevel="1" collapsed="false">
      <c r="D46" s="33"/>
      <c r="E46" s="33" t="s">
        <v>109</v>
      </c>
      <c r="F46" s="33"/>
      <c r="G46" s="36"/>
      <c r="H46" s="33" t="s">
        <v>75</v>
      </c>
      <c r="I46" s="37" t="s">
        <v>109</v>
      </c>
      <c r="J46" s="38" t="n">
        <v>0</v>
      </c>
      <c r="Q46" s="16"/>
      <c r="R46" s="16"/>
    </row>
    <row r="47" s="14" customFormat="true" ht="17.25" hidden="true" customHeight="true" outlineLevel="1" collapsed="false">
      <c r="D47" s="33"/>
      <c r="E47" s="33" t="s">
        <v>110</v>
      </c>
      <c r="F47" s="33"/>
      <c r="G47" s="36" t="s">
        <v>74</v>
      </c>
      <c r="H47" s="33" t="s">
        <v>75</v>
      </c>
      <c r="I47" s="37" t="s">
        <v>111</v>
      </c>
      <c r="J47" s="39" t="n">
        <v>0</v>
      </c>
      <c r="Q47" s="16"/>
      <c r="R47" s="16"/>
    </row>
    <row r="48" s="14" customFormat="true" ht="17.25" hidden="true" customHeight="true" outlineLevel="1" collapsed="false">
      <c r="D48" s="33"/>
      <c r="E48" s="40" t="s">
        <v>112</v>
      </c>
      <c r="F48" s="40"/>
      <c r="G48" s="41" t="s">
        <v>79</v>
      </c>
      <c r="H48" s="40" t="s">
        <v>75</v>
      </c>
      <c r="I48" s="42" t="s">
        <v>113</v>
      </c>
      <c r="J48" s="53" t="n">
        <f aca="false">(J46*J47)/1000</f>
        <v>0</v>
      </c>
      <c r="Q48" s="16"/>
      <c r="R48" s="16"/>
    </row>
    <row r="49" s="14" customFormat="true" ht="17.25" hidden="true" customHeight="true" outlineLevel="1" collapsed="false">
      <c r="D49" s="33"/>
      <c r="E49" s="33"/>
      <c r="F49" s="33"/>
      <c r="G49" s="36"/>
      <c r="H49" s="33"/>
      <c r="I49" s="37"/>
      <c r="J49" s="33"/>
      <c r="Q49" s="16"/>
      <c r="R49" s="16"/>
    </row>
    <row r="50" s="14" customFormat="true" ht="17.25" hidden="true" customHeight="true" outlineLevel="1" collapsed="false">
      <c r="D50" s="32" t="s">
        <v>95</v>
      </c>
      <c r="E50" s="33"/>
      <c r="F50" s="33"/>
      <c r="G50" s="36"/>
      <c r="H50" s="32"/>
      <c r="I50" s="32"/>
      <c r="J50" s="34"/>
      <c r="Q50" s="16"/>
      <c r="R50" s="16"/>
    </row>
    <row r="51" s="14" customFormat="true" ht="17.25" hidden="true" customHeight="true" outlineLevel="1" collapsed="false">
      <c r="D51" s="33"/>
      <c r="E51" s="33" t="s">
        <v>109</v>
      </c>
      <c r="F51" s="33"/>
      <c r="G51" s="36"/>
      <c r="H51" s="33" t="s">
        <v>75</v>
      </c>
      <c r="I51" s="37" t="s">
        <v>109</v>
      </c>
      <c r="J51" s="54" t="n">
        <f aca="false">$J$18</f>
        <v>0</v>
      </c>
      <c r="Q51" s="16"/>
      <c r="R51" s="16"/>
    </row>
    <row r="52" s="14" customFormat="true" ht="17.25" hidden="true" customHeight="true" outlineLevel="1" collapsed="false">
      <c r="D52" s="33"/>
      <c r="E52" s="33" t="s">
        <v>110</v>
      </c>
      <c r="F52" s="33"/>
      <c r="G52" s="36" t="s">
        <v>84</v>
      </c>
      <c r="H52" s="33" t="s">
        <v>101</v>
      </c>
      <c r="I52" s="37" t="s">
        <v>111</v>
      </c>
      <c r="J52" s="44" t="n">
        <v>0</v>
      </c>
      <c r="Q52" s="16"/>
      <c r="R52" s="16"/>
    </row>
    <row r="53" s="14" customFormat="true" ht="17.25" hidden="true" customHeight="true" outlineLevel="1" collapsed="false">
      <c r="D53" s="33"/>
      <c r="E53" s="40" t="s">
        <v>112</v>
      </c>
      <c r="F53" s="40"/>
      <c r="G53" s="41" t="s">
        <v>92</v>
      </c>
      <c r="H53" s="40" t="s">
        <v>101</v>
      </c>
      <c r="I53" s="42" t="s">
        <v>113</v>
      </c>
      <c r="J53" s="53" t="n">
        <f aca="false">(J51*J52)/1000</f>
        <v>0</v>
      </c>
      <c r="Q53" s="16"/>
      <c r="R53" s="16"/>
    </row>
    <row r="54" s="14" customFormat="true" ht="17.25" hidden="true" customHeight="true" outlineLevel="1" collapsed="false">
      <c r="D54" s="33"/>
      <c r="E54" s="46"/>
      <c r="F54" s="46"/>
      <c r="G54" s="47"/>
      <c r="H54" s="46"/>
      <c r="I54" s="48"/>
      <c r="J54" s="49"/>
      <c r="Q54" s="16"/>
      <c r="R54" s="16"/>
    </row>
    <row r="55" s="14" customFormat="true" ht="17.25" hidden="true" customHeight="true" outlineLevel="1" collapsed="false">
      <c r="D55" s="32" t="s">
        <v>102</v>
      </c>
      <c r="E55" s="46"/>
      <c r="F55" s="46"/>
      <c r="G55" s="47"/>
      <c r="H55" s="46"/>
      <c r="I55" s="48"/>
      <c r="J55" s="49"/>
      <c r="Q55" s="16"/>
      <c r="R55" s="16"/>
    </row>
    <row r="56" s="14" customFormat="true" ht="17.25" hidden="true" customHeight="true" outlineLevel="1" collapsed="false">
      <c r="D56" s="32"/>
      <c r="E56" s="33" t="str">
        <f aca="false">E52</f>
        <v>xxxx unit cost</v>
      </c>
      <c r="F56" s="46"/>
      <c r="G56" s="36" t="s">
        <v>114</v>
      </c>
      <c r="H56" s="46"/>
      <c r="I56" s="37" t="s">
        <v>115</v>
      </c>
      <c r="J56" s="52" t="n">
        <f aca="false">J47-J52</f>
        <v>0</v>
      </c>
      <c r="Q56" s="16"/>
      <c r="R56" s="16"/>
    </row>
    <row r="57" s="14" customFormat="true" ht="17.25" hidden="true" customHeight="true" outlineLevel="1" collapsed="false">
      <c r="D57" s="32"/>
      <c r="E57" s="33" t="str">
        <f aca="false">E53</f>
        <v>xxxx total spend</v>
      </c>
      <c r="F57" s="46"/>
      <c r="G57" s="36" t="s">
        <v>116</v>
      </c>
      <c r="H57" s="46"/>
      <c r="I57" s="37" t="s">
        <v>113</v>
      </c>
      <c r="J57" s="55" t="n">
        <f aca="false">J48-J53</f>
        <v>0</v>
      </c>
      <c r="Q57" s="16"/>
      <c r="R57" s="16"/>
    </row>
    <row r="58" s="14" customFormat="true" ht="17.25" hidden="true" customHeight="true" outlineLevel="1" collapsed="false">
      <c r="E58" s="21"/>
      <c r="F58" s="21"/>
      <c r="G58" s="21"/>
      <c r="H58" s="21"/>
      <c r="I58" s="56"/>
      <c r="J58" s="57"/>
      <c r="Q58" s="16"/>
      <c r="R58" s="16"/>
    </row>
    <row r="59" s="14" customFormat="true" ht="16.5" hidden="true" customHeight="true" outlineLevel="1" collapsed="false">
      <c r="H59" s="58"/>
      <c r="Q59" s="16"/>
      <c r="R59" s="16"/>
    </row>
    <row r="60" s="14" customFormat="true" ht="16.5" hidden="false" customHeight="true" outlineLevel="0" collapsed="false">
      <c r="C60" s="19" t="s">
        <v>117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C60" s="19" t="s">
        <v>118</v>
      </c>
      <c r="CD60" s="19"/>
      <c r="CE60" s="19"/>
      <c r="CF60" s="19"/>
      <c r="CG60" s="19"/>
      <c r="CI60" s="19" t="s">
        <v>119</v>
      </c>
      <c r="CJ60" s="19"/>
      <c r="CK60" s="19"/>
      <c r="CL60" s="19"/>
      <c r="CM60" s="19"/>
    </row>
    <row r="61" s="14" customFormat="true" ht="16.5" hidden="false" customHeight="true" outlineLevel="0" collapsed="false">
      <c r="Q61" s="16"/>
    </row>
    <row r="62" s="14" customFormat="true" ht="16.5" hidden="false" customHeight="true" outlineLevel="0" collapsed="false">
      <c r="Q62" s="16"/>
      <c r="R62" s="16"/>
      <c r="T62" s="62" t="n">
        <v>2026</v>
      </c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62" t="n">
        <v>2027</v>
      </c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62" t="n">
        <v>2028</v>
      </c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62" t="n">
        <v>2029</v>
      </c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62" t="n">
        <v>2030</v>
      </c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C62" s="209"/>
      <c r="CD62" s="130"/>
      <c r="CE62" s="130"/>
      <c r="CF62" s="130"/>
      <c r="CG62" s="130"/>
      <c r="CI62" s="209" t="s">
        <v>421</v>
      </c>
      <c r="CJ62" s="209"/>
      <c r="CK62" s="209"/>
      <c r="CL62" s="209"/>
      <c r="CM62" s="209"/>
    </row>
    <row r="63" s="14" customFormat="true" ht="16.5" hidden="false" customHeight="true" outlineLevel="0" collapsed="false">
      <c r="D63" s="30" t="s">
        <v>120</v>
      </c>
      <c r="E63" s="31"/>
      <c r="F63" s="31"/>
      <c r="G63" s="31"/>
      <c r="H63" s="30" t="s">
        <v>121</v>
      </c>
      <c r="I63" s="31" t="s">
        <v>68</v>
      </c>
      <c r="J63" s="31" t="s">
        <v>95</v>
      </c>
      <c r="K63" s="31" t="s">
        <v>122</v>
      </c>
      <c r="L63" s="31" t="n">
        <v>2026</v>
      </c>
      <c r="M63" s="31" t="n">
        <f aca="false">L63+1</f>
        <v>2027</v>
      </c>
      <c r="N63" s="31" t="n">
        <f aca="false">M63+1</f>
        <v>2028</v>
      </c>
      <c r="O63" s="31" t="n">
        <f aca="false">N63+1</f>
        <v>2029</v>
      </c>
      <c r="P63" s="31" t="n">
        <f aca="false">O63+1</f>
        <v>2030</v>
      </c>
      <c r="Q63" s="31" t="s">
        <v>123</v>
      </c>
      <c r="R63" s="31" t="s">
        <v>66</v>
      </c>
      <c r="T63" s="59" t="n">
        <v>46023</v>
      </c>
      <c r="U63" s="60" t="n">
        <f aca="false">EOMONTH(T63, 1)</f>
        <v>46081</v>
      </c>
      <c r="V63" s="60" t="n">
        <f aca="false">EOMONTH(U63, 1)</f>
        <v>46112</v>
      </c>
      <c r="W63" s="60" t="n">
        <f aca="false">EOMONTH(V63, 1)</f>
        <v>46142</v>
      </c>
      <c r="X63" s="60" t="n">
        <f aca="false">EOMONTH(W63, 1)</f>
        <v>46173</v>
      </c>
      <c r="Y63" s="60" t="n">
        <f aca="false">EOMONTH(X63, 1)</f>
        <v>46203</v>
      </c>
      <c r="Z63" s="60" t="n">
        <f aca="false">EOMONTH(Y63, 1)</f>
        <v>46234</v>
      </c>
      <c r="AA63" s="60" t="n">
        <f aca="false">EOMONTH(Z63, 1)</f>
        <v>46265</v>
      </c>
      <c r="AB63" s="60" t="n">
        <f aca="false">EOMONTH(AA63, 1)</f>
        <v>46295</v>
      </c>
      <c r="AC63" s="60" t="n">
        <f aca="false">EOMONTH(AB63, 1)</f>
        <v>46326</v>
      </c>
      <c r="AD63" s="60" t="n">
        <f aca="false">EOMONTH(AC63, 1)</f>
        <v>46356</v>
      </c>
      <c r="AE63" s="61" t="n">
        <f aca="false">EOMONTH(AD63, 1)</f>
        <v>46387</v>
      </c>
      <c r="AF63" s="59" t="n">
        <f aca="false">EOMONTH(AE63, 1)</f>
        <v>46418</v>
      </c>
      <c r="AG63" s="60" t="n">
        <f aca="false">EOMONTH(AF63, 1)</f>
        <v>46446</v>
      </c>
      <c r="AH63" s="60" t="n">
        <f aca="false">EOMONTH(AG63, 1)</f>
        <v>46477</v>
      </c>
      <c r="AI63" s="60" t="n">
        <f aca="false">EOMONTH(AH63, 1)</f>
        <v>46507</v>
      </c>
      <c r="AJ63" s="60" t="n">
        <f aca="false">EOMONTH(AI63, 1)</f>
        <v>46538</v>
      </c>
      <c r="AK63" s="60" t="n">
        <f aca="false">EOMONTH(AJ63, 1)</f>
        <v>46568</v>
      </c>
      <c r="AL63" s="60" t="n">
        <f aca="false">EOMONTH(AK63, 1)</f>
        <v>46599</v>
      </c>
      <c r="AM63" s="60" t="n">
        <f aca="false">EOMONTH(AL63, 1)</f>
        <v>46630</v>
      </c>
      <c r="AN63" s="60" t="n">
        <f aca="false">EOMONTH(AM63, 1)</f>
        <v>46660</v>
      </c>
      <c r="AO63" s="60" t="n">
        <f aca="false">EOMONTH(AN63, 1)</f>
        <v>46691</v>
      </c>
      <c r="AP63" s="60" t="n">
        <f aca="false">EOMONTH(AO63, 1)</f>
        <v>46721</v>
      </c>
      <c r="AQ63" s="61" t="n">
        <f aca="false">EOMONTH(AP63, 1)</f>
        <v>46752</v>
      </c>
      <c r="AR63" s="59" t="n">
        <f aca="false">EOMONTH(AQ63, 1)</f>
        <v>46783</v>
      </c>
      <c r="AS63" s="60" t="n">
        <f aca="false">EOMONTH(AR63, 1)</f>
        <v>46812</v>
      </c>
      <c r="AT63" s="60" t="n">
        <f aca="false">EOMONTH(AS63, 1)</f>
        <v>46843</v>
      </c>
      <c r="AU63" s="60" t="n">
        <f aca="false">EOMONTH(AT63, 1)</f>
        <v>46873</v>
      </c>
      <c r="AV63" s="60" t="n">
        <f aca="false">EOMONTH(AU63, 1)</f>
        <v>46904</v>
      </c>
      <c r="AW63" s="60" t="n">
        <f aca="false">EOMONTH(AV63, 1)</f>
        <v>46934</v>
      </c>
      <c r="AX63" s="60" t="n">
        <f aca="false">EOMONTH(AW63, 1)</f>
        <v>46965</v>
      </c>
      <c r="AY63" s="60" t="n">
        <f aca="false">EOMONTH(AX63, 1)</f>
        <v>46996</v>
      </c>
      <c r="AZ63" s="60" t="n">
        <f aca="false">EOMONTH(AY63, 1)</f>
        <v>47026</v>
      </c>
      <c r="BA63" s="60" t="n">
        <f aca="false">EOMONTH(AZ63, 1)</f>
        <v>47057</v>
      </c>
      <c r="BB63" s="60" t="n">
        <f aca="false">EOMONTH(BA63, 1)</f>
        <v>47087</v>
      </c>
      <c r="BC63" s="61" t="n">
        <f aca="false">EOMONTH(BB63, 1)</f>
        <v>47118</v>
      </c>
      <c r="BD63" s="59" t="n">
        <f aca="false">EOMONTH(BC63, 1)</f>
        <v>47149</v>
      </c>
      <c r="BE63" s="60" t="n">
        <f aca="false">EOMONTH(BD63, 1)</f>
        <v>47177</v>
      </c>
      <c r="BF63" s="60" t="n">
        <f aca="false">EOMONTH(BE63, 1)</f>
        <v>47208</v>
      </c>
      <c r="BG63" s="60" t="n">
        <f aca="false">EOMONTH(BF63, 1)</f>
        <v>47238</v>
      </c>
      <c r="BH63" s="60" t="n">
        <f aca="false">EOMONTH(BG63, 1)</f>
        <v>47269</v>
      </c>
      <c r="BI63" s="60" t="n">
        <f aca="false">EOMONTH(BH63, 1)</f>
        <v>47299</v>
      </c>
      <c r="BJ63" s="60" t="n">
        <f aca="false">EOMONTH(BI63, 1)</f>
        <v>47330</v>
      </c>
      <c r="BK63" s="60" t="n">
        <f aca="false">EOMONTH(BJ63, 1)</f>
        <v>47361</v>
      </c>
      <c r="BL63" s="60" t="n">
        <f aca="false">EOMONTH(BK63, 1)</f>
        <v>47391</v>
      </c>
      <c r="BM63" s="60" t="n">
        <f aca="false">EOMONTH(BL63, 1)</f>
        <v>47422</v>
      </c>
      <c r="BN63" s="60" t="n">
        <f aca="false">EOMONTH(BM63, 1)</f>
        <v>47452</v>
      </c>
      <c r="BO63" s="61" t="n">
        <f aca="false">EOMONTH(BN63, 1)</f>
        <v>47483</v>
      </c>
      <c r="BP63" s="59" t="n">
        <f aca="false">EOMONTH(BO63, 1)</f>
        <v>47514</v>
      </c>
      <c r="BQ63" s="60" t="n">
        <f aca="false">EOMONTH(BP63, 1)</f>
        <v>47542</v>
      </c>
      <c r="BR63" s="60" t="n">
        <f aca="false">EOMONTH(BQ63, 1)</f>
        <v>47573</v>
      </c>
      <c r="BS63" s="60" t="n">
        <f aca="false">EOMONTH(BR63, 1)</f>
        <v>47603</v>
      </c>
      <c r="BT63" s="60" t="n">
        <f aca="false">EOMONTH(BS63, 1)</f>
        <v>47634</v>
      </c>
      <c r="BU63" s="60" t="n">
        <f aca="false">EOMONTH(BT63, 1)</f>
        <v>47664</v>
      </c>
      <c r="BV63" s="60" t="n">
        <f aca="false">EOMONTH(BU63, 1)</f>
        <v>47695</v>
      </c>
      <c r="BW63" s="60" t="n">
        <f aca="false">EOMONTH(BV63, 1)</f>
        <v>47726</v>
      </c>
      <c r="BX63" s="60" t="n">
        <f aca="false">EOMONTH(BW63, 1)</f>
        <v>47756</v>
      </c>
      <c r="BY63" s="60" t="n">
        <f aca="false">EOMONTH(BX63, 1)</f>
        <v>47787</v>
      </c>
      <c r="BZ63" s="60" t="n">
        <f aca="false">EOMONTH(BY63, 1)</f>
        <v>47817</v>
      </c>
      <c r="CA63" s="60" t="n">
        <f aca="false">EOMONTH(BZ63, 1)</f>
        <v>47848</v>
      </c>
      <c r="CC63" s="62" t="n">
        <v>2026</v>
      </c>
      <c r="CD63" s="62" t="n">
        <f aca="false">CC63+1</f>
        <v>2027</v>
      </c>
      <c r="CE63" s="62" t="n">
        <f aca="false">CD63+1</f>
        <v>2028</v>
      </c>
      <c r="CF63" s="62" t="n">
        <f aca="false">CE63+1</f>
        <v>2029</v>
      </c>
      <c r="CG63" s="62" t="n">
        <f aca="false">CF63+1</f>
        <v>2030</v>
      </c>
      <c r="CI63" s="62" t="n">
        <v>2026</v>
      </c>
      <c r="CJ63" s="62" t="n">
        <f aca="false">CI63+1</f>
        <v>2027</v>
      </c>
      <c r="CK63" s="62" t="n">
        <f aca="false">CJ63+1</f>
        <v>2028</v>
      </c>
      <c r="CL63" s="62" t="n">
        <f aca="false">CK63+1</f>
        <v>2029</v>
      </c>
      <c r="CM63" s="62" t="n">
        <f aca="false">CL63+1</f>
        <v>2030</v>
      </c>
    </row>
    <row r="64" s="14" customFormat="true" ht="16.5" hidden="false" customHeight="true" outlineLevel="0" collapsed="false">
      <c r="D64" s="63"/>
      <c r="E64" s="64" t="s">
        <v>93</v>
      </c>
      <c r="H64" s="16"/>
      <c r="I64" s="65" t="str">
        <f aca="false">"TTM "&amp;TEXT($H$18,"m/d/yy")</f>
        <v>TTM TTM 6/1/26</v>
      </c>
      <c r="J64" s="65" t="s">
        <v>125</v>
      </c>
      <c r="K64" s="65" t="s">
        <v>126</v>
      </c>
      <c r="L64" s="66"/>
      <c r="M64" s="66"/>
      <c r="N64" s="66"/>
      <c r="O64" s="66"/>
      <c r="P64" s="66"/>
      <c r="Q64" s="16"/>
      <c r="R64" s="1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7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7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7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</row>
    <row r="65" s="14" customFormat="true" ht="16.5" hidden="false" customHeight="true" outlineLevel="0" collapsed="false">
      <c r="E65" s="68" t="s">
        <v>127</v>
      </c>
      <c r="F65" s="21"/>
      <c r="G65" s="21"/>
      <c r="H65" s="16"/>
      <c r="I65" s="65"/>
      <c r="J65" s="65"/>
      <c r="K65" s="65"/>
      <c r="Q65" s="16"/>
      <c r="R65" s="16"/>
      <c r="AF65" s="69"/>
      <c r="AR65" s="69"/>
      <c r="BD65" s="69"/>
      <c r="BP65" s="69"/>
    </row>
    <row r="66" s="14" customFormat="true" ht="16.5" hidden="false" customHeight="true" outlineLevel="0" collapsed="false">
      <c r="E66" s="70"/>
      <c r="H66" s="71"/>
      <c r="I66" s="76" t="n">
        <v>0</v>
      </c>
      <c r="J66" s="76" t="n">
        <v>0</v>
      </c>
      <c r="K66" s="214" t="n">
        <f aca="false">J66-I66</f>
        <v>0</v>
      </c>
      <c r="L66" s="76"/>
      <c r="M66" s="76"/>
      <c r="N66" s="76"/>
      <c r="O66" s="76"/>
      <c r="P66" s="77"/>
      <c r="Q66" s="75"/>
      <c r="R66" s="16" t="str">
        <f aca="false">IF(K66=P66, "", "Error")</f>
        <v/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7"/>
      <c r="AF66" s="78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7"/>
      <c r="AR66" s="78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7"/>
      <c r="BD66" s="78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7"/>
      <c r="BP66" s="78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C66" s="79" t="n">
        <f aca="false">SUMIFS($T66:$CA66, $T$1:$CA$1, CC$63)</f>
        <v>0</v>
      </c>
      <c r="CD66" s="79" t="n">
        <f aca="false">SUMIFS($T66:$CA66, $T$1:$CA$1, CD$63)</f>
        <v>0</v>
      </c>
      <c r="CE66" s="79" t="n">
        <f aca="false">SUMIFS($T66:$CA66, $T$1:$CA$1, CE$63)</f>
        <v>0</v>
      </c>
      <c r="CF66" s="79" t="n">
        <f aca="false">SUMIFS($T66:$CA66, $T$1:$CA$1, CF$63)</f>
        <v>0</v>
      </c>
      <c r="CG66" s="79" t="n">
        <f aca="false">SUMIFS($T66:$CA66, $T$1:$CA$1, CG$63)</f>
        <v>0</v>
      </c>
      <c r="CI66" s="79" t="n">
        <f aca="false">CC66=L66</f>
        <v>1</v>
      </c>
      <c r="CJ66" s="79" t="n">
        <f aca="false">CD66=M66</f>
        <v>1</v>
      </c>
      <c r="CK66" s="79" t="n">
        <f aca="false">CE66=N66</f>
        <v>1</v>
      </c>
      <c r="CL66" s="79" t="n">
        <f aca="false">CF66=O66</f>
        <v>1</v>
      </c>
      <c r="CM66" s="79" t="n">
        <f aca="false">CG66=P66</f>
        <v>1</v>
      </c>
    </row>
    <row r="67" s="14" customFormat="true" ht="16.5" hidden="false" customHeight="true" outlineLevel="0" collapsed="false">
      <c r="E67" s="70"/>
      <c r="H67" s="71"/>
      <c r="I67" s="76" t="n">
        <v>0</v>
      </c>
      <c r="J67" s="76" t="n">
        <v>0</v>
      </c>
      <c r="K67" s="214" t="n">
        <f aca="false">J67-I67</f>
        <v>0</v>
      </c>
      <c r="L67" s="76"/>
      <c r="M67" s="76"/>
      <c r="N67" s="76"/>
      <c r="O67" s="76"/>
      <c r="P67" s="77"/>
      <c r="Q67" s="75"/>
      <c r="R67" s="16" t="str">
        <f aca="false">IF(K67=P67, "", "Error")</f>
        <v/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7"/>
      <c r="AF67" s="78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7"/>
      <c r="AR67" s="78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7"/>
      <c r="BD67" s="78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7"/>
      <c r="BP67" s="78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C67" s="79" t="n">
        <f aca="false">SUMIFS($T67:$CA67, $T$1:$CA$1, CC$63)</f>
        <v>0</v>
      </c>
      <c r="CD67" s="79" t="n">
        <f aca="false">SUMIFS($T67:$CA67, $T$1:$CA$1, CD$63)</f>
        <v>0</v>
      </c>
      <c r="CE67" s="79" t="n">
        <f aca="false">SUMIFS($T67:$CA67, $T$1:$CA$1, CE$63)</f>
        <v>0</v>
      </c>
      <c r="CF67" s="79" t="n">
        <f aca="false">SUMIFS($T67:$CA67, $T$1:$CA$1, CF$63)</f>
        <v>0</v>
      </c>
      <c r="CG67" s="79" t="n">
        <f aca="false">SUMIFS($T67:$CA67, $T$1:$CA$1, CG$63)</f>
        <v>0</v>
      </c>
      <c r="CI67" s="79" t="n">
        <f aca="false">CC67=L67</f>
        <v>1</v>
      </c>
      <c r="CJ67" s="79" t="n">
        <f aca="false">CD67=M67</f>
        <v>1</v>
      </c>
      <c r="CK67" s="79" t="n">
        <f aca="false">CE67=N67</f>
        <v>1</v>
      </c>
      <c r="CL67" s="79" t="n">
        <f aca="false">CF67=O67</f>
        <v>1</v>
      </c>
      <c r="CM67" s="79" t="n">
        <f aca="false">CG67=P67</f>
        <v>1</v>
      </c>
    </row>
    <row r="68" s="14" customFormat="true" ht="16.5" hidden="false" customHeight="true" outlineLevel="0" collapsed="false">
      <c r="E68" s="80" t="s">
        <v>128</v>
      </c>
      <c r="H68" s="71"/>
      <c r="I68" s="82" t="n">
        <f aca="false">SUM(I66:I67)</f>
        <v>0</v>
      </c>
      <c r="J68" s="82" t="n">
        <f aca="false">SUM(J66:J67)</f>
        <v>0</v>
      </c>
      <c r="K68" s="82" t="n">
        <f aca="false">SUM(K66:K67)</f>
        <v>0</v>
      </c>
      <c r="L68" s="82" t="n">
        <f aca="false">SUM(L66:L67)</f>
        <v>0</v>
      </c>
      <c r="M68" s="82" t="n">
        <f aca="false">SUM(M66:M67)</f>
        <v>0</v>
      </c>
      <c r="N68" s="82" t="n">
        <f aca="false">SUM(N66:N67)</f>
        <v>0</v>
      </c>
      <c r="O68" s="82" t="n">
        <f aca="false">SUM(O66:O67)</f>
        <v>0</v>
      </c>
      <c r="P68" s="82" t="n">
        <f aca="false">SUM(P66:P67)</f>
        <v>0</v>
      </c>
      <c r="Q68" s="16"/>
      <c r="R68" s="16"/>
      <c r="T68" s="82" t="n">
        <f aca="false">SUM(T66:T67)</f>
        <v>0</v>
      </c>
      <c r="U68" s="82" t="n">
        <f aca="false">SUM(U66:U67)</f>
        <v>0</v>
      </c>
      <c r="V68" s="82" t="n">
        <f aca="false">SUM(V66:V67)</f>
        <v>0</v>
      </c>
      <c r="W68" s="82" t="n">
        <f aca="false">SUM(W66:W67)</f>
        <v>0</v>
      </c>
      <c r="X68" s="82" t="n">
        <f aca="false">SUM(X66:X67)</f>
        <v>0</v>
      </c>
      <c r="Y68" s="82" t="n">
        <f aca="false">SUM(Y66:Y67)</f>
        <v>0</v>
      </c>
      <c r="Z68" s="82" t="n">
        <f aca="false">SUM(Z66:Z67)</f>
        <v>0</v>
      </c>
      <c r="AA68" s="82" t="n">
        <f aca="false">SUM(AA66:AA67)</f>
        <v>0</v>
      </c>
      <c r="AB68" s="82" t="n">
        <f aca="false">SUM(AB66:AB67)</f>
        <v>0</v>
      </c>
      <c r="AC68" s="82" t="n">
        <f aca="false">SUM(AC66:AC67)</f>
        <v>0</v>
      </c>
      <c r="AD68" s="82" t="n">
        <f aca="false">SUM(AD66:AD67)</f>
        <v>0</v>
      </c>
      <c r="AE68" s="82" t="n">
        <f aca="false">SUM(AE66:AE67)</f>
        <v>0</v>
      </c>
      <c r="AF68" s="83" t="n">
        <f aca="false">SUM(AF66:AF67)</f>
        <v>0</v>
      </c>
      <c r="AG68" s="82" t="n">
        <f aca="false">SUM(AG66:AG67)</f>
        <v>0</v>
      </c>
      <c r="AH68" s="82" t="n">
        <f aca="false">SUM(AH66:AH67)</f>
        <v>0</v>
      </c>
      <c r="AI68" s="82" t="n">
        <f aca="false">SUM(AI66:AI67)</f>
        <v>0</v>
      </c>
      <c r="AJ68" s="82" t="n">
        <f aca="false">SUM(AJ66:AJ67)</f>
        <v>0</v>
      </c>
      <c r="AK68" s="82" t="n">
        <f aca="false">SUM(AK66:AK67)</f>
        <v>0</v>
      </c>
      <c r="AL68" s="82" t="n">
        <f aca="false">SUM(AL66:AL67)</f>
        <v>0</v>
      </c>
      <c r="AM68" s="82" t="n">
        <f aca="false">SUM(AM66:AM67)</f>
        <v>0</v>
      </c>
      <c r="AN68" s="82" t="n">
        <f aca="false">SUM(AN66:AN67)</f>
        <v>0</v>
      </c>
      <c r="AO68" s="82" t="n">
        <f aca="false">SUM(AO66:AO67)</f>
        <v>0</v>
      </c>
      <c r="AP68" s="82" t="n">
        <f aca="false">SUM(AP66:AP67)</f>
        <v>0</v>
      </c>
      <c r="AQ68" s="82" t="n">
        <f aca="false">SUM(AQ66:AQ67)</f>
        <v>0</v>
      </c>
      <c r="AR68" s="83" t="n">
        <f aca="false">SUM(AR66:AR67)</f>
        <v>0</v>
      </c>
      <c r="AS68" s="82" t="n">
        <f aca="false">SUM(AS66:AS67)</f>
        <v>0</v>
      </c>
      <c r="AT68" s="82" t="n">
        <f aca="false">SUM(AT66:AT67)</f>
        <v>0</v>
      </c>
      <c r="AU68" s="82" t="n">
        <f aca="false">SUM(AU66:AU67)</f>
        <v>0</v>
      </c>
      <c r="AV68" s="82" t="n">
        <f aca="false">SUM(AV66:AV67)</f>
        <v>0</v>
      </c>
      <c r="AW68" s="82" t="n">
        <f aca="false">SUM(AW66:AW67)</f>
        <v>0</v>
      </c>
      <c r="AX68" s="82" t="n">
        <f aca="false">SUM(AX66:AX67)</f>
        <v>0</v>
      </c>
      <c r="AY68" s="82" t="n">
        <f aca="false">SUM(AY66:AY67)</f>
        <v>0</v>
      </c>
      <c r="AZ68" s="82" t="n">
        <f aca="false">SUM(AZ66:AZ67)</f>
        <v>0</v>
      </c>
      <c r="BA68" s="82" t="n">
        <f aca="false">SUM(BA66:BA67)</f>
        <v>0</v>
      </c>
      <c r="BB68" s="82" t="n">
        <f aca="false">SUM(BB66:BB67)</f>
        <v>0</v>
      </c>
      <c r="BC68" s="82" t="n">
        <f aca="false">SUM(BC66:BC67)</f>
        <v>0</v>
      </c>
      <c r="BD68" s="83" t="n">
        <f aca="false">SUM(BD66:BD67)</f>
        <v>0</v>
      </c>
      <c r="BE68" s="82" t="n">
        <f aca="false">SUM(BE66:BE67)</f>
        <v>0</v>
      </c>
      <c r="BF68" s="82" t="n">
        <f aca="false">SUM(BF66:BF67)</f>
        <v>0</v>
      </c>
      <c r="BG68" s="82" t="n">
        <f aca="false">SUM(BG66:BG67)</f>
        <v>0</v>
      </c>
      <c r="BH68" s="82" t="n">
        <f aca="false">SUM(BH66:BH67)</f>
        <v>0</v>
      </c>
      <c r="BI68" s="82" t="n">
        <f aca="false">SUM(BI66:BI67)</f>
        <v>0</v>
      </c>
      <c r="BJ68" s="82" t="n">
        <f aca="false">SUM(BJ66:BJ67)</f>
        <v>0</v>
      </c>
      <c r="BK68" s="82" t="n">
        <f aca="false">SUM(BK66:BK67)</f>
        <v>0</v>
      </c>
      <c r="BL68" s="82" t="n">
        <f aca="false">SUM(BL66:BL67)</f>
        <v>0</v>
      </c>
      <c r="BM68" s="82" t="n">
        <f aca="false">SUM(BM66:BM67)</f>
        <v>0</v>
      </c>
      <c r="BN68" s="82" t="n">
        <f aca="false">SUM(BN66:BN67)</f>
        <v>0</v>
      </c>
      <c r="BO68" s="82" t="n">
        <f aca="false">SUM(BO66:BO67)</f>
        <v>0</v>
      </c>
      <c r="BP68" s="83" t="n">
        <f aca="false">SUM(BP66:BP67)</f>
        <v>0</v>
      </c>
      <c r="BQ68" s="82" t="n">
        <f aca="false">SUM(BQ66:BQ67)</f>
        <v>0</v>
      </c>
      <c r="BR68" s="82" t="n">
        <f aca="false">SUM(BR66:BR67)</f>
        <v>0</v>
      </c>
      <c r="BS68" s="82" t="n">
        <f aca="false">SUM(BS66:BS67)</f>
        <v>0</v>
      </c>
      <c r="BT68" s="82" t="n">
        <f aca="false">SUM(BT66:BT67)</f>
        <v>0</v>
      </c>
      <c r="BU68" s="82" t="n">
        <f aca="false">SUM(BU66:BU67)</f>
        <v>0</v>
      </c>
      <c r="BV68" s="82" t="n">
        <f aca="false">SUM(BV66:BV67)</f>
        <v>0</v>
      </c>
      <c r="BW68" s="82" t="n">
        <f aca="false">SUM(BW66:BW67)</f>
        <v>0</v>
      </c>
      <c r="BX68" s="82" t="n">
        <f aca="false">SUM(BX66:BX67)</f>
        <v>0</v>
      </c>
      <c r="BY68" s="82" t="n">
        <f aca="false">SUM(BY66:BY67)</f>
        <v>0</v>
      </c>
      <c r="BZ68" s="82" t="n">
        <f aca="false">SUM(BZ66:BZ67)</f>
        <v>0</v>
      </c>
      <c r="CA68" s="82" t="n">
        <f aca="false">SUM(CA66:CA67)</f>
        <v>0</v>
      </c>
      <c r="CC68" s="84" t="n">
        <f aca="false">SUM(CC66:CC67)</f>
        <v>0</v>
      </c>
      <c r="CD68" s="84" t="n">
        <f aca="false">SUM(CD66:CD67)</f>
        <v>0</v>
      </c>
      <c r="CE68" s="84" t="n">
        <f aca="false">SUM(CE66:CE67)</f>
        <v>0</v>
      </c>
      <c r="CF68" s="84" t="n">
        <f aca="false">SUM(CF66:CF67)</f>
        <v>0</v>
      </c>
      <c r="CG68" s="84" t="n">
        <f aca="false">SUM(CG66:CG67)</f>
        <v>0</v>
      </c>
      <c r="CI68" s="84" t="n">
        <f aca="false">CC68=L68</f>
        <v>1</v>
      </c>
      <c r="CJ68" s="84" t="n">
        <f aca="false">CD68=M68</f>
        <v>1</v>
      </c>
      <c r="CK68" s="84" t="n">
        <f aca="false">CE68=N68</f>
        <v>1</v>
      </c>
      <c r="CL68" s="84" t="n">
        <f aca="false">CF68=O68</f>
        <v>1</v>
      </c>
      <c r="CM68" s="84" t="n">
        <f aca="false">CG68=P68</f>
        <v>1</v>
      </c>
    </row>
    <row r="69" s="14" customFormat="true" ht="16.5" hidden="false" customHeight="true" outlineLevel="0" collapsed="false">
      <c r="E69" s="85"/>
      <c r="H69" s="86"/>
      <c r="I69" s="88"/>
      <c r="J69" s="88"/>
      <c r="K69" s="88"/>
      <c r="L69" s="88"/>
      <c r="M69" s="88"/>
      <c r="N69" s="88"/>
      <c r="O69" s="88"/>
      <c r="P69" s="88"/>
      <c r="Q69" s="16"/>
      <c r="R69" s="16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9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9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9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C69" s="90"/>
      <c r="CD69" s="90"/>
      <c r="CE69" s="90"/>
      <c r="CF69" s="90"/>
      <c r="CG69" s="90"/>
      <c r="CI69" s="90"/>
      <c r="CJ69" s="90"/>
      <c r="CK69" s="90"/>
      <c r="CL69" s="90"/>
      <c r="CM69" s="90"/>
    </row>
    <row r="70" s="14" customFormat="true" ht="16.5" hidden="false" customHeight="true" outlineLevel="0" collapsed="false">
      <c r="E70" s="21" t="s">
        <v>129</v>
      </c>
      <c r="H70" s="71"/>
      <c r="I70" s="88"/>
      <c r="J70" s="88"/>
      <c r="K70" s="88"/>
      <c r="L70" s="88"/>
      <c r="M70" s="88"/>
      <c r="N70" s="88"/>
      <c r="O70" s="88"/>
      <c r="P70" s="88"/>
      <c r="Q70" s="16"/>
      <c r="R70" s="1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9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9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9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C70" s="90"/>
      <c r="CD70" s="90"/>
      <c r="CE70" s="90"/>
      <c r="CF70" s="90"/>
      <c r="CG70" s="90"/>
      <c r="CI70" s="90"/>
      <c r="CJ70" s="90"/>
      <c r="CK70" s="90"/>
      <c r="CL70" s="90"/>
      <c r="CM70" s="90"/>
    </row>
    <row r="71" s="14" customFormat="true" ht="16.5" hidden="false" customHeight="true" outlineLevel="0" collapsed="false">
      <c r="E71" s="91"/>
      <c r="H71" s="71"/>
      <c r="I71" s="91"/>
      <c r="J71" s="91"/>
      <c r="K71" s="214" t="n">
        <f aca="false">I71-J71</f>
        <v>0</v>
      </c>
      <c r="L71" s="91"/>
      <c r="M71" s="91"/>
      <c r="N71" s="91"/>
      <c r="O71" s="91"/>
      <c r="P71" s="91"/>
      <c r="Q71" s="93"/>
      <c r="R71" s="16" t="str">
        <f aca="false">IF(K71=P71, "", "Error")</f>
        <v/>
      </c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4"/>
      <c r="AF71" s="95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4"/>
      <c r="AR71" s="95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4"/>
      <c r="BD71" s="95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4"/>
      <c r="BP71" s="95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C71" s="79" t="n">
        <f aca="false">SUMIFS($T71:$CA71, $T$1:$CA$1, CC$63)</f>
        <v>0</v>
      </c>
      <c r="CD71" s="79" t="n">
        <f aca="false">SUMIFS($T71:$CA71, $T$1:$CA$1, CD$63)</f>
        <v>0</v>
      </c>
      <c r="CE71" s="79" t="n">
        <f aca="false">SUMIFS($T71:$CA71, $T$1:$CA$1, CE$63)</f>
        <v>0</v>
      </c>
      <c r="CF71" s="79" t="n">
        <f aca="false">SUMIFS($T71:$CA71, $T$1:$CA$1, CF$63)</f>
        <v>0</v>
      </c>
      <c r="CG71" s="79" t="n">
        <f aca="false">SUMIFS($T71:$CA71, $T$1:$CA$1, CG$63)</f>
        <v>0</v>
      </c>
      <c r="CI71" s="79" t="n">
        <f aca="false">CC71=L71</f>
        <v>1</v>
      </c>
      <c r="CJ71" s="79" t="n">
        <f aca="false">CD71=M71</f>
        <v>1</v>
      </c>
      <c r="CK71" s="79" t="n">
        <f aca="false">CE71=N71</f>
        <v>1</v>
      </c>
      <c r="CL71" s="79" t="n">
        <f aca="false">CF71=O71</f>
        <v>1</v>
      </c>
      <c r="CM71" s="79" t="n">
        <f aca="false">CG71=P71</f>
        <v>1</v>
      </c>
    </row>
    <row r="72" s="14" customFormat="true" ht="16.5" hidden="false" customHeight="true" outlineLevel="0" collapsed="false">
      <c r="E72" s="91"/>
      <c r="H72" s="71"/>
      <c r="I72" s="91" t="n">
        <v>0</v>
      </c>
      <c r="J72" s="91" t="n">
        <v>0</v>
      </c>
      <c r="K72" s="214" t="n">
        <f aca="false">I72-J72</f>
        <v>0</v>
      </c>
      <c r="L72" s="91"/>
      <c r="M72" s="91"/>
      <c r="N72" s="91"/>
      <c r="O72" s="91"/>
      <c r="P72" s="91"/>
      <c r="Q72" s="93"/>
      <c r="R72" s="16" t="str">
        <f aca="false">IF(K72=P72, "", "Error")</f>
        <v/>
      </c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4"/>
      <c r="AF72" s="95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4"/>
      <c r="AR72" s="95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4"/>
      <c r="BD72" s="95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4"/>
      <c r="BP72" s="95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C72" s="79" t="n">
        <f aca="false">SUMIFS($T72:$CA72, $T$1:$CA$1, CC$63)</f>
        <v>0</v>
      </c>
      <c r="CD72" s="79" t="n">
        <f aca="false">SUMIFS($T72:$CA72, $T$1:$CA$1, CD$63)</f>
        <v>0</v>
      </c>
      <c r="CE72" s="79" t="n">
        <f aca="false">SUMIFS($T72:$CA72, $T$1:$CA$1, CE$63)</f>
        <v>0</v>
      </c>
      <c r="CF72" s="79" t="n">
        <f aca="false">SUMIFS($T72:$CA72, $T$1:$CA$1, CF$63)</f>
        <v>0</v>
      </c>
      <c r="CG72" s="79" t="n">
        <f aca="false">SUMIFS($T72:$CA72, $T$1:$CA$1, CG$63)</f>
        <v>0</v>
      </c>
      <c r="CI72" s="79" t="n">
        <f aca="false">CC72=L72</f>
        <v>1</v>
      </c>
      <c r="CJ72" s="79" t="n">
        <f aca="false">CD72=M72</f>
        <v>1</v>
      </c>
      <c r="CK72" s="79" t="n">
        <f aca="false">CE72=N72</f>
        <v>1</v>
      </c>
      <c r="CL72" s="79" t="n">
        <f aca="false">CF72=O72</f>
        <v>1</v>
      </c>
      <c r="CM72" s="79" t="n">
        <f aca="false">CG72=P72</f>
        <v>1</v>
      </c>
    </row>
    <row r="73" s="14" customFormat="true" ht="16.5" hidden="false" customHeight="true" outlineLevel="0" collapsed="false">
      <c r="E73" s="91"/>
      <c r="H73" s="71"/>
      <c r="I73" s="91" t="n">
        <v>0</v>
      </c>
      <c r="J73" s="91" t="n">
        <v>0</v>
      </c>
      <c r="K73" s="214" t="n">
        <f aca="false">I73-J73</f>
        <v>0</v>
      </c>
      <c r="L73" s="91"/>
      <c r="M73" s="91"/>
      <c r="N73" s="91"/>
      <c r="O73" s="91"/>
      <c r="P73" s="91"/>
      <c r="Q73" s="93"/>
      <c r="R73" s="16" t="str">
        <f aca="false">IF(K73=P73, "", "Error")</f>
        <v/>
      </c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4"/>
      <c r="AF73" s="95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4"/>
      <c r="AR73" s="95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4"/>
      <c r="BD73" s="95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4"/>
      <c r="BP73" s="95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C73" s="79" t="n">
        <f aca="false">SUMIFS($T73:$CA73, $T$1:$CA$1, CC$63)</f>
        <v>0</v>
      </c>
      <c r="CD73" s="79" t="n">
        <f aca="false">SUMIFS($T73:$CA73, $T$1:$CA$1, CD$63)</f>
        <v>0</v>
      </c>
      <c r="CE73" s="79" t="n">
        <f aca="false">SUMIFS($T73:$CA73, $T$1:$CA$1, CE$63)</f>
        <v>0</v>
      </c>
      <c r="CF73" s="79" t="n">
        <f aca="false">SUMIFS($T73:$CA73, $T$1:$CA$1, CF$63)</f>
        <v>0</v>
      </c>
      <c r="CG73" s="79" t="n">
        <f aca="false">SUMIFS($T73:$CA73, $T$1:$CA$1, CG$63)</f>
        <v>0</v>
      </c>
      <c r="CI73" s="79" t="n">
        <f aca="false">CC73=L73</f>
        <v>1</v>
      </c>
      <c r="CJ73" s="79" t="n">
        <f aca="false">CD73=M73</f>
        <v>1</v>
      </c>
      <c r="CK73" s="79" t="n">
        <f aca="false">CE73=N73</f>
        <v>1</v>
      </c>
      <c r="CL73" s="79" t="n">
        <f aca="false">CF73=O73</f>
        <v>1</v>
      </c>
      <c r="CM73" s="79" t="n">
        <f aca="false">CG73=P73</f>
        <v>1</v>
      </c>
    </row>
    <row r="74" s="14" customFormat="true" ht="16.5" hidden="false" customHeight="true" outlineLevel="0" collapsed="false">
      <c r="E74" s="91"/>
      <c r="H74" s="71"/>
      <c r="I74" s="91" t="n">
        <v>0</v>
      </c>
      <c r="J74" s="91" t="n">
        <v>0</v>
      </c>
      <c r="K74" s="214" t="n">
        <f aca="false">I74-J74</f>
        <v>0</v>
      </c>
      <c r="L74" s="91"/>
      <c r="M74" s="91"/>
      <c r="N74" s="91"/>
      <c r="O74" s="91"/>
      <c r="P74" s="91"/>
      <c r="Q74" s="93"/>
      <c r="R74" s="16" t="str">
        <f aca="false">IF(K74=P74, "", "Error")</f>
        <v/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4"/>
      <c r="AF74" s="95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4"/>
      <c r="AR74" s="95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4"/>
      <c r="BD74" s="95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4"/>
      <c r="BP74" s="95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C74" s="79" t="n">
        <f aca="false">SUMIFS($T74:$CA74, $T$1:$CA$1, CC$63)</f>
        <v>0</v>
      </c>
      <c r="CD74" s="79" t="n">
        <f aca="false">SUMIFS($T74:$CA74, $T$1:$CA$1, CD$63)</f>
        <v>0</v>
      </c>
      <c r="CE74" s="79" t="n">
        <f aca="false">SUMIFS($T74:$CA74, $T$1:$CA$1, CE$63)</f>
        <v>0</v>
      </c>
      <c r="CF74" s="79" t="n">
        <f aca="false">SUMIFS($T74:$CA74, $T$1:$CA$1, CF$63)</f>
        <v>0</v>
      </c>
      <c r="CG74" s="79" t="n">
        <f aca="false">SUMIFS($T74:$CA74, $T$1:$CA$1, CG$63)</f>
        <v>0</v>
      </c>
      <c r="CI74" s="79" t="n">
        <f aca="false">CC74=L74</f>
        <v>1</v>
      </c>
      <c r="CJ74" s="79" t="n">
        <f aca="false">CD74=M74</f>
        <v>1</v>
      </c>
      <c r="CK74" s="79" t="n">
        <f aca="false">CE74=N74</f>
        <v>1</v>
      </c>
      <c r="CL74" s="79" t="n">
        <f aca="false">CF74=O74</f>
        <v>1</v>
      </c>
      <c r="CM74" s="79" t="n">
        <f aca="false">CG74=P74</f>
        <v>1</v>
      </c>
    </row>
    <row r="75" s="14" customFormat="true" ht="16.5" hidden="false" customHeight="true" outlineLevel="0" collapsed="false">
      <c r="E75" s="91"/>
      <c r="H75" s="71"/>
      <c r="I75" s="91"/>
      <c r="J75" s="91"/>
      <c r="K75" s="214" t="n">
        <f aca="false">I75-J75</f>
        <v>0</v>
      </c>
      <c r="L75" s="91"/>
      <c r="M75" s="91"/>
      <c r="N75" s="91"/>
      <c r="O75" s="91"/>
      <c r="P75" s="91"/>
      <c r="Q75" s="93"/>
      <c r="R75" s="16" t="str">
        <f aca="false">IF(K75=P75, "", "Error")</f>
        <v/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4"/>
      <c r="AF75" s="95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4"/>
      <c r="AR75" s="95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4"/>
      <c r="BD75" s="95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4"/>
      <c r="BP75" s="95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C75" s="79" t="n">
        <f aca="false">SUMIFS($T75:$CA75, $T$1:$CA$1, CC$63)</f>
        <v>0</v>
      </c>
      <c r="CD75" s="79" t="n">
        <f aca="false">SUMIFS($T75:$CA75, $T$1:$CA$1, CD$63)</f>
        <v>0</v>
      </c>
      <c r="CE75" s="79" t="n">
        <f aca="false">SUMIFS($T75:$CA75, $T$1:$CA$1, CE$63)</f>
        <v>0</v>
      </c>
      <c r="CF75" s="79" t="n">
        <f aca="false">SUMIFS($T75:$CA75, $T$1:$CA$1, CF$63)</f>
        <v>0</v>
      </c>
      <c r="CG75" s="79" t="n">
        <f aca="false">SUMIFS($T75:$CA75, $T$1:$CA$1, CG$63)</f>
        <v>0</v>
      </c>
      <c r="CI75" s="79" t="n">
        <f aca="false">CC75=L75</f>
        <v>1</v>
      </c>
      <c r="CJ75" s="79" t="n">
        <f aca="false">CD75=M75</f>
        <v>1</v>
      </c>
      <c r="CK75" s="79" t="n">
        <f aca="false">CE75=N75</f>
        <v>1</v>
      </c>
      <c r="CL75" s="79" t="n">
        <f aca="false">CF75=O75</f>
        <v>1</v>
      </c>
      <c r="CM75" s="79" t="n">
        <f aca="false">CG75=P75</f>
        <v>1</v>
      </c>
    </row>
    <row r="76" s="14" customFormat="true" ht="16.5" hidden="false" customHeight="true" outlineLevel="0" collapsed="false">
      <c r="E76" s="96" t="s">
        <v>130</v>
      </c>
      <c r="H76" s="71"/>
      <c r="I76" s="82" t="n">
        <f aca="false">SUM(I71:I75)</f>
        <v>0</v>
      </c>
      <c r="J76" s="82" t="n">
        <f aca="false">SUM(J71:J75)</f>
        <v>0</v>
      </c>
      <c r="K76" s="82" t="n">
        <f aca="false">SUM(K71:K75)</f>
        <v>0</v>
      </c>
      <c r="L76" s="82" t="n">
        <f aca="false">SUM(L71:L75)</f>
        <v>0</v>
      </c>
      <c r="M76" s="82" t="n">
        <f aca="false">SUM(M71:M75)</f>
        <v>0</v>
      </c>
      <c r="N76" s="82" t="n">
        <f aca="false">SUM(N71:N75)</f>
        <v>0</v>
      </c>
      <c r="O76" s="82" t="n">
        <f aca="false">SUM(O71:O75)</f>
        <v>0</v>
      </c>
      <c r="P76" s="82" t="n">
        <f aca="false">SUM(P71:P75)</f>
        <v>0</v>
      </c>
      <c r="Q76" s="16"/>
      <c r="R76" s="16"/>
      <c r="T76" s="82" t="n">
        <f aca="false">SUM(T71:T75)</f>
        <v>0</v>
      </c>
      <c r="U76" s="82" t="n">
        <f aca="false">SUM(U71:U75)</f>
        <v>0</v>
      </c>
      <c r="V76" s="82" t="n">
        <f aca="false">SUM(V71:V75)</f>
        <v>0</v>
      </c>
      <c r="W76" s="82" t="n">
        <f aca="false">SUM(W71:W75)</f>
        <v>0</v>
      </c>
      <c r="X76" s="82" t="n">
        <f aca="false">SUM(X71:X75)</f>
        <v>0</v>
      </c>
      <c r="Y76" s="82" t="n">
        <f aca="false">SUM(Y71:Y75)</f>
        <v>0</v>
      </c>
      <c r="Z76" s="82" t="n">
        <f aca="false">SUM(Z71:Z75)</f>
        <v>0</v>
      </c>
      <c r="AA76" s="82" t="n">
        <f aca="false">SUM(AA71:AA75)</f>
        <v>0</v>
      </c>
      <c r="AB76" s="82" t="n">
        <f aca="false">SUM(AB71:AB75)</f>
        <v>0</v>
      </c>
      <c r="AC76" s="82" t="n">
        <f aca="false">SUM(AC71:AC75)</f>
        <v>0</v>
      </c>
      <c r="AD76" s="82" t="n">
        <f aca="false">SUM(AD71:AD75)</f>
        <v>0</v>
      </c>
      <c r="AE76" s="82" t="n">
        <f aca="false">SUM(AE71:AE75)</f>
        <v>0</v>
      </c>
      <c r="AF76" s="83" t="n">
        <f aca="false">SUM(AF71:AF75)</f>
        <v>0</v>
      </c>
      <c r="AG76" s="82" t="n">
        <f aca="false">SUM(AG71:AG75)</f>
        <v>0</v>
      </c>
      <c r="AH76" s="82" t="n">
        <f aca="false">SUM(AH71:AH75)</f>
        <v>0</v>
      </c>
      <c r="AI76" s="82" t="n">
        <f aca="false">SUM(AI71:AI75)</f>
        <v>0</v>
      </c>
      <c r="AJ76" s="82" t="n">
        <f aca="false">SUM(AJ71:AJ75)</f>
        <v>0</v>
      </c>
      <c r="AK76" s="82" t="n">
        <f aca="false">SUM(AK71:AK75)</f>
        <v>0</v>
      </c>
      <c r="AL76" s="82" t="n">
        <f aca="false">SUM(AL71:AL75)</f>
        <v>0</v>
      </c>
      <c r="AM76" s="82" t="n">
        <f aca="false">SUM(AM71:AM75)</f>
        <v>0</v>
      </c>
      <c r="AN76" s="82" t="n">
        <f aca="false">SUM(AN71:AN75)</f>
        <v>0</v>
      </c>
      <c r="AO76" s="82" t="n">
        <f aca="false">SUM(AO71:AO75)</f>
        <v>0</v>
      </c>
      <c r="AP76" s="82" t="n">
        <f aca="false">SUM(AP71:AP75)</f>
        <v>0</v>
      </c>
      <c r="AQ76" s="82" t="n">
        <f aca="false">SUM(AQ71:AQ75)</f>
        <v>0</v>
      </c>
      <c r="AR76" s="83" t="n">
        <f aca="false">SUM(AR71:AR75)</f>
        <v>0</v>
      </c>
      <c r="AS76" s="82" t="n">
        <f aca="false">SUM(AS71:AS75)</f>
        <v>0</v>
      </c>
      <c r="AT76" s="82" t="n">
        <f aca="false">SUM(AT71:AT75)</f>
        <v>0</v>
      </c>
      <c r="AU76" s="82" t="n">
        <f aca="false">SUM(AU71:AU75)</f>
        <v>0</v>
      </c>
      <c r="AV76" s="82" t="n">
        <f aca="false">SUM(AV71:AV75)</f>
        <v>0</v>
      </c>
      <c r="AW76" s="82" t="n">
        <f aca="false">SUM(AW71:AW75)</f>
        <v>0</v>
      </c>
      <c r="AX76" s="82" t="n">
        <f aca="false">SUM(AX71:AX75)</f>
        <v>0</v>
      </c>
      <c r="AY76" s="82" t="n">
        <f aca="false">SUM(AY71:AY75)</f>
        <v>0</v>
      </c>
      <c r="AZ76" s="82" t="n">
        <f aca="false">SUM(AZ71:AZ75)</f>
        <v>0</v>
      </c>
      <c r="BA76" s="82" t="n">
        <f aca="false">SUM(BA71:BA75)</f>
        <v>0</v>
      </c>
      <c r="BB76" s="82" t="n">
        <f aca="false">SUM(BB71:BB75)</f>
        <v>0</v>
      </c>
      <c r="BC76" s="82" t="n">
        <f aca="false">SUM(BC71:BC75)</f>
        <v>0</v>
      </c>
      <c r="BD76" s="83" t="n">
        <f aca="false">SUM(BD71:BD75)</f>
        <v>0</v>
      </c>
      <c r="BE76" s="82" t="n">
        <f aca="false">SUM(BE71:BE75)</f>
        <v>0</v>
      </c>
      <c r="BF76" s="82" t="n">
        <f aca="false">SUM(BF71:BF75)</f>
        <v>0</v>
      </c>
      <c r="BG76" s="82" t="n">
        <f aca="false">SUM(BG71:BG75)</f>
        <v>0</v>
      </c>
      <c r="BH76" s="82" t="n">
        <f aca="false">SUM(BH71:BH75)</f>
        <v>0</v>
      </c>
      <c r="BI76" s="82" t="n">
        <f aca="false">SUM(BI71:BI75)</f>
        <v>0</v>
      </c>
      <c r="BJ76" s="82" t="n">
        <f aca="false">SUM(BJ71:BJ75)</f>
        <v>0</v>
      </c>
      <c r="BK76" s="82" t="n">
        <f aca="false">SUM(BK71:BK75)</f>
        <v>0</v>
      </c>
      <c r="BL76" s="82" t="n">
        <f aca="false">SUM(BL71:BL75)</f>
        <v>0</v>
      </c>
      <c r="BM76" s="82" t="n">
        <f aca="false">SUM(BM71:BM75)</f>
        <v>0</v>
      </c>
      <c r="BN76" s="82" t="n">
        <f aca="false">SUM(BN71:BN75)</f>
        <v>0</v>
      </c>
      <c r="BO76" s="82" t="n">
        <f aca="false">SUM(BO71:BO75)</f>
        <v>0</v>
      </c>
      <c r="BP76" s="83" t="n">
        <f aca="false">SUM(BP71:BP75)</f>
        <v>0</v>
      </c>
      <c r="BQ76" s="82" t="n">
        <f aca="false">SUM(BQ71:BQ75)</f>
        <v>0</v>
      </c>
      <c r="BR76" s="82" t="n">
        <f aca="false">SUM(BR71:BR75)</f>
        <v>0</v>
      </c>
      <c r="BS76" s="82" t="n">
        <f aca="false">SUM(BS71:BS75)</f>
        <v>0</v>
      </c>
      <c r="BT76" s="82" t="n">
        <f aca="false">SUM(BT71:BT75)</f>
        <v>0</v>
      </c>
      <c r="BU76" s="82" t="n">
        <f aca="false">SUM(BU71:BU75)</f>
        <v>0</v>
      </c>
      <c r="BV76" s="82" t="n">
        <f aca="false">SUM(BV71:BV75)</f>
        <v>0</v>
      </c>
      <c r="BW76" s="82" t="n">
        <f aca="false">SUM(BW71:BW75)</f>
        <v>0</v>
      </c>
      <c r="BX76" s="82" t="n">
        <f aca="false">SUM(BX71:BX75)</f>
        <v>0</v>
      </c>
      <c r="BY76" s="82" t="n">
        <f aca="false">SUM(BY71:BY75)</f>
        <v>0</v>
      </c>
      <c r="BZ76" s="82" t="n">
        <f aca="false">SUM(BZ71:BZ75)</f>
        <v>0</v>
      </c>
      <c r="CA76" s="82" t="n">
        <f aca="false">SUM(CA71:CA75)</f>
        <v>0</v>
      </c>
      <c r="CC76" s="84" t="n">
        <f aca="false">SUM(CC71:CC75)</f>
        <v>0</v>
      </c>
      <c r="CD76" s="84" t="n">
        <f aca="false">SUM(CD71:CD75)</f>
        <v>0</v>
      </c>
      <c r="CE76" s="84" t="n">
        <f aca="false">SUM(CE71:CE75)</f>
        <v>0</v>
      </c>
      <c r="CF76" s="84" t="n">
        <f aca="false">SUM(CF71:CF75)</f>
        <v>0</v>
      </c>
      <c r="CG76" s="84" t="n">
        <f aca="false">SUM(CG71:CG75)</f>
        <v>0</v>
      </c>
      <c r="CI76" s="84" t="n">
        <f aca="false">CC76=L76</f>
        <v>1</v>
      </c>
      <c r="CJ76" s="84" t="n">
        <f aca="false">CD76=M76</f>
        <v>1</v>
      </c>
      <c r="CK76" s="84" t="n">
        <f aca="false">CE76=N76</f>
        <v>1</v>
      </c>
      <c r="CL76" s="84" t="n">
        <f aca="false">CF76=O76</f>
        <v>1</v>
      </c>
      <c r="CM76" s="84" t="n">
        <f aca="false">CG76=P76</f>
        <v>1</v>
      </c>
    </row>
    <row r="77" s="14" customFormat="true" ht="16.5" hidden="false" customHeight="true" outlineLevel="0" collapsed="false">
      <c r="H77" s="71"/>
      <c r="I77" s="88"/>
      <c r="J77" s="88"/>
      <c r="K77" s="88"/>
      <c r="L77" s="88"/>
      <c r="M77" s="88"/>
      <c r="N77" s="88"/>
      <c r="O77" s="88"/>
      <c r="P77" s="88"/>
      <c r="Q77" s="16"/>
      <c r="R77" s="16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9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9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9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C77" s="90"/>
      <c r="CD77" s="90"/>
      <c r="CE77" s="90"/>
      <c r="CF77" s="90"/>
      <c r="CG77" s="90"/>
      <c r="CI77" s="90"/>
      <c r="CJ77" s="90"/>
      <c r="CK77" s="90"/>
      <c r="CL77" s="90"/>
      <c r="CM77" s="90"/>
    </row>
    <row r="78" s="14" customFormat="true" ht="16.5" hidden="false" customHeight="true" outlineLevel="0" collapsed="false">
      <c r="E78" s="21" t="s">
        <v>131</v>
      </c>
      <c r="H78" s="71"/>
      <c r="I78" s="88"/>
      <c r="J78" s="88"/>
      <c r="K78" s="88"/>
      <c r="L78" s="88"/>
      <c r="M78" s="88"/>
      <c r="N78" s="88"/>
      <c r="O78" s="88"/>
      <c r="P78" s="88"/>
      <c r="Q78" s="16"/>
      <c r="R78" s="16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9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9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9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C78" s="90"/>
      <c r="CD78" s="90"/>
      <c r="CE78" s="90"/>
      <c r="CF78" s="90"/>
      <c r="CG78" s="90"/>
      <c r="CI78" s="90"/>
      <c r="CJ78" s="90"/>
      <c r="CK78" s="90"/>
      <c r="CL78" s="90"/>
      <c r="CM78" s="90"/>
    </row>
    <row r="79" s="14" customFormat="true" ht="16.5" hidden="false" customHeight="true" outlineLevel="0" collapsed="false">
      <c r="E79" s="91"/>
      <c r="H79" s="71"/>
      <c r="I79" s="91" t="n">
        <f aca="false">J21</f>
        <v>0</v>
      </c>
      <c r="J79" s="91" t="n">
        <v>0</v>
      </c>
      <c r="K79" s="214" t="n">
        <f aca="false">I79-J79</f>
        <v>0</v>
      </c>
      <c r="L79" s="91" t="n">
        <v>0</v>
      </c>
      <c r="M79" s="91" t="n">
        <f aca="false">$K79</f>
        <v>0</v>
      </c>
      <c r="N79" s="91" t="n">
        <f aca="false">$K79</f>
        <v>0</v>
      </c>
      <c r="O79" s="91" t="n">
        <f aca="false">$K79</f>
        <v>0</v>
      </c>
      <c r="P79" s="91" t="n">
        <f aca="false">$K79</f>
        <v>0</v>
      </c>
      <c r="Q79" s="93"/>
      <c r="R79" s="16" t="str">
        <f aca="false">IF(K79=P79, "", "Error")</f>
        <v/>
      </c>
      <c r="T79" s="91" t="n">
        <v>0</v>
      </c>
      <c r="U79" s="91" t="n">
        <v>0</v>
      </c>
      <c r="V79" s="91" t="n">
        <v>0</v>
      </c>
      <c r="W79" s="91" t="n">
        <v>0</v>
      </c>
      <c r="X79" s="91" t="n">
        <v>0</v>
      </c>
      <c r="Y79" s="91" t="n">
        <v>0</v>
      </c>
      <c r="Z79" s="91" t="n">
        <v>0</v>
      </c>
      <c r="AA79" s="91" t="n">
        <v>0</v>
      </c>
      <c r="AB79" s="91" t="n">
        <v>0</v>
      </c>
      <c r="AC79" s="91" t="n">
        <v>0</v>
      </c>
      <c r="AD79" s="91" t="n">
        <v>0</v>
      </c>
      <c r="AE79" s="94" t="n">
        <v>0</v>
      </c>
      <c r="AF79" s="95" t="n">
        <f aca="false">$K$79/12</f>
        <v>0</v>
      </c>
      <c r="AG79" s="95" t="n">
        <f aca="false">$K$79/12</f>
        <v>0</v>
      </c>
      <c r="AH79" s="95" t="n">
        <f aca="false">$K$79/12</f>
        <v>0</v>
      </c>
      <c r="AI79" s="95" t="n">
        <f aca="false">$K$79/12</f>
        <v>0</v>
      </c>
      <c r="AJ79" s="95" t="n">
        <f aca="false">$K$79/12</f>
        <v>0</v>
      </c>
      <c r="AK79" s="95" t="n">
        <f aca="false">$K$79/12</f>
        <v>0</v>
      </c>
      <c r="AL79" s="95" t="n">
        <f aca="false">$K$79/12</f>
        <v>0</v>
      </c>
      <c r="AM79" s="95" t="n">
        <f aca="false">$K$79/12</f>
        <v>0</v>
      </c>
      <c r="AN79" s="95" t="n">
        <f aca="false">$K$79/12</f>
        <v>0</v>
      </c>
      <c r="AO79" s="95" t="n">
        <f aca="false">$K$79/12</f>
        <v>0</v>
      </c>
      <c r="AP79" s="95" t="n">
        <f aca="false">$K$79/12</f>
        <v>0</v>
      </c>
      <c r="AQ79" s="95" t="n">
        <f aca="false">$K$79/12</f>
        <v>0</v>
      </c>
      <c r="AR79" s="95" t="n">
        <f aca="false">$K$79/12</f>
        <v>0</v>
      </c>
      <c r="AS79" s="95" t="n">
        <f aca="false">$K$79/12</f>
        <v>0</v>
      </c>
      <c r="AT79" s="95" t="n">
        <f aca="false">$K$79/12</f>
        <v>0</v>
      </c>
      <c r="AU79" s="95" t="n">
        <f aca="false">$K$79/12</f>
        <v>0</v>
      </c>
      <c r="AV79" s="95" t="n">
        <f aca="false">$K$79/12</f>
        <v>0</v>
      </c>
      <c r="AW79" s="95" t="n">
        <f aca="false">$K$79/12</f>
        <v>0</v>
      </c>
      <c r="AX79" s="95" t="n">
        <f aca="false">$K$79/12</f>
        <v>0</v>
      </c>
      <c r="AY79" s="95" t="n">
        <f aca="false">$K$79/12</f>
        <v>0</v>
      </c>
      <c r="AZ79" s="95" t="n">
        <f aca="false">$K$79/12</f>
        <v>0</v>
      </c>
      <c r="BA79" s="95" t="n">
        <f aca="false">$K$79/12</f>
        <v>0</v>
      </c>
      <c r="BB79" s="95" t="n">
        <f aca="false">$K$79/12</f>
        <v>0</v>
      </c>
      <c r="BC79" s="95" t="n">
        <f aca="false">$K$79/12</f>
        <v>0</v>
      </c>
      <c r="BD79" s="95" t="n">
        <f aca="false">$K$79/12</f>
        <v>0</v>
      </c>
      <c r="BE79" s="95" t="n">
        <f aca="false">$K$79/12</f>
        <v>0</v>
      </c>
      <c r="BF79" s="95" t="n">
        <f aca="false">$K$79/12</f>
        <v>0</v>
      </c>
      <c r="BG79" s="95" t="n">
        <f aca="false">$K$79/12</f>
        <v>0</v>
      </c>
      <c r="BH79" s="95" t="n">
        <f aca="false">$K$79/12</f>
        <v>0</v>
      </c>
      <c r="BI79" s="95" t="n">
        <f aca="false">$K$79/12</f>
        <v>0</v>
      </c>
      <c r="BJ79" s="95" t="n">
        <f aca="false">$K$79/12</f>
        <v>0</v>
      </c>
      <c r="BK79" s="95" t="n">
        <f aca="false">$K$79/12</f>
        <v>0</v>
      </c>
      <c r="BL79" s="95" t="n">
        <f aca="false">$K$79/12</f>
        <v>0</v>
      </c>
      <c r="BM79" s="95" t="n">
        <f aca="false">$K$79/12</f>
        <v>0</v>
      </c>
      <c r="BN79" s="95" t="n">
        <f aca="false">$K$79/12</f>
        <v>0</v>
      </c>
      <c r="BO79" s="95" t="n">
        <f aca="false">$K$79/12</f>
        <v>0</v>
      </c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C79" s="79" t="n">
        <f aca="false">SUMIFS($T79:$CA79, $T$1:$CA$1, CC$63)</f>
        <v>0</v>
      </c>
      <c r="CD79" s="79" t="n">
        <f aca="false">SUMIFS($T79:$CA79, $T$1:$CA$1, CD$63)</f>
        <v>0</v>
      </c>
      <c r="CE79" s="79" t="n">
        <f aca="false">SUMIFS($T79:$CA79, $T$1:$CA$1, CE$63)</f>
        <v>0</v>
      </c>
      <c r="CF79" s="79" t="n">
        <f aca="false">SUMIFS($T79:$CA79, $T$1:$CA$1, CF$63)</f>
        <v>0</v>
      </c>
      <c r="CG79" s="79" t="n">
        <f aca="false">SUMIFS($T79:$CA79, $T$1:$CA$1, CG$63)</f>
        <v>0</v>
      </c>
      <c r="CI79" s="79" t="n">
        <f aca="false">CC79=L79</f>
        <v>1</v>
      </c>
      <c r="CJ79" s="79" t="n">
        <f aca="false">CD79=M79</f>
        <v>1</v>
      </c>
      <c r="CK79" s="79" t="n">
        <f aca="false">CE79=N79</f>
        <v>1</v>
      </c>
      <c r="CL79" s="79" t="n">
        <f aca="false">CF79=O79</f>
        <v>1</v>
      </c>
      <c r="CM79" s="79" t="n">
        <f aca="false">CG79=P79</f>
        <v>1</v>
      </c>
    </row>
    <row r="80" s="14" customFormat="true" ht="16.5" hidden="false" customHeight="true" outlineLevel="0" collapsed="false">
      <c r="E80" s="91"/>
      <c r="H80" s="71"/>
      <c r="I80" s="91" t="n">
        <v>0</v>
      </c>
      <c r="J80" s="91" t="n">
        <v>0</v>
      </c>
      <c r="K80" s="214" t="n">
        <f aca="false">I80-J80</f>
        <v>0</v>
      </c>
      <c r="L80" s="91"/>
      <c r="M80" s="91"/>
      <c r="N80" s="91"/>
      <c r="O80" s="91"/>
      <c r="P80" s="91"/>
      <c r="Q80" s="93"/>
      <c r="R80" s="16" t="str">
        <f aca="false">IF(K80=P80, "", "Error")</f>
        <v/>
      </c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4"/>
      <c r="AF80" s="95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4"/>
      <c r="AR80" s="95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4"/>
      <c r="BD80" s="95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4"/>
      <c r="BP80" s="95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C80" s="79" t="n">
        <f aca="false">SUMIFS($T80:$CA80, $T$1:$CA$1, CC$63)</f>
        <v>0</v>
      </c>
      <c r="CD80" s="79" t="n">
        <f aca="false">SUMIFS($T80:$CA80, $T$1:$CA$1, CD$63)</f>
        <v>0</v>
      </c>
      <c r="CE80" s="79" t="n">
        <f aca="false">SUMIFS($T80:$CA80, $T$1:$CA$1, CE$63)</f>
        <v>0</v>
      </c>
      <c r="CF80" s="79" t="n">
        <f aca="false">SUMIFS($T80:$CA80, $T$1:$CA$1, CF$63)</f>
        <v>0</v>
      </c>
      <c r="CG80" s="79" t="n">
        <f aca="false">SUMIFS($T80:$CA80, $T$1:$CA$1, CG$63)</f>
        <v>0</v>
      </c>
      <c r="CI80" s="79" t="n">
        <f aca="false">CC80=L80</f>
        <v>1</v>
      </c>
      <c r="CJ80" s="79" t="n">
        <f aca="false">CD80=M80</f>
        <v>1</v>
      </c>
      <c r="CK80" s="79" t="n">
        <f aca="false">CE80=N80</f>
        <v>1</v>
      </c>
      <c r="CL80" s="79" t="n">
        <f aca="false">CF80=O80</f>
        <v>1</v>
      </c>
      <c r="CM80" s="79" t="n">
        <f aca="false">CG80=P80</f>
        <v>1</v>
      </c>
    </row>
    <row r="81" s="14" customFormat="true" ht="16.5" hidden="false" customHeight="true" outlineLevel="0" collapsed="false">
      <c r="E81" s="91"/>
      <c r="H81" s="71"/>
      <c r="I81" s="91" t="n">
        <v>0</v>
      </c>
      <c r="J81" s="91" t="n">
        <v>0</v>
      </c>
      <c r="K81" s="214" t="n">
        <f aca="false">I81-J81</f>
        <v>0</v>
      </c>
      <c r="L81" s="91"/>
      <c r="M81" s="91"/>
      <c r="N81" s="91"/>
      <c r="O81" s="91"/>
      <c r="P81" s="91"/>
      <c r="Q81" s="93"/>
      <c r="R81" s="16" t="str">
        <f aca="false">IF(K81=P81, "", "Error")</f>
        <v/>
      </c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4"/>
      <c r="AF81" s="95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4"/>
      <c r="AR81" s="95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4"/>
      <c r="BD81" s="95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4"/>
      <c r="BP81" s="95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C81" s="79" t="n">
        <f aca="false">SUMIFS($T81:$CA81, $T$1:$CA$1, CC$63)</f>
        <v>0</v>
      </c>
      <c r="CD81" s="79" t="n">
        <f aca="false">SUMIFS($T81:$CA81, $T$1:$CA$1, CD$63)</f>
        <v>0</v>
      </c>
      <c r="CE81" s="79" t="n">
        <f aca="false">SUMIFS($T81:$CA81, $T$1:$CA$1, CE$63)</f>
        <v>0</v>
      </c>
      <c r="CF81" s="79" t="n">
        <f aca="false">SUMIFS($T81:$CA81, $T$1:$CA$1, CF$63)</f>
        <v>0</v>
      </c>
      <c r="CG81" s="79" t="n">
        <f aca="false">SUMIFS($T81:$CA81, $T$1:$CA$1, CG$63)</f>
        <v>0</v>
      </c>
      <c r="CI81" s="79" t="n">
        <f aca="false">CC81=L81</f>
        <v>1</v>
      </c>
      <c r="CJ81" s="79" t="n">
        <f aca="false">CD81=M81</f>
        <v>1</v>
      </c>
      <c r="CK81" s="79" t="n">
        <f aca="false">CE81=N81</f>
        <v>1</v>
      </c>
      <c r="CL81" s="79" t="n">
        <f aca="false">CF81=O81</f>
        <v>1</v>
      </c>
      <c r="CM81" s="79" t="n">
        <f aca="false">CG81=P81</f>
        <v>1</v>
      </c>
    </row>
    <row r="82" s="14" customFormat="true" ht="16.5" hidden="false" customHeight="true" outlineLevel="0" collapsed="false">
      <c r="E82" s="91"/>
      <c r="H82" s="71"/>
      <c r="I82" s="91" t="n">
        <v>0</v>
      </c>
      <c r="J82" s="91" t="n">
        <v>0</v>
      </c>
      <c r="K82" s="214" t="n">
        <f aca="false">I82-J82</f>
        <v>0</v>
      </c>
      <c r="L82" s="91"/>
      <c r="M82" s="91"/>
      <c r="N82" s="91"/>
      <c r="O82" s="91"/>
      <c r="P82" s="91"/>
      <c r="Q82" s="93"/>
      <c r="R82" s="16" t="str">
        <f aca="false">IF(K82=P82, "", "Error")</f>
        <v/>
      </c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4"/>
      <c r="AF82" s="95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4"/>
      <c r="AR82" s="95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4"/>
      <c r="BD82" s="95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4"/>
      <c r="BP82" s="95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C82" s="79" t="n">
        <f aca="false">SUMIFS($T82:$CA82, $T$1:$CA$1, CC$63)</f>
        <v>0</v>
      </c>
      <c r="CD82" s="79" t="n">
        <f aca="false">SUMIFS($T82:$CA82, $T$1:$CA$1, CD$63)</f>
        <v>0</v>
      </c>
      <c r="CE82" s="79" t="n">
        <f aca="false">SUMIFS($T82:$CA82, $T$1:$CA$1, CE$63)</f>
        <v>0</v>
      </c>
      <c r="CF82" s="79" t="n">
        <f aca="false">SUMIFS($T82:$CA82, $T$1:$CA$1, CF$63)</f>
        <v>0</v>
      </c>
      <c r="CG82" s="79" t="n">
        <f aca="false">SUMIFS($T82:$CA82, $T$1:$CA$1, CG$63)</f>
        <v>0</v>
      </c>
      <c r="CI82" s="79" t="n">
        <f aca="false">CC82=L82</f>
        <v>1</v>
      </c>
      <c r="CJ82" s="79" t="n">
        <f aca="false">CD82=M82</f>
        <v>1</v>
      </c>
      <c r="CK82" s="79" t="n">
        <f aca="false">CE82=N82</f>
        <v>1</v>
      </c>
      <c r="CL82" s="79" t="n">
        <f aca="false">CF82=O82</f>
        <v>1</v>
      </c>
      <c r="CM82" s="79" t="n">
        <f aca="false">CG82=P82</f>
        <v>1</v>
      </c>
    </row>
    <row r="83" s="14" customFormat="true" ht="16.5" hidden="false" customHeight="true" outlineLevel="0" collapsed="false">
      <c r="E83" s="91"/>
      <c r="H83" s="71"/>
      <c r="I83" s="91" t="n">
        <v>0</v>
      </c>
      <c r="J83" s="91" t="n">
        <v>0</v>
      </c>
      <c r="K83" s="214" t="n">
        <f aca="false">I83-J83</f>
        <v>0</v>
      </c>
      <c r="L83" s="91"/>
      <c r="M83" s="91"/>
      <c r="N83" s="91"/>
      <c r="O83" s="91"/>
      <c r="P83" s="91"/>
      <c r="Q83" s="93"/>
      <c r="R83" s="16" t="str">
        <f aca="false">IF(K83=P83, "", "Error")</f>
        <v/>
      </c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4"/>
      <c r="AF83" s="95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4"/>
      <c r="AR83" s="95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4"/>
      <c r="BD83" s="95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4"/>
      <c r="BP83" s="95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C83" s="79" t="n">
        <f aca="false">SUMIFS($T83:$CA83, $T$1:$CA$1, CC$63)</f>
        <v>0</v>
      </c>
      <c r="CD83" s="79" t="n">
        <f aca="false">SUMIFS($T83:$CA83, $T$1:$CA$1, CD$63)</f>
        <v>0</v>
      </c>
      <c r="CE83" s="79" t="n">
        <f aca="false">SUMIFS($T83:$CA83, $T$1:$CA$1, CE$63)</f>
        <v>0</v>
      </c>
      <c r="CF83" s="79" t="n">
        <f aca="false">SUMIFS($T83:$CA83, $T$1:$CA$1, CF$63)</f>
        <v>0</v>
      </c>
      <c r="CG83" s="79" t="n">
        <f aca="false">SUMIFS($T83:$CA83, $T$1:$CA$1, CG$63)</f>
        <v>0</v>
      </c>
      <c r="CI83" s="79" t="n">
        <f aca="false">CC83=L83</f>
        <v>1</v>
      </c>
      <c r="CJ83" s="79" t="n">
        <f aca="false">CD83=M83</f>
        <v>1</v>
      </c>
      <c r="CK83" s="79" t="n">
        <f aca="false">CE83=N83</f>
        <v>1</v>
      </c>
      <c r="CL83" s="79" t="n">
        <f aca="false">CF83=O83</f>
        <v>1</v>
      </c>
      <c r="CM83" s="79" t="n">
        <f aca="false">CG83=P83</f>
        <v>1</v>
      </c>
    </row>
    <row r="84" s="14" customFormat="true" ht="16.5" hidden="false" customHeight="true" outlineLevel="0" collapsed="false">
      <c r="E84" s="96" t="s">
        <v>134</v>
      </c>
      <c r="H84" s="71"/>
      <c r="I84" s="82" t="n">
        <f aca="false">SUM(I79:I83)</f>
        <v>0</v>
      </c>
      <c r="J84" s="82" t="n">
        <f aca="false">SUM(J79:J83)</f>
        <v>0</v>
      </c>
      <c r="K84" s="82" t="n">
        <f aca="false">SUM(K79:K83)</f>
        <v>0</v>
      </c>
      <c r="L84" s="82" t="n">
        <f aca="false">SUM(L79:L83)</f>
        <v>0</v>
      </c>
      <c r="M84" s="82" t="n">
        <f aca="false">SUM(M79:M83)</f>
        <v>0</v>
      </c>
      <c r="N84" s="82" t="n">
        <f aca="false">SUM(N79:N83)</f>
        <v>0</v>
      </c>
      <c r="O84" s="82" t="n">
        <f aca="false">SUM(O79:O83)</f>
        <v>0</v>
      </c>
      <c r="P84" s="82" t="n">
        <f aca="false">SUM(P79:P83)</f>
        <v>0</v>
      </c>
      <c r="Q84" s="103"/>
      <c r="R84" s="103"/>
      <c r="S84" s="104"/>
      <c r="T84" s="82" t="n">
        <f aca="false">SUM(T79:T83)</f>
        <v>0</v>
      </c>
      <c r="U84" s="82" t="n">
        <f aca="false">SUM(U79:U83)</f>
        <v>0</v>
      </c>
      <c r="V84" s="82" t="n">
        <f aca="false">SUM(V79:V83)</f>
        <v>0</v>
      </c>
      <c r="W84" s="82" t="n">
        <f aca="false">SUM(W79:W83)</f>
        <v>0</v>
      </c>
      <c r="X84" s="82" t="n">
        <f aca="false">SUM(X79:X83)</f>
        <v>0</v>
      </c>
      <c r="Y84" s="82" t="n">
        <f aca="false">SUM(Y79:Y83)</f>
        <v>0</v>
      </c>
      <c r="Z84" s="82" t="n">
        <f aca="false">SUM(Z79:Z83)</f>
        <v>0</v>
      </c>
      <c r="AA84" s="82" t="n">
        <f aca="false">SUM(AA79:AA83)</f>
        <v>0</v>
      </c>
      <c r="AB84" s="82" t="n">
        <f aca="false">SUM(AB79:AB83)</f>
        <v>0</v>
      </c>
      <c r="AC84" s="82" t="n">
        <f aca="false">SUM(AC79:AC83)</f>
        <v>0</v>
      </c>
      <c r="AD84" s="82" t="n">
        <f aca="false">SUM(AD79:AD83)</f>
        <v>0</v>
      </c>
      <c r="AE84" s="82" t="n">
        <f aca="false">SUM(AE79:AE83)</f>
        <v>0</v>
      </c>
      <c r="AF84" s="82" t="n">
        <f aca="false">SUM(AF79:AF83)</f>
        <v>0</v>
      </c>
      <c r="AG84" s="82" t="n">
        <f aca="false">SUM(AG79:AG83)</f>
        <v>0</v>
      </c>
      <c r="AH84" s="82" t="n">
        <f aca="false">SUM(AH79:AH83)</f>
        <v>0</v>
      </c>
      <c r="AI84" s="82" t="n">
        <f aca="false">SUM(AI79:AI83)</f>
        <v>0</v>
      </c>
      <c r="AJ84" s="82" t="n">
        <f aca="false">SUM(AJ79:AJ83)</f>
        <v>0</v>
      </c>
      <c r="AK84" s="82" t="n">
        <f aca="false">SUM(AK79:AK83)</f>
        <v>0</v>
      </c>
      <c r="AL84" s="82" t="n">
        <f aca="false">SUM(AL79:AL83)</f>
        <v>0</v>
      </c>
      <c r="AM84" s="82" t="n">
        <f aca="false">SUM(AM79:AM83)</f>
        <v>0</v>
      </c>
      <c r="AN84" s="82" t="n">
        <f aca="false">SUM(AN79:AN83)</f>
        <v>0</v>
      </c>
      <c r="AO84" s="82" t="n">
        <f aca="false">SUM(AO79:AO83)</f>
        <v>0</v>
      </c>
      <c r="AP84" s="82" t="n">
        <f aca="false">SUM(AP79:AP83)</f>
        <v>0</v>
      </c>
      <c r="AQ84" s="82" t="n">
        <f aca="false">SUM(AQ79:AQ83)</f>
        <v>0</v>
      </c>
      <c r="AR84" s="82" t="n">
        <f aca="false">SUM(AR79:AR83)</f>
        <v>0</v>
      </c>
      <c r="AS84" s="82" t="n">
        <f aca="false">SUM(AS79:AS83)</f>
        <v>0</v>
      </c>
      <c r="AT84" s="82" t="n">
        <f aca="false">SUM(AT79:AT83)</f>
        <v>0</v>
      </c>
      <c r="AU84" s="82" t="n">
        <f aca="false">SUM(AU79:AU83)</f>
        <v>0</v>
      </c>
      <c r="AV84" s="82" t="n">
        <f aca="false">SUM(AV79:AV83)</f>
        <v>0</v>
      </c>
      <c r="AW84" s="82" t="n">
        <f aca="false">SUM(AW79:AW83)</f>
        <v>0</v>
      </c>
      <c r="AX84" s="82" t="n">
        <f aca="false">SUM(AX79:AX83)</f>
        <v>0</v>
      </c>
      <c r="AY84" s="82" t="n">
        <f aca="false">SUM(AY79:AY83)</f>
        <v>0</v>
      </c>
      <c r="AZ84" s="82" t="n">
        <f aca="false">SUM(AZ79:AZ83)</f>
        <v>0</v>
      </c>
      <c r="BA84" s="82" t="n">
        <f aca="false">SUM(BA79:BA83)</f>
        <v>0</v>
      </c>
      <c r="BB84" s="82" t="n">
        <f aca="false">SUM(BB79:BB83)</f>
        <v>0</v>
      </c>
      <c r="BC84" s="82" t="n">
        <f aca="false">SUM(BC79:BC83)</f>
        <v>0</v>
      </c>
      <c r="BD84" s="82" t="n">
        <f aca="false">SUM(BD79:BD83)</f>
        <v>0</v>
      </c>
      <c r="BE84" s="82" t="n">
        <f aca="false">SUM(BE79:BE83)</f>
        <v>0</v>
      </c>
      <c r="BF84" s="82" t="n">
        <f aca="false">SUM(BF79:BF83)</f>
        <v>0</v>
      </c>
      <c r="BG84" s="82" t="n">
        <f aca="false">SUM(BG79:BG83)</f>
        <v>0</v>
      </c>
      <c r="BH84" s="82" t="n">
        <f aca="false">SUM(BH79:BH83)</f>
        <v>0</v>
      </c>
      <c r="BI84" s="82" t="n">
        <f aca="false">SUM(BI79:BI83)</f>
        <v>0</v>
      </c>
      <c r="BJ84" s="82" t="n">
        <f aca="false">SUM(BJ79:BJ83)</f>
        <v>0</v>
      </c>
      <c r="BK84" s="82" t="n">
        <f aca="false">SUM(BK79:BK83)</f>
        <v>0</v>
      </c>
      <c r="BL84" s="82" t="n">
        <f aca="false">SUM(BL79:BL83)</f>
        <v>0</v>
      </c>
      <c r="BM84" s="82" t="n">
        <f aca="false">SUM(BM79:BM83)</f>
        <v>0</v>
      </c>
      <c r="BN84" s="82" t="n">
        <f aca="false">SUM(BN79:BN83)</f>
        <v>0</v>
      </c>
      <c r="BO84" s="82" t="n">
        <f aca="false">SUM(BO79:BO83)</f>
        <v>0</v>
      </c>
      <c r="BP84" s="82" t="n">
        <f aca="false">SUM(BP79:BP83)</f>
        <v>0</v>
      </c>
      <c r="BQ84" s="82" t="n">
        <f aca="false">SUM(BQ79:BQ83)</f>
        <v>0</v>
      </c>
      <c r="BR84" s="82" t="n">
        <f aca="false">SUM(BR79:BR83)</f>
        <v>0</v>
      </c>
      <c r="BS84" s="82" t="n">
        <f aca="false">SUM(BS79:BS83)</f>
        <v>0</v>
      </c>
      <c r="BT84" s="82" t="n">
        <f aca="false">SUM(BT79:BT83)</f>
        <v>0</v>
      </c>
      <c r="BU84" s="82" t="n">
        <f aca="false">SUM(BU79:BU83)</f>
        <v>0</v>
      </c>
      <c r="BV84" s="82" t="n">
        <f aca="false">SUM(BV79:BV83)</f>
        <v>0</v>
      </c>
      <c r="BW84" s="82" t="n">
        <f aca="false">SUM(BW79:BW83)</f>
        <v>0</v>
      </c>
      <c r="BX84" s="82" t="n">
        <f aca="false">SUM(BX79:BX83)</f>
        <v>0</v>
      </c>
      <c r="BY84" s="82" t="n">
        <f aca="false">SUM(BY79:BY83)</f>
        <v>0</v>
      </c>
      <c r="BZ84" s="82" t="n">
        <f aca="false">SUM(BZ79:BZ83)</f>
        <v>0</v>
      </c>
      <c r="CA84" s="82" t="n">
        <f aca="false">SUM(CA79:CA83)</f>
        <v>0</v>
      </c>
      <c r="CB84" s="104"/>
      <c r="CC84" s="105" t="n">
        <f aca="false">SUM(CC79:CC83)</f>
        <v>0</v>
      </c>
      <c r="CD84" s="105" t="n">
        <f aca="false">SUM(CD79:CD83)</f>
        <v>0</v>
      </c>
      <c r="CE84" s="105" t="n">
        <f aca="false">SUM(CE79:CE83)</f>
        <v>0</v>
      </c>
      <c r="CF84" s="105" t="n">
        <f aca="false">SUM(CF79:CF83)</f>
        <v>0</v>
      </c>
      <c r="CG84" s="105" t="n">
        <f aca="false">SUM(CG79:CG83)</f>
        <v>0</v>
      </c>
      <c r="CI84" s="84" t="n">
        <f aca="false">CC84=L84</f>
        <v>1</v>
      </c>
      <c r="CJ84" s="84" t="n">
        <f aca="false">CD84=M84</f>
        <v>1</v>
      </c>
      <c r="CK84" s="84" t="n">
        <f aca="false">CE84=N84</f>
        <v>1</v>
      </c>
      <c r="CL84" s="84" t="n">
        <f aca="false">CF84=O84</f>
        <v>1</v>
      </c>
      <c r="CM84" s="84" t="n">
        <f aca="false">CG84=P84</f>
        <v>1</v>
      </c>
    </row>
    <row r="85" s="14" customFormat="true" ht="16.5" hidden="false" customHeight="true" outlineLevel="0" collapsed="false">
      <c r="E85" s="96"/>
      <c r="H85" s="71"/>
      <c r="I85" s="82"/>
      <c r="J85" s="82"/>
      <c r="K85" s="82"/>
      <c r="L85" s="82"/>
      <c r="M85" s="82"/>
      <c r="N85" s="82"/>
      <c r="O85" s="82"/>
      <c r="P85" s="82"/>
      <c r="Q85" s="16"/>
      <c r="R85" s="16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3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3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C85" s="84"/>
      <c r="CD85" s="84"/>
      <c r="CE85" s="84"/>
      <c r="CF85" s="84"/>
      <c r="CG85" s="84"/>
      <c r="CI85" s="84"/>
      <c r="CJ85" s="84"/>
      <c r="CK85" s="84"/>
      <c r="CL85" s="84"/>
      <c r="CM85" s="84"/>
    </row>
    <row r="86" s="14" customFormat="true" ht="16.5" hidden="false" customHeight="true" outlineLevel="0" collapsed="false">
      <c r="E86" s="96"/>
      <c r="H86" s="71"/>
      <c r="I86" s="82"/>
      <c r="J86" s="82"/>
      <c r="K86" s="82"/>
      <c r="L86" s="82"/>
      <c r="M86" s="82"/>
      <c r="N86" s="82"/>
      <c r="O86" s="82"/>
      <c r="P86" s="82"/>
      <c r="Q86" s="16"/>
      <c r="R86" s="16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3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3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C86" s="84"/>
      <c r="CD86" s="84"/>
      <c r="CE86" s="84"/>
      <c r="CF86" s="84"/>
      <c r="CG86" s="84"/>
      <c r="CI86" s="84"/>
      <c r="CJ86" s="84"/>
      <c r="CK86" s="84"/>
      <c r="CL86" s="84"/>
      <c r="CM86" s="84"/>
    </row>
    <row r="87" s="14" customFormat="true" ht="16.5" hidden="false" customHeight="true" outlineLevel="0" collapsed="false">
      <c r="E87" s="85"/>
      <c r="H87" s="71"/>
      <c r="I87" s="88"/>
      <c r="J87" s="88"/>
      <c r="K87" s="88"/>
      <c r="L87" s="88"/>
      <c r="M87" s="88"/>
      <c r="N87" s="88"/>
      <c r="O87" s="88"/>
      <c r="P87" s="88"/>
      <c r="Q87" s="16"/>
      <c r="R87" s="16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9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9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9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C87" s="90"/>
      <c r="CD87" s="90"/>
      <c r="CE87" s="90"/>
      <c r="CF87" s="90"/>
      <c r="CG87" s="90"/>
      <c r="CI87" s="90"/>
      <c r="CJ87" s="90"/>
      <c r="CK87" s="90"/>
      <c r="CL87" s="90"/>
      <c r="CM87" s="90"/>
    </row>
    <row r="88" s="14" customFormat="true" ht="16.5" hidden="false" customHeight="true" outlineLevel="0" collapsed="false">
      <c r="E88" s="109" t="s">
        <v>135</v>
      </c>
      <c r="F88" s="109"/>
      <c r="G88" s="109"/>
      <c r="H88" s="110"/>
      <c r="I88" s="218" t="n">
        <f aca="false">SUM(I68, I76, I84)</f>
        <v>0</v>
      </c>
      <c r="J88" s="218" t="n">
        <f aca="false">SUM(J68, J76, J84)</f>
        <v>0</v>
      </c>
      <c r="K88" s="218" t="n">
        <f aca="false">SUM(-K68, K76, K84)</f>
        <v>0</v>
      </c>
      <c r="L88" s="218" t="n">
        <f aca="false">SUM(L68, L76, L84)</f>
        <v>0</v>
      </c>
      <c r="M88" s="218" t="n">
        <f aca="false">SUM(M68, M76, M84)</f>
        <v>0</v>
      </c>
      <c r="N88" s="218" t="n">
        <f aca="false">SUM(N68, N76, N84)</f>
        <v>0</v>
      </c>
      <c r="O88" s="218" t="n">
        <f aca="false">SUM(O68, O76, O84)</f>
        <v>0</v>
      </c>
      <c r="P88" s="218" t="n">
        <f aca="false">SUM(P68, P76, P84)</f>
        <v>0</v>
      </c>
      <c r="Q88" s="16"/>
      <c r="R88" s="16"/>
      <c r="T88" s="219" t="n">
        <f aca="false">SUM(T68, T76, T84)</f>
        <v>0</v>
      </c>
      <c r="U88" s="219" t="n">
        <f aca="false">SUM(U68, U76, U84)</f>
        <v>0</v>
      </c>
      <c r="V88" s="219" t="n">
        <f aca="false">SUM(V68, V76, V84)</f>
        <v>0</v>
      </c>
      <c r="W88" s="219" t="n">
        <f aca="false">SUM(W68, W76, W84)</f>
        <v>0</v>
      </c>
      <c r="X88" s="219" t="n">
        <f aca="false">SUM(X68, X76, X84)</f>
        <v>0</v>
      </c>
      <c r="Y88" s="219" t="n">
        <f aca="false">SUM(Y68, Y76, Y84)</f>
        <v>0</v>
      </c>
      <c r="Z88" s="219" t="n">
        <f aca="false">SUM(Z68, Z76, Z84)</f>
        <v>0</v>
      </c>
      <c r="AA88" s="219" t="n">
        <f aca="false">SUM(AA68, AA76, AA84)</f>
        <v>0</v>
      </c>
      <c r="AB88" s="219" t="n">
        <f aca="false">SUM(AB68, AB76, AB84)</f>
        <v>0</v>
      </c>
      <c r="AC88" s="219" t="n">
        <f aca="false">SUM(AC68, AC76, AC84)</f>
        <v>0</v>
      </c>
      <c r="AD88" s="219" t="n">
        <f aca="false">SUM(AD68, AD76, AD84)</f>
        <v>0</v>
      </c>
      <c r="AE88" s="219" t="n">
        <f aca="false">SUM(AE68, AE76, AE84)</f>
        <v>0</v>
      </c>
      <c r="AF88" s="219" t="n">
        <f aca="false">SUM(AF68, AF76, AF84)</f>
        <v>0</v>
      </c>
      <c r="AG88" s="219" t="n">
        <f aca="false">SUM(AG68, AG76, AG84)</f>
        <v>0</v>
      </c>
      <c r="AH88" s="219" t="n">
        <f aca="false">SUM(AH68, AH76, AH84)</f>
        <v>0</v>
      </c>
      <c r="AI88" s="219" t="n">
        <f aca="false">SUM(AI68, AI76, AI84)</f>
        <v>0</v>
      </c>
      <c r="AJ88" s="219" t="n">
        <f aca="false">SUM(AJ68, AJ76, AJ84)</f>
        <v>0</v>
      </c>
      <c r="AK88" s="219" t="n">
        <f aca="false">SUM(AK68, AK76, AK84)</f>
        <v>0</v>
      </c>
      <c r="AL88" s="219" t="n">
        <f aca="false">SUM(AL68, AL76, AL84)</f>
        <v>0</v>
      </c>
      <c r="AM88" s="219" t="n">
        <f aca="false">SUM(AM68, AM76, AM84)</f>
        <v>0</v>
      </c>
      <c r="AN88" s="219" t="n">
        <f aca="false">SUM(AN68, AN76, AN84)</f>
        <v>0</v>
      </c>
      <c r="AO88" s="219" t="n">
        <f aca="false">SUM(AO68, AO76, AO84)</f>
        <v>0</v>
      </c>
      <c r="AP88" s="219" t="n">
        <f aca="false">SUM(AP68, AP76, AP84)</f>
        <v>0</v>
      </c>
      <c r="AQ88" s="219" t="n">
        <f aca="false">SUM(AQ68, AQ76, AQ84)</f>
        <v>0</v>
      </c>
      <c r="AR88" s="219" t="n">
        <f aca="false">SUM(AR68, AR76, AR84)</f>
        <v>0</v>
      </c>
      <c r="AS88" s="219" t="n">
        <f aca="false">SUM(AS68, AS76, AS84)</f>
        <v>0</v>
      </c>
      <c r="AT88" s="219" t="n">
        <f aca="false">SUM(AT68, AT76, AT84)</f>
        <v>0</v>
      </c>
      <c r="AU88" s="219" t="n">
        <f aca="false">SUM(AU68, AU76, AU84)</f>
        <v>0</v>
      </c>
      <c r="AV88" s="219" t="n">
        <f aca="false">SUM(AV68, AV76, AV84)</f>
        <v>0</v>
      </c>
      <c r="AW88" s="219" t="n">
        <f aca="false">SUM(AW68, AW76, AW84)</f>
        <v>0</v>
      </c>
      <c r="AX88" s="219" t="n">
        <f aca="false">SUM(AX68, AX76, AX84)</f>
        <v>0</v>
      </c>
      <c r="AY88" s="219" t="n">
        <f aca="false">SUM(AY68, AY76, AY84)</f>
        <v>0</v>
      </c>
      <c r="AZ88" s="219" t="n">
        <f aca="false">SUM(AZ68, AZ76, AZ84)</f>
        <v>0</v>
      </c>
      <c r="BA88" s="219" t="n">
        <f aca="false">SUM(BA68, BA76, BA84)</f>
        <v>0</v>
      </c>
      <c r="BB88" s="219" t="n">
        <f aca="false">SUM(BB68, BB76, BB84)</f>
        <v>0</v>
      </c>
      <c r="BC88" s="219" t="n">
        <f aca="false">SUM(BC68, BC76, BC84)</f>
        <v>0</v>
      </c>
      <c r="BD88" s="219" t="n">
        <f aca="false">SUM(BD68, BD76, BD84)</f>
        <v>0</v>
      </c>
      <c r="BE88" s="219" t="n">
        <f aca="false">SUM(BE68, BE76, BE84)</f>
        <v>0</v>
      </c>
      <c r="BF88" s="219" t="n">
        <f aca="false">SUM(BF68, BF76, BF84)</f>
        <v>0</v>
      </c>
      <c r="BG88" s="219" t="n">
        <f aca="false">SUM(BG68, BG76, BG84)</f>
        <v>0</v>
      </c>
      <c r="BH88" s="219" t="n">
        <f aca="false">SUM(BH68, BH76, BH84)</f>
        <v>0</v>
      </c>
      <c r="BI88" s="219" t="n">
        <f aca="false">SUM(BI68, BI76, BI84)</f>
        <v>0</v>
      </c>
      <c r="BJ88" s="219" t="n">
        <f aca="false">SUM(BJ68, BJ76, BJ84)</f>
        <v>0</v>
      </c>
      <c r="BK88" s="219" t="n">
        <f aca="false">SUM(BK68, BK76, BK84)</f>
        <v>0</v>
      </c>
      <c r="BL88" s="219" t="n">
        <f aca="false">SUM(BL68, BL76, BL84)</f>
        <v>0</v>
      </c>
      <c r="BM88" s="219" t="n">
        <f aca="false">SUM(BM68, BM76, BM84)</f>
        <v>0</v>
      </c>
      <c r="BN88" s="219" t="n">
        <f aca="false">SUM(BN68, BN76, BN84)</f>
        <v>0</v>
      </c>
      <c r="BO88" s="219" t="n">
        <f aca="false">SUM(BO68, BO76, BO84)</f>
        <v>0</v>
      </c>
      <c r="BP88" s="219" t="n">
        <f aca="false">SUM(BP68, BP76, BP84)</f>
        <v>0</v>
      </c>
      <c r="BQ88" s="219" t="n">
        <f aca="false">SUM(BQ68, BQ76, BQ84)</f>
        <v>0</v>
      </c>
      <c r="BR88" s="219" t="n">
        <f aca="false">SUM(BR68, BR76, BR84)</f>
        <v>0</v>
      </c>
      <c r="BS88" s="219" t="n">
        <f aca="false">SUM(BS68, BS76, BS84)</f>
        <v>0</v>
      </c>
      <c r="BT88" s="219" t="n">
        <f aca="false">SUM(BT68, BT76, BT84)</f>
        <v>0</v>
      </c>
      <c r="BU88" s="219" t="n">
        <f aca="false">SUM(BU68, BU76, BU84)</f>
        <v>0</v>
      </c>
      <c r="BV88" s="219" t="n">
        <f aca="false">SUM(BV68, BV76, BV84)</f>
        <v>0</v>
      </c>
      <c r="BW88" s="219" t="n">
        <f aca="false">SUM(BW68, BW76, BW84)</f>
        <v>0</v>
      </c>
      <c r="BX88" s="219" t="n">
        <f aca="false">SUM(BX68, BX76, BX84)</f>
        <v>0</v>
      </c>
      <c r="BY88" s="219" t="n">
        <f aca="false">SUM(BY68, BY76, BY84)</f>
        <v>0</v>
      </c>
      <c r="BZ88" s="219" t="n">
        <f aca="false">SUM(BZ68, BZ76, BZ84)</f>
        <v>0</v>
      </c>
      <c r="CA88" s="219" t="n">
        <f aca="false">SUM(CA68, CA76, CA84)</f>
        <v>0</v>
      </c>
      <c r="CC88" s="112" t="n">
        <f aca="false">SUM(CC68, CC76, CC84)</f>
        <v>0</v>
      </c>
      <c r="CD88" s="112" t="n">
        <f aca="false">SUM(CD68, CD76, CD84)</f>
        <v>0</v>
      </c>
      <c r="CE88" s="112" t="n">
        <f aca="false">SUM(CE68, CE76, CE84)</f>
        <v>0</v>
      </c>
      <c r="CF88" s="112" t="n">
        <f aca="false">SUM(CF68, CF76, CF84)</f>
        <v>0</v>
      </c>
      <c r="CG88" s="112" t="n">
        <f aca="false">SUM(CG68, CG76, CG84)</f>
        <v>0</v>
      </c>
      <c r="CH88" s="112" t="n">
        <f aca="false">SUM(CH68, CH76, CH84)</f>
        <v>0</v>
      </c>
      <c r="CI88" s="113" t="n">
        <f aca="false">CC88=L88</f>
        <v>1</v>
      </c>
      <c r="CJ88" s="113" t="n">
        <f aca="false">CD88=M88</f>
        <v>1</v>
      </c>
      <c r="CK88" s="113" t="n">
        <f aca="false">CE88=N88</f>
        <v>1</v>
      </c>
      <c r="CL88" s="113" t="n">
        <f aca="false">CF88=O88</f>
        <v>1</v>
      </c>
      <c r="CM88" s="113" t="n">
        <f aca="false">CG88=P88</f>
        <v>1</v>
      </c>
    </row>
    <row r="89" s="14" customFormat="true" ht="16.5" hidden="false" customHeight="true" outlineLevel="0" collapsed="false">
      <c r="H89" s="29"/>
      <c r="Q89" s="16"/>
      <c r="R89" s="16"/>
    </row>
    <row r="90" s="14" customFormat="true" ht="16.5" hidden="false" customHeight="true" outlineLevel="0" collapsed="false">
      <c r="H90" s="29"/>
      <c r="Q90" s="16"/>
      <c r="R90" s="16"/>
      <c r="T90" s="62" t="n">
        <v>2026</v>
      </c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62" t="n">
        <v>2027</v>
      </c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62" t="n">
        <v>2028</v>
      </c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62" t="n">
        <v>2029</v>
      </c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62" t="n">
        <v>2030</v>
      </c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I90" s="209" t="s">
        <v>421</v>
      </c>
      <c r="CJ90" s="209"/>
      <c r="CK90" s="209"/>
      <c r="CL90" s="209"/>
      <c r="CM90" s="209"/>
    </row>
    <row r="91" s="14" customFormat="true" ht="16.5" hidden="false" customHeight="true" outlineLevel="0" collapsed="false">
      <c r="D91" s="30" t="s">
        <v>136</v>
      </c>
      <c r="E91" s="31"/>
      <c r="F91" s="31"/>
      <c r="G91" s="31"/>
      <c r="H91" s="220" t="s">
        <v>121</v>
      </c>
      <c r="I91" s="31" t="s">
        <v>68</v>
      </c>
      <c r="J91" s="31" t="s">
        <v>95</v>
      </c>
      <c r="K91" s="31" t="s">
        <v>122</v>
      </c>
      <c r="L91" s="31" t="n">
        <v>2026</v>
      </c>
      <c r="M91" s="31" t="n">
        <f aca="false">L91+1</f>
        <v>2027</v>
      </c>
      <c r="N91" s="31" t="n">
        <f aca="false">M91+1</f>
        <v>2028</v>
      </c>
      <c r="O91" s="31" t="n">
        <f aca="false">N91+1</f>
        <v>2029</v>
      </c>
      <c r="P91" s="31" t="n">
        <f aca="false">O91+1</f>
        <v>2030</v>
      </c>
      <c r="Q91" s="31" t="s">
        <v>123</v>
      </c>
      <c r="R91" s="31" t="s">
        <v>66</v>
      </c>
      <c r="T91" s="59" t="n">
        <v>46023</v>
      </c>
      <c r="U91" s="60" t="n">
        <f aca="false">EOMONTH(T91, 1)</f>
        <v>46081</v>
      </c>
      <c r="V91" s="60" t="n">
        <f aca="false">EOMONTH(U91, 1)</f>
        <v>46112</v>
      </c>
      <c r="W91" s="60" t="n">
        <f aca="false">EOMONTH(V91, 1)</f>
        <v>46142</v>
      </c>
      <c r="X91" s="60" t="n">
        <f aca="false">EOMONTH(W91, 1)</f>
        <v>46173</v>
      </c>
      <c r="Y91" s="60" t="n">
        <f aca="false">EOMONTH(X91, 1)</f>
        <v>46203</v>
      </c>
      <c r="Z91" s="60" t="n">
        <f aca="false">EOMONTH(Y91, 1)</f>
        <v>46234</v>
      </c>
      <c r="AA91" s="60" t="n">
        <f aca="false">EOMONTH(Z91, 1)</f>
        <v>46265</v>
      </c>
      <c r="AB91" s="60" t="n">
        <f aca="false">EOMONTH(AA91, 1)</f>
        <v>46295</v>
      </c>
      <c r="AC91" s="60" t="n">
        <f aca="false">EOMONTH(AB91, 1)</f>
        <v>46326</v>
      </c>
      <c r="AD91" s="60" t="n">
        <f aca="false">EOMONTH(AC91, 1)</f>
        <v>46356</v>
      </c>
      <c r="AE91" s="61" t="n">
        <f aca="false">EOMONTH(AD91, 1)</f>
        <v>46387</v>
      </c>
      <c r="AF91" s="59" t="n">
        <f aca="false">EOMONTH(AE91, 1)</f>
        <v>46418</v>
      </c>
      <c r="AG91" s="60" t="n">
        <f aca="false">EOMONTH(AF91, 1)</f>
        <v>46446</v>
      </c>
      <c r="AH91" s="60" t="n">
        <f aca="false">EOMONTH(AG91, 1)</f>
        <v>46477</v>
      </c>
      <c r="AI91" s="60" t="n">
        <f aca="false">EOMONTH(AH91, 1)</f>
        <v>46507</v>
      </c>
      <c r="AJ91" s="60" t="n">
        <f aca="false">EOMONTH(AI91, 1)</f>
        <v>46538</v>
      </c>
      <c r="AK91" s="60" t="n">
        <f aca="false">EOMONTH(AJ91, 1)</f>
        <v>46568</v>
      </c>
      <c r="AL91" s="60" t="n">
        <f aca="false">EOMONTH(AK91, 1)</f>
        <v>46599</v>
      </c>
      <c r="AM91" s="60" t="n">
        <f aca="false">EOMONTH(AL91, 1)</f>
        <v>46630</v>
      </c>
      <c r="AN91" s="60" t="n">
        <f aca="false">EOMONTH(AM91, 1)</f>
        <v>46660</v>
      </c>
      <c r="AO91" s="60" t="n">
        <f aca="false">EOMONTH(AN91, 1)</f>
        <v>46691</v>
      </c>
      <c r="AP91" s="60" t="n">
        <f aca="false">EOMONTH(AO91, 1)</f>
        <v>46721</v>
      </c>
      <c r="AQ91" s="61" t="n">
        <f aca="false">EOMONTH(AP91, 1)</f>
        <v>46752</v>
      </c>
      <c r="AR91" s="59" t="n">
        <f aca="false">EOMONTH(AQ91, 1)</f>
        <v>46783</v>
      </c>
      <c r="AS91" s="60" t="n">
        <f aca="false">EOMONTH(AR91, 1)</f>
        <v>46812</v>
      </c>
      <c r="AT91" s="60" t="n">
        <f aca="false">EOMONTH(AS91, 1)</f>
        <v>46843</v>
      </c>
      <c r="AU91" s="60" t="n">
        <f aca="false">EOMONTH(AT91, 1)</f>
        <v>46873</v>
      </c>
      <c r="AV91" s="60" t="n">
        <f aca="false">EOMONTH(AU91, 1)</f>
        <v>46904</v>
      </c>
      <c r="AW91" s="60" t="n">
        <f aca="false">EOMONTH(AV91, 1)</f>
        <v>46934</v>
      </c>
      <c r="AX91" s="60" t="n">
        <f aca="false">EOMONTH(AW91, 1)</f>
        <v>46965</v>
      </c>
      <c r="AY91" s="60" t="n">
        <f aca="false">EOMONTH(AX91, 1)</f>
        <v>46996</v>
      </c>
      <c r="AZ91" s="60" t="n">
        <f aca="false">EOMONTH(AY91, 1)</f>
        <v>47026</v>
      </c>
      <c r="BA91" s="60" t="n">
        <f aca="false">EOMONTH(AZ91, 1)</f>
        <v>47057</v>
      </c>
      <c r="BB91" s="60" t="n">
        <f aca="false">EOMONTH(BA91, 1)</f>
        <v>47087</v>
      </c>
      <c r="BC91" s="61" t="n">
        <f aca="false">EOMONTH(BB91, 1)</f>
        <v>47118</v>
      </c>
      <c r="BD91" s="59" t="n">
        <f aca="false">EOMONTH(BC91, 1)</f>
        <v>47149</v>
      </c>
      <c r="BE91" s="60" t="n">
        <f aca="false">EOMONTH(BD91, 1)</f>
        <v>47177</v>
      </c>
      <c r="BF91" s="60" t="n">
        <f aca="false">EOMONTH(BE91, 1)</f>
        <v>47208</v>
      </c>
      <c r="BG91" s="60" t="n">
        <f aca="false">EOMONTH(BF91, 1)</f>
        <v>47238</v>
      </c>
      <c r="BH91" s="60" t="n">
        <f aca="false">EOMONTH(BG91, 1)</f>
        <v>47269</v>
      </c>
      <c r="BI91" s="60" t="n">
        <f aca="false">EOMONTH(BH91, 1)</f>
        <v>47299</v>
      </c>
      <c r="BJ91" s="60" t="n">
        <f aca="false">EOMONTH(BI91, 1)</f>
        <v>47330</v>
      </c>
      <c r="BK91" s="60" t="n">
        <f aca="false">EOMONTH(BJ91, 1)</f>
        <v>47361</v>
      </c>
      <c r="BL91" s="60" t="n">
        <f aca="false">EOMONTH(BK91, 1)</f>
        <v>47391</v>
      </c>
      <c r="BM91" s="60" t="n">
        <f aca="false">EOMONTH(BL91, 1)</f>
        <v>47422</v>
      </c>
      <c r="BN91" s="60" t="n">
        <f aca="false">EOMONTH(BM91, 1)</f>
        <v>47452</v>
      </c>
      <c r="BO91" s="61" t="n">
        <f aca="false">EOMONTH(BN91, 1)</f>
        <v>47483</v>
      </c>
      <c r="BP91" s="59" t="n">
        <f aca="false">EOMONTH(BO91, 1)</f>
        <v>47514</v>
      </c>
      <c r="BQ91" s="60" t="n">
        <f aca="false">EOMONTH(BP91, 1)</f>
        <v>47542</v>
      </c>
      <c r="BR91" s="60" t="n">
        <f aca="false">EOMONTH(BQ91, 1)</f>
        <v>47573</v>
      </c>
      <c r="BS91" s="60" t="n">
        <f aca="false">EOMONTH(BR91, 1)</f>
        <v>47603</v>
      </c>
      <c r="BT91" s="60" t="n">
        <f aca="false">EOMONTH(BS91, 1)</f>
        <v>47634</v>
      </c>
      <c r="BU91" s="60" t="n">
        <f aca="false">EOMONTH(BT91, 1)</f>
        <v>47664</v>
      </c>
      <c r="BV91" s="60" t="n">
        <f aca="false">EOMONTH(BU91, 1)</f>
        <v>47695</v>
      </c>
      <c r="BW91" s="60" t="n">
        <f aca="false">EOMONTH(BV91, 1)</f>
        <v>47726</v>
      </c>
      <c r="BX91" s="60" t="n">
        <f aca="false">EOMONTH(BW91, 1)</f>
        <v>47756</v>
      </c>
      <c r="BY91" s="60" t="n">
        <f aca="false">EOMONTH(BX91, 1)</f>
        <v>47787</v>
      </c>
      <c r="BZ91" s="60" t="n">
        <f aca="false">EOMONTH(BY91, 1)</f>
        <v>47817</v>
      </c>
      <c r="CA91" s="60" t="n">
        <f aca="false">EOMONTH(BZ91, 1)</f>
        <v>47848</v>
      </c>
      <c r="CC91" s="62" t="n">
        <v>2026</v>
      </c>
      <c r="CD91" s="62" t="n">
        <f aca="false">CC91+1</f>
        <v>2027</v>
      </c>
      <c r="CE91" s="62" t="n">
        <f aca="false">CD91+1</f>
        <v>2028</v>
      </c>
      <c r="CF91" s="62" t="n">
        <f aca="false">CE91+1</f>
        <v>2029</v>
      </c>
      <c r="CG91" s="62" t="n">
        <f aca="false">CF91+1</f>
        <v>2030</v>
      </c>
      <c r="CI91" s="62" t="n">
        <v>2026</v>
      </c>
      <c r="CJ91" s="62" t="n">
        <f aca="false">CI91+1</f>
        <v>2027</v>
      </c>
      <c r="CK91" s="62" t="n">
        <f aca="false">CJ91+1</f>
        <v>2028</v>
      </c>
      <c r="CL91" s="62" t="n">
        <f aca="false">CK91+1</f>
        <v>2029</v>
      </c>
      <c r="CM91" s="62" t="n">
        <f aca="false">CL91+1</f>
        <v>2030</v>
      </c>
    </row>
    <row r="92" s="14" customFormat="true" ht="16.5" hidden="false" customHeight="true" outlineLevel="0" collapsed="false">
      <c r="D92" s="63"/>
      <c r="E92" s="64" t="s">
        <v>93</v>
      </c>
      <c r="H92" s="29"/>
      <c r="I92" s="65" t="str">
        <f aca="false">"TTM "&amp;TEXT($H$18,"m/d/yy")</f>
        <v>TTM TTM 6/1/26</v>
      </c>
      <c r="J92" s="65" t="s">
        <v>125</v>
      </c>
      <c r="K92" s="65" t="s">
        <v>126</v>
      </c>
      <c r="L92" s="66"/>
      <c r="M92" s="66"/>
      <c r="N92" s="66"/>
      <c r="O92" s="66"/>
      <c r="P92" s="66"/>
      <c r="Q92" s="16"/>
      <c r="R92" s="1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7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7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7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</row>
    <row r="93" s="14" customFormat="true" ht="16.5" hidden="false" customHeight="true" outlineLevel="0" collapsed="false">
      <c r="E93" s="68" t="s">
        <v>127</v>
      </c>
      <c r="F93" s="21"/>
      <c r="G93" s="21"/>
      <c r="H93" s="29"/>
      <c r="I93" s="65"/>
      <c r="J93" s="65"/>
      <c r="K93" s="65"/>
      <c r="Q93" s="16"/>
      <c r="R93" s="16"/>
      <c r="AF93" s="69"/>
      <c r="AR93" s="69"/>
      <c r="BD93" s="69"/>
      <c r="BP93" s="69"/>
    </row>
    <row r="94" s="14" customFormat="true" ht="16.5" hidden="false" customHeight="true" outlineLevel="0" collapsed="false">
      <c r="E94" s="70"/>
      <c r="H94" s="71"/>
      <c r="I94" s="76" t="n">
        <v>0</v>
      </c>
      <c r="J94" s="76" t="n">
        <v>0</v>
      </c>
      <c r="K94" s="214" t="n">
        <f aca="false">J94-I94</f>
        <v>0</v>
      </c>
      <c r="L94" s="76"/>
      <c r="M94" s="76"/>
      <c r="N94" s="76"/>
      <c r="O94" s="76"/>
      <c r="P94" s="77"/>
      <c r="Q94" s="75"/>
      <c r="R94" s="16" t="str">
        <f aca="false">IF(K94=P94, "", "Error")</f>
        <v/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7"/>
      <c r="AF94" s="78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7"/>
      <c r="AR94" s="78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7"/>
      <c r="BD94" s="78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7"/>
      <c r="BP94" s="78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C94" s="79" t="n">
        <f aca="false">SUMIFS($T94:$CA94, $T$1:$CA$1, CC$63)</f>
        <v>0</v>
      </c>
      <c r="CD94" s="79" t="n">
        <f aca="false">SUMIFS($T94:$CA94, $T$1:$CA$1, CD$63)</f>
        <v>0</v>
      </c>
      <c r="CE94" s="79" t="n">
        <f aca="false">SUMIFS($T94:$CA94, $T$1:$CA$1, CE$63)</f>
        <v>0</v>
      </c>
      <c r="CF94" s="79" t="n">
        <f aca="false">SUMIFS($T94:$CA94, $T$1:$CA$1, CF$63)</f>
        <v>0</v>
      </c>
      <c r="CG94" s="79" t="n">
        <f aca="false">SUMIFS($T94:$CA94, $T$1:$CA$1, CG$63)</f>
        <v>0</v>
      </c>
      <c r="CI94" s="79" t="n">
        <f aca="false">CC94=L94</f>
        <v>1</v>
      </c>
      <c r="CJ94" s="79" t="n">
        <f aca="false">CD94=M94</f>
        <v>1</v>
      </c>
      <c r="CK94" s="79" t="n">
        <f aca="false">CE94=N94</f>
        <v>1</v>
      </c>
      <c r="CL94" s="79" t="n">
        <f aca="false">CF94=O94</f>
        <v>1</v>
      </c>
      <c r="CM94" s="79" t="n">
        <f aca="false">CG94=P94</f>
        <v>1</v>
      </c>
    </row>
    <row r="95" s="14" customFormat="true" ht="16.5" hidden="false" customHeight="true" outlineLevel="0" collapsed="false">
      <c r="E95" s="70"/>
      <c r="H95" s="71"/>
      <c r="I95" s="76" t="n">
        <v>0</v>
      </c>
      <c r="J95" s="76" t="n">
        <v>0</v>
      </c>
      <c r="K95" s="214" t="n">
        <f aca="false">J95-I95</f>
        <v>0</v>
      </c>
      <c r="L95" s="76"/>
      <c r="M95" s="76"/>
      <c r="N95" s="76"/>
      <c r="O95" s="76"/>
      <c r="P95" s="77"/>
      <c r="Q95" s="75"/>
      <c r="R95" s="16" t="str">
        <f aca="false">IF(K95=P95, "", "Error")</f>
        <v/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7"/>
      <c r="AF95" s="78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7"/>
      <c r="AR95" s="78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7"/>
      <c r="BD95" s="78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7"/>
      <c r="BP95" s="78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C95" s="79" t="n">
        <f aca="false">SUMIFS($T95:$CA95, $T$1:$CA$1, CC$63)</f>
        <v>0</v>
      </c>
      <c r="CD95" s="79" t="n">
        <f aca="false">SUMIFS($T95:$CA95, $T$1:$CA$1, CD$63)</f>
        <v>0</v>
      </c>
      <c r="CE95" s="79" t="n">
        <f aca="false">SUMIFS($T95:$CA95, $T$1:$CA$1, CE$63)</f>
        <v>0</v>
      </c>
      <c r="CF95" s="79" t="n">
        <f aca="false">SUMIFS($T95:$CA95, $T$1:$CA$1, CF$63)</f>
        <v>0</v>
      </c>
      <c r="CG95" s="79" t="n">
        <f aca="false">SUMIFS($T95:$CA95, $T$1:$CA$1, CG$63)</f>
        <v>0</v>
      </c>
      <c r="CI95" s="79" t="n">
        <f aca="false">CC95=L95</f>
        <v>1</v>
      </c>
      <c r="CJ95" s="79" t="n">
        <f aca="false">CD95=M95</f>
        <v>1</v>
      </c>
      <c r="CK95" s="79" t="n">
        <f aca="false">CE95=N95</f>
        <v>1</v>
      </c>
      <c r="CL95" s="79" t="n">
        <f aca="false">CF95=O95</f>
        <v>1</v>
      </c>
      <c r="CM95" s="79" t="n">
        <f aca="false">CG95=P95</f>
        <v>1</v>
      </c>
    </row>
    <row r="96" s="14" customFormat="true" ht="16.5" hidden="false" customHeight="true" outlineLevel="0" collapsed="false">
      <c r="E96" s="80" t="s">
        <v>128</v>
      </c>
      <c r="H96" s="29"/>
      <c r="I96" s="82" t="n">
        <f aca="false">SUM(I94:I95)</f>
        <v>0</v>
      </c>
      <c r="J96" s="82" t="n">
        <f aca="false">SUM(J94:J95)</f>
        <v>0</v>
      </c>
      <c r="K96" s="82" t="n">
        <f aca="false">SUM(K94:K95)</f>
        <v>0</v>
      </c>
      <c r="L96" s="82" t="n">
        <f aca="false">SUM(L94:L95)</f>
        <v>0</v>
      </c>
      <c r="M96" s="82" t="n">
        <f aca="false">SUM(M94:M95)</f>
        <v>0</v>
      </c>
      <c r="N96" s="82" t="n">
        <f aca="false">SUM(N94:N95)</f>
        <v>0</v>
      </c>
      <c r="O96" s="82" t="n">
        <f aca="false">SUM(O94:O95)</f>
        <v>0</v>
      </c>
      <c r="P96" s="82" t="n">
        <f aca="false">SUM(P94:P95)</f>
        <v>0</v>
      </c>
      <c r="Q96" s="16"/>
      <c r="R96" s="16"/>
      <c r="T96" s="82" t="n">
        <f aca="false">SUM(T94:T95)</f>
        <v>0</v>
      </c>
      <c r="U96" s="82" t="n">
        <f aca="false">SUM(U94:U95)</f>
        <v>0</v>
      </c>
      <c r="V96" s="82" t="n">
        <f aca="false">SUM(V94:V95)</f>
        <v>0</v>
      </c>
      <c r="W96" s="82" t="n">
        <f aca="false">SUM(W94:W95)</f>
        <v>0</v>
      </c>
      <c r="X96" s="82" t="n">
        <f aca="false">SUM(X94:X95)</f>
        <v>0</v>
      </c>
      <c r="Y96" s="82" t="n">
        <f aca="false">SUM(Y94:Y95)</f>
        <v>0</v>
      </c>
      <c r="Z96" s="82" t="n">
        <f aca="false">SUM(Z94:Z95)</f>
        <v>0</v>
      </c>
      <c r="AA96" s="82" t="n">
        <f aca="false">SUM(AA94:AA95)</f>
        <v>0</v>
      </c>
      <c r="AB96" s="82" t="n">
        <f aca="false">SUM(AB94:AB95)</f>
        <v>0</v>
      </c>
      <c r="AC96" s="82" t="n">
        <f aca="false">SUM(AC94:AC95)</f>
        <v>0</v>
      </c>
      <c r="AD96" s="82" t="n">
        <f aca="false">SUM(AD94:AD95)</f>
        <v>0</v>
      </c>
      <c r="AE96" s="82" t="n">
        <f aca="false">SUM(AE94:AE95)</f>
        <v>0</v>
      </c>
      <c r="AF96" s="83" t="n">
        <f aca="false">SUM(AF94:AF95)</f>
        <v>0</v>
      </c>
      <c r="AG96" s="82" t="n">
        <f aca="false">SUM(AG94:AG95)</f>
        <v>0</v>
      </c>
      <c r="AH96" s="82" t="n">
        <f aca="false">SUM(AH94:AH95)</f>
        <v>0</v>
      </c>
      <c r="AI96" s="82" t="n">
        <f aca="false">SUM(AI94:AI95)</f>
        <v>0</v>
      </c>
      <c r="AJ96" s="82" t="n">
        <f aca="false">SUM(AJ94:AJ95)</f>
        <v>0</v>
      </c>
      <c r="AK96" s="82" t="n">
        <f aca="false">SUM(AK94:AK95)</f>
        <v>0</v>
      </c>
      <c r="AL96" s="82" t="n">
        <f aca="false">SUM(AL94:AL95)</f>
        <v>0</v>
      </c>
      <c r="AM96" s="82" t="n">
        <f aca="false">SUM(AM94:AM95)</f>
        <v>0</v>
      </c>
      <c r="AN96" s="82" t="n">
        <f aca="false">SUM(AN94:AN95)</f>
        <v>0</v>
      </c>
      <c r="AO96" s="82" t="n">
        <f aca="false">SUM(AO94:AO95)</f>
        <v>0</v>
      </c>
      <c r="AP96" s="82" t="n">
        <f aca="false">SUM(AP94:AP95)</f>
        <v>0</v>
      </c>
      <c r="AQ96" s="82" t="n">
        <f aca="false">SUM(AQ94:AQ95)</f>
        <v>0</v>
      </c>
      <c r="AR96" s="83" t="n">
        <f aca="false">SUM(AR94:AR95)</f>
        <v>0</v>
      </c>
      <c r="AS96" s="82" t="n">
        <f aca="false">SUM(AS94:AS95)</f>
        <v>0</v>
      </c>
      <c r="AT96" s="82" t="n">
        <f aca="false">SUM(AT94:AT95)</f>
        <v>0</v>
      </c>
      <c r="AU96" s="82" t="n">
        <f aca="false">SUM(AU94:AU95)</f>
        <v>0</v>
      </c>
      <c r="AV96" s="82" t="n">
        <f aca="false">SUM(AV94:AV95)</f>
        <v>0</v>
      </c>
      <c r="AW96" s="82" t="n">
        <f aca="false">SUM(AW94:AW95)</f>
        <v>0</v>
      </c>
      <c r="AX96" s="82" t="n">
        <f aca="false">SUM(AX94:AX95)</f>
        <v>0</v>
      </c>
      <c r="AY96" s="82" t="n">
        <f aca="false">SUM(AY94:AY95)</f>
        <v>0</v>
      </c>
      <c r="AZ96" s="82" t="n">
        <f aca="false">SUM(AZ94:AZ95)</f>
        <v>0</v>
      </c>
      <c r="BA96" s="82" t="n">
        <f aca="false">SUM(BA94:BA95)</f>
        <v>0</v>
      </c>
      <c r="BB96" s="82" t="n">
        <f aca="false">SUM(BB94:BB95)</f>
        <v>0</v>
      </c>
      <c r="BC96" s="82" t="n">
        <f aca="false">SUM(BC94:BC95)</f>
        <v>0</v>
      </c>
      <c r="BD96" s="83" t="n">
        <f aca="false">SUM(BD94:BD95)</f>
        <v>0</v>
      </c>
      <c r="BE96" s="82" t="n">
        <f aca="false">SUM(BE94:BE95)</f>
        <v>0</v>
      </c>
      <c r="BF96" s="82" t="n">
        <f aca="false">SUM(BF94:BF95)</f>
        <v>0</v>
      </c>
      <c r="BG96" s="82" t="n">
        <f aca="false">SUM(BG94:BG95)</f>
        <v>0</v>
      </c>
      <c r="BH96" s="82" t="n">
        <f aca="false">SUM(BH94:BH95)</f>
        <v>0</v>
      </c>
      <c r="BI96" s="82" t="n">
        <f aca="false">SUM(BI94:BI95)</f>
        <v>0</v>
      </c>
      <c r="BJ96" s="82" t="n">
        <f aca="false">SUM(BJ94:BJ95)</f>
        <v>0</v>
      </c>
      <c r="BK96" s="82" t="n">
        <f aca="false">SUM(BK94:BK95)</f>
        <v>0</v>
      </c>
      <c r="BL96" s="82" t="n">
        <f aca="false">SUM(BL94:BL95)</f>
        <v>0</v>
      </c>
      <c r="BM96" s="82" t="n">
        <f aca="false">SUM(BM94:BM95)</f>
        <v>0</v>
      </c>
      <c r="BN96" s="82" t="n">
        <f aca="false">SUM(BN94:BN95)</f>
        <v>0</v>
      </c>
      <c r="BO96" s="82" t="n">
        <f aca="false">SUM(BO94:BO95)</f>
        <v>0</v>
      </c>
      <c r="BP96" s="83" t="n">
        <f aca="false">SUM(BP94:BP95)</f>
        <v>0</v>
      </c>
      <c r="BQ96" s="82" t="n">
        <f aca="false">SUM(BQ94:BQ95)</f>
        <v>0</v>
      </c>
      <c r="BR96" s="82" t="n">
        <f aca="false">SUM(BR94:BR95)</f>
        <v>0</v>
      </c>
      <c r="BS96" s="82" t="n">
        <f aca="false">SUM(BS94:BS95)</f>
        <v>0</v>
      </c>
      <c r="BT96" s="82" t="n">
        <f aca="false">SUM(BT94:BT95)</f>
        <v>0</v>
      </c>
      <c r="BU96" s="82" t="n">
        <f aca="false">SUM(BU94:BU95)</f>
        <v>0</v>
      </c>
      <c r="BV96" s="82" t="n">
        <f aca="false">SUM(BV94:BV95)</f>
        <v>0</v>
      </c>
      <c r="BW96" s="82" t="n">
        <f aca="false">SUM(BW94:BW95)</f>
        <v>0</v>
      </c>
      <c r="BX96" s="82" t="n">
        <f aca="false">SUM(BX94:BX95)</f>
        <v>0</v>
      </c>
      <c r="BY96" s="82" t="n">
        <f aca="false">SUM(BY94:BY95)</f>
        <v>0</v>
      </c>
      <c r="BZ96" s="82" t="n">
        <f aca="false">SUM(BZ94:BZ95)</f>
        <v>0</v>
      </c>
      <c r="CA96" s="84" t="n">
        <f aca="false">SUM(CA94:CA95)</f>
        <v>0</v>
      </c>
      <c r="CC96" s="84" t="n">
        <f aca="false">SUM(CC94:CC95)</f>
        <v>0</v>
      </c>
      <c r="CD96" s="84" t="n">
        <f aca="false">SUM(CD94:CD95)</f>
        <v>0</v>
      </c>
      <c r="CE96" s="84" t="n">
        <f aca="false">SUM(CE94:CE95)</f>
        <v>0</v>
      </c>
      <c r="CF96" s="84" t="n">
        <f aca="false">SUM(CF94:CF95)</f>
        <v>0</v>
      </c>
      <c r="CG96" s="84" t="n">
        <f aca="false">SUM(CG94:CG95)</f>
        <v>0</v>
      </c>
      <c r="CI96" s="84" t="n">
        <f aca="false">CC96=L96</f>
        <v>1</v>
      </c>
      <c r="CJ96" s="84" t="n">
        <f aca="false">CD96=M96</f>
        <v>1</v>
      </c>
      <c r="CK96" s="84" t="n">
        <f aca="false">CE96=N96</f>
        <v>1</v>
      </c>
      <c r="CL96" s="84" t="n">
        <f aca="false">CF96=O96</f>
        <v>1</v>
      </c>
      <c r="CM96" s="84" t="n">
        <f aca="false">CG96=P96</f>
        <v>1</v>
      </c>
    </row>
    <row r="97" s="14" customFormat="true" ht="16.5" hidden="false" customHeight="true" outlineLevel="0" collapsed="false">
      <c r="E97" s="85"/>
      <c r="H97" s="29"/>
      <c r="I97" s="88"/>
      <c r="J97" s="88"/>
      <c r="K97" s="88"/>
      <c r="L97" s="88"/>
      <c r="M97" s="88"/>
      <c r="N97" s="88"/>
      <c r="O97" s="88"/>
      <c r="P97" s="88"/>
      <c r="Q97" s="16"/>
      <c r="R97" s="16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9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9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9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90"/>
      <c r="CC97" s="90"/>
      <c r="CD97" s="90"/>
      <c r="CE97" s="90"/>
      <c r="CF97" s="90"/>
      <c r="CG97" s="90"/>
      <c r="CI97" s="90"/>
      <c r="CJ97" s="90"/>
      <c r="CK97" s="90"/>
      <c r="CL97" s="90"/>
      <c r="CM97" s="90"/>
    </row>
    <row r="98" s="14" customFormat="true" ht="16.5" hidden="false" customHeight="true" outlineLevel="0" collapsed="false">
      <c r="E98" s="21" t="s">
        <v>129</v>
      </c>
      <c r="H98" s="29"/>
      <c r="I98" s="88"/>
      <c r="K98" s="88"/>
      <c r="L98" s="88"/>
      <c r="M98" s="88"/>
      <c r="N98" s="88"/>
      <c r="O98" s="88"/>
      <c r="P98" s="88"/>
      <c r="Q98" s="16"/>
      <c r="R98" s="16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9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9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9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90"/>
      <c r="CC98" s="90"/>
      <c r="CD98" s="90"/>
      <c r="CE98" s="90"/>
      <c r="CF98" s="90"/>
      <c r="CG98" s="90"/>
      <c r="CI98" s="90"/>
      <c r="CJ98" s="90"/>
      <c r="CK98" s="90"/>
      <c r="CL98" s="90"/>
      <c r="CM98" s="90"/>
    </row>
    <row r="99" s="14" customFormat="true" ht="16.5" hidden="false" customHeight="true" outlineLevel="0" collapsed="false">
      <c r="E99" s="91"/>
      <c r="H99" s="29"/>
      <c r="I99" s="91" t="n">
        <v>0</v>
      </c>
      <c r="J99" s="91" t="n">
        <v>0</v>
      </c>
      <c r="K99" s="214" t="n">
        <f aca="false">J99-I99</f>
        <v>0</v>
      </c>
      <c r="L99" s="91" t="n">
        <v>0</v>
      </c>
      <c r="M99" s="91" t="n">
        <v>0</v>
      </c>
      <c r="N99" s="91" t="n">
        <v>0</v>
      </c>
      <c r="O99" s="91" t="n">
        <v>0</v>
      </c>
      <c r="P99" s="91" t="n">
        <v>0</v>
      </c>
      <c r="Q99" s="93"/>
      <c r="R99" s="16" t="str">
        <f aca="false">IF(K99=P99, "", "Error")</f>
        <v/>
      </c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4"/>
      <c r="AF99" s="95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4"/>
      <c r="AR99" s="95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4"/>
      <c r="BD99" s="95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4"/>
      <c r="BP99" s="95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119"/>
      <c r="CC99" s="79" t="n">
        <f aca="false">SUMIFS($T99:$CA99, $T$1:$CA$1, CC$63)</f>
        <v>0</v>
      </c>
      <c r="CD99" s="79" t="n">
        <f aca="false">SUMIFS($T99:$CA99, $T$1:$CA$1, CD$63)</f>
        <v>0</v>
      </c>
      <c r="CE99" s="79" t="n">
        <f aca="false">SUMIFS($T99:$CA99, $T$1:$CA$1, CE$63)</f>
        <v>0</v>
      </c>
      <c r="CF99" s="79" t="n">
        <f aca="false">SUMIFS($T99:$CA99, $T$1:$CA$1, CF$63)</f>
        <v>0</v>
      </c>
      <c r="CG99" s="79" t="n">
        <f aca="false">SUMIFS($T99:$CA99, $T$1:$CA$1, CG$63)</f>
        <v>0</v>
      </c>
      <c r="CI99" s="79" t="n">
        <f aca="false">CC99=L99</f>
        <v>1</v>
      </c>
      <c r="CJ99" s="79" t="n">
        <f aca="false">CD99=M99</f>
        <v>1</v>
      </c>
      <c r="CK99" s="79" t="n">
        <f aca="false">CE99=N99</f>
        <v>1</v>
      </c>
      <c r="CL99" s="79" t="n">
        <f aca="false">CF99=O99</f>
        <v>1</v>
      </c>
      <c r="CM99" s="79" t="n">
        <f aca="false">CG99=P99</f>
        <v>1</v>
      </c>
    </row>
    <row r="100" s="14" customFormat="true" ht="16.5" hidden="false" customHeight="true" outlineLevel="0" collapsed="false">
      <c r="E100" s="91"/>
      <c r="H100" s="29"/>
      <c r="I100" s="91" t="n">
        <v>0</v>
      </c>
      <c r="J100" s="91" t="n">
        <v>0</v>
      </c>
      <c r="K100" s="214" t="n">
        <f aca="false">J100-I100</f>
        <v>0</v>
      </c>
      <c r="L100" s="91" t="n">
        <v>0</v>
      </c>
      <c r="M100" s="91" t="n">
        <v>0</v>
      </c>
      <c r="N100" s="91" t="n">
        <v>0</v>
      </c>
      <c r="O100" s="91" t="n">
        <v>0</v>
      </c>
      <c r="P100" s="91" t="n">
        <v>0</v>
      </c>
      <c r="Q100" s="93"/>
      <c r="R100" s="16" t="str">
        <f aca="false">IF(K100=P100, "", "Error")</f>
        <v/>
      </c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4"/>
      <c r="AF100" s="95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4"/>
      <c r="AR100" s="95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4"/>
      <c r="BD100" s="95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4"/>
      <c r="BP100" s="95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119"/>
      <c r="CC100" s="79" t="n">
        <f aca="false">SUMIFS($T100:$CA100, $T$1:$CA$1, CC$63)</f>
        <v>0</v>
      </c>
      <c r="CD100" s="79" t="n">
        <f aca="false">SUMIFS($T100:$CA100, $T$1:$CA$1, CD$63)</f>
        <v>0</v>
      </c>
      <c r="CE100" s="79" t="n">
        <f aca="false">SUMIFS($T100:$CA100, $T$1:$CA$1, CE$63)</f>
        <v>0</v>
      </c>
      <c r="CF100" s="79" t="n">
        <f aca="false">SUMIFS($T100:$CA100, $T$1:$CA$1, CF$63)</f>
        <v>0</v>
      </c>
      <c r="CG100" s="79" t="n">
        <f aca="false">SUMIFS($T100:$CA100, $T$1:$CA$1, CG$63)</f>
        <v>0</v>
      </c>
      <c r="CI100" s="79" t="n">
        <f aca="false">CC100=L100</f>
        <v>1</v>
      </c>
      <c r="CJ100" s="79" t="n">
        <f aca="false">CD100=M100</f>
        <v>1</v>
      </c>
      <c r="CK100" s="79" t="n">
        <f aca="false">CE100=N100</f>
        <v>1</v>
      </c>
      <c r="CL100" s="79" t="n">
        <f aca="false">CF100=O100</f>
        <v>1</v>
      </c>
      <c r="CM100" s="79" t="n">
        <f aca="false">CG100=P100</f>
        <v>1</v>
      </c>
    </row>
    <row r="101" s="14" customFormat="true" ht="16.5" hidden="false" customHeight="true" outlineLevel="0" collapsed="false">
      <c r="E101" s="91"/>
      <c r="H101" s="29"/>
      <c r="I101" s="91" t="n">
        <v>0</v>
      </c>
      <c r="J101" s="91" t="n">
        <v>0</v>
      </c>
      <c r="K101" s="214" t="n">
        <f aca="false">J101-I101</f>
        <v>0</v>
      </c>
      <c r="L101" s="91" t="n">
        <v>0</v>
      </c>
      <c r="M101" s="91" t="n">
        <v>0</v>
      </c>
      <c r="N101" s="91" t="n">
        <v>0</v>
      </c>
      <c r="O101" s="91" t="n">
        <v>0</v>
      </c>
      <c r="P101" s="91" t="n">
        <v>0</v>
      </c>
      <c r="Q101" s="93"/>
      <c r="R101" s="16" t="str">
        <f aca="false">IF(K101=P101, "", "Error")</f>
        <v/>
      </c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4"/>
      <c r="AF101" s="95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4"/>
      <c r="AR101" s="95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4"/>
      <c r="BD101" s="95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4"/>
      <c r="BP101" s="95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119"/>
      <c r="CC101" s="79" t="n">
        <f aca="false">SUMIFS($T101:$CA101, $T$1:$CA$1, CC$63)</f>
        <v>0</v>
      </c>
      <c r="CD101" s="79" t="n">
        <f aca="false">SUMIFS($T101:$CA101, $T$1:$CA$1, CD$63)</f>
        <v>0</v>
      </c>
      <c r="CE101" s="79" t="n">
        <f aca="false">SUMIFS($T101:$CA101, $T$1:$CA$1, CE$63)</f>
        <v>0</v>
      </c>
      <c r="CF101" s="79" t="n">
        <f aca="false">SUMIFS($T101:$CA101, $T$1:$CA$1, CF$63)</f>
        <v>0</v>
      </c>
      <c r="CG101" s="79" t="n">
        <f aca="false">SUMIFS($T101:$CA101, $T$1:$CA$1, CG$63)</f>
        <v>0</v>
      </c>
      <c r="CI101" s="79" t="n">
        <f aca="false">CC101=L101</f>
        <v>1</v>
      </c>
      <c r="CJ101" s="79" t="n">
        <f aca="false">CD101=M101</f>
        <v>1</v>
      </c>
      <c r="CK101" s="79" t="n">
        <f aca="false">CE101=N101</f>
        <v>1</v>
      </c>
      <c r="CL101" s="79" t="n">
        <f aca="false">CF101=O101</f>
        <v>1</v>
      </c>
      <c r="CM101" s="79" t="n">
        <f aca="false">CG101=P101</f>
        <v>1</v>
      </c>
    </row>
    <row r="102" s="14" customFormat="true" ht="16.5" hidden="false" customHeight="true" outlineLevel="0" collapsed="false">
      <c r="E102" s="91"/>
      <c r="H102" s="29"/>
      <c r="I102" s="91" t="n">
        <v>0</v>
      </c>
      <c r="J102" s="91" t="n">
        <v>0</v>
      </c>
      <c r="K102" s="214" t="n">
        <f aca="false">J102-I102</f>
        <v>0</v>
      </c>
      <c r="L102" s="91" t="n">
        <v>0</v>
      </c>
      <c r="M102" s="91" t="n">
        <v>0</v>
      </c>
      <c r="N102" s="91" t="n">
        <v>0</v>
      </c>
      <c r="O102" s="91" t="n">
        <v>0</v>
      </c>
      <c r="P102" s="91" t="n">
        <v>0</v>
      </c>
      <c r="Q102" s="93"/>
      <c r="R102" s="16" t="str">
        <f aca="false">IF(K102=P102, "", "Error")</f>
        <v/>
      </c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4"/>
      <c r="AF102" s="95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4"/>
      <c r="AR102" s="95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4"/>
      <c r="BD102" s="95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4"/>
      <c r="BP102" s="95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119"/>
      <c r="CC102" s="79" t="n">
        <f aca="false">SUMIFS($T102:$CA102, $T$1:$CA$1, CC$63)</f>
        <v>0</v>
      </c>
      <c r="CD102" s="79" t="n">
        <f aca="false">SUMIFS($T102:$CA102, $T$1:$CA$1, CD$63)</f>
        <v>0</v>
      </c>
      <c r="CE102" s="79" t="n">
        <f aca="false">SUMIFS($T102:$CA102, $T$1:$CA$1, CE$63)</f>
        <v>0</v>
      </c>
      <c r="CF102" s="79" t="n">
        <f aca="false">SUMIFS($T102:$CA102, $T$1:$CA$1, CF$63)</f>
        <v>0</v>
      </c>
      <c r="CG102" s="79" t="n">
        <f aca="false">SUMIFS($T102:$CA102, $T$1:$CA$1, CG$63)</f>
        <v>0</v>
      </c>
      <c r="CI102" s="79" t="n">
        <f aca="false">CC102=L102</f>
        <v>1</v>
      </c>
      <c r="CJ102" s="79" t="n">
        <f aca="false">CD102=M102</f>
        <v>1</v>
      </c>
      <c r="CK102" s="79" t="n">
        <f aca="false">CE102=N102</f>
        <v>1</v>
      </c>
      <c r="CL102" s="79" t="n">
        <f aca="false">CF102=O102</f>
        <v>1</v>
      </c>
      <c r="CM102" s="79" t="n">
        <f aca="false">CG102=P102</f>
        <v>1</v>
      </c>
    </row>
    <row r="103" s="14" customFormat="true" ht="16.5" hidden="false" customHeight="true" outlineLevel="0" collapsed="false">
      <c r="E103" s="91"/>
      <c r="H103" s="29"/>
      <c r="I103" s="91"/>
      <c r="J103" s="91"/>
      <c r="K103" s="214" t="n">
        <f aca="false">J103-I103</f>
        <v>0</v>
      </c>
      <c r="L103" s="91" t="n">
        <v>0</v>
      </c>
      <c r="M103" s="91" t="n">
        <v>0</v>
      </c>
      <c r="N103" s="91" t="n">
        <v>0</v>
      </c>
      <c r="O103" s="91" t="n">
        <v>0</v>
      </c>
      <c r="P103" s="91" t="n">
        <v>0</v>
      </c>
      <c r="Q103" s="93"/>
      <c r="R103" s="16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4"/>
      <c r="AF103" s="95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4"/>
      <c r="AR103" s="95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4"/>
      <c r="BD103" s="95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4"/>
      <c r="BP103" s="95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119"/>
      <c r="CC103" s="79"/>
      <c r="CD103" s="79"/>
      <c r="CE103" s="79"/>
      <c r="CF103" s="79"/>
      <c r="CG103" s="79"/>
      <c r="CI103" s="79"/>
      <c r="CJ103" s="79"/>
      <c r="CK103" s="79"/>
      <c r="CL103" s="79"/>
      <c r="CM103" s="79"/>
    </row>
    <row r="104" s="14" customFormat="true" ht="16.5" hidden="false" customHeight="true" outlineLevel="0" collapsed="false">
      <c r="E104" s="96" t="s">
        <v>130</v>
      </c>
      <c r="H104" s="29"/>
      <c r="I104" s="82" t="n">
        <f aca="false">SUM(I99:I103)</f>
        <v>0</v>
      </c>
      <c r="J104" s="82" t="n">
        <f aca="false">SUM(J99:J103)</f>
        <v>0</v>
      </c>
      <c r="K104" s="82" t="n">
        <f aca="false">SUM(K99:K103)</f>
        <v>0</v>
      </c>
      <c r="L104" s="82" t="n">
        <f aca="false">SUM(L99:L103)</f>
        <v>0</v>
      </c>
      <c r="M104" s="82" t="n">
        <f aca="false">SUM(M99:M103)</f>
        <v>0</v>
      </c>
      <c r="N104" s="82" t="n">
        <f aca="false">SUM(N99:N103)</f>
        <v>0</v>
      </c>
      <c r="O104" s="82" t="n">
        <f aca="false">SUM(O99:O103)</f>
        <v>0</v>
      </c>
      <c r="P104" s="82" t="n">
        <f aca="false">SUM(P99:P103)</f>
        <v>0</v>
      </c>
      <c r="Q104" s="16"/>
      <c r="R104" s="16"/>
      <c r="T104" s="82" t="n">
        <f aca="false">SUM(T99:T103)</f>
        <v>0</v>
      </c>
      <c r="U104" s="82" t="n">
        <f aca="false">SUM(U99:U103)</f>
        <v>0</v>
      </c>
      <c r="V104" s="82" t="n">
        <f aca="false">SUM(V99:V103)</f>
        <v>0</v>
      </c>
      <c r="W104" s="82" t="n">
        <f aca="false">SUM(W99:W103)</f>
        <v>0</v>
      </c>
      <c r="X104" s="82" t="n">
        <f aca="false">SUM(X99:X103)</f>
        <v>0</v>
      </c>
      <c r="Y104" s="82" t="n">
        <f aca="false">SUM(Y99:Y103)</f>
        <v>0</v>
      </c>
      <c r="Z104" s="82" t="n">
        <f aca="false">SUM(Z99:Z103)</f>
        <v>0</v>
      </c>
      <c r="AA104" s="82" t="n">
        <f aca="false">SUM(AA99:AA103)</f>
        <v>0</v>
      </c>
      <c r="AB104" s="82" t="n">
        <f aca="false">SUM(AB99:AB103)</f>
        <v>0</v>
      </c>
      <c r="AC104" s="82" t="n">
        <f aca="false">SUM(AC99:AC103)</f>
        <v>0</v>
      </c>
      <c r="AD104" s="82" t="n">
        <f aca="false">SUM(AD99:AD103)</f>
        <v>0</v>
      </c>
      <c r="AE104" s="82" t="n">
        <f aca="false">SUM(AE99:AE103)</f>
        <v>0</v>
      </c>
      <c r="AF104" s="83" t="n">
        <f aca="false">SUM(AF99:AF103)</f>
        <v>0</v>
      </c>
      <c r="AG104" s="82" t="n">
        <f aca="false">SUM(AG99:AG103)</f>
        <v>0</v>
      </c>
      <c r="AH104" s="82" t="n">
        <f aca="false">SUM(AH99:AH103)</f>
        <v>0</v>
      </c>
      <c r="AI104" s="82" t="n">
        <f aca="false">SUM(AI99:AI103)</f>
        <v>0</v>
      </c>
      <c r="AJ104" s="82" t="n">
        <f aca="false">SUM(AJ99:AJ103)</f>
        <v>0</v>
      </c>
      <c r="AK104" s="82" t="n">
        <f aca="false">SUM(AK99:AK103)</f>
        <v>0</v>
      </c>
      <c r="AL104" s="82" t="n">
        <f aca="false">SUM(AL99:AL103)</f>
        <v>0</v>
      </c>
      <c r="AM104" s="82" t="n">
        <f aca="false">SUM(AM99:AM103)</f>
        <v>0</v>
      </c>
      <c r="AN104" s="82" t="n">
        <f aca="false">SUM(AN99:AN103)</f>
        <v>0</v>
      </c>
      <c r="AO104" s="82" t="n">
        <f aca="false">SUM(AO99:AO103)</f>
        <v>0</v>
      </c>
      <c r="AP104" s="82" t="n">
        <f aca="false">SUM(AP99:AP103)</f>
        <v>0</v>
      </c>
      <c r="AQ104" s="82" t="n">
        <f aca="false">SUM(AQ99:AQ103)</f>
        <v>0</v>
      </c>
      <c r="AR104" s="83" t="n">
        <f aca="false">SUM(AR99:AR103)</f>
        <v>0</v>
      </c>
      <c r="AS104" s="82" t="n">
        <f aca="false">SUM(AS99:AS103)</f>
        <v>0</v>
      </c>
      <c r="AT104" s="82" t="n">
        <f aca="false">SUM(AT99:AT103)</f>
        <v>0</v>
      </c>
      <c r="AU104" s="82" t="n">
        <f aca="false">SUM(AU99:AU103)</f>
        <v>0</v>
      </c>
      <c r="AV104" s="82" t="n">
        <f aca="false">SUM(AV99:AV103)</f>
        <v>0</v>
      </c>
      <c r="AW104" s="82" t="n">
        <f aca="false">SUM(AW99:AW103)</f>
        <v>0</v>
      </c>
      <c r="AX104" s="82" t="n">
        <f aca="false">SUM(AX99:AX103)</f>
        <v>0</v>
      </c>
      <c r="AY104" s="82" t="n">
        <f aca="false">SUM(AY99:AY103)</f>
        <v>0</v>
      </c>
      <c r="AZ104" s="82" t="n">
        <f aca="false">SUM(AZ99:AZ103)</f>
        <v>0</v>
      </c>
      <c r="BA104" s="82" t="n">
        <f aca="false">SUM(BA99:BA103)</f>
        <v>0</v>
      </c>
      <c r="BB104" s="82" t="n">
        <f aca="false">SUM(BB99:BB103)</f>
        <v>0</v>
      </c>
      <c r="BC104" s="82" t="n">
        <f aca="false">SUM(BC99:BC103)</f>
        <v>0</v>
      </c>
      <c r="BD104" s="83" t="n">
        <f aca="false">SUM(BD99:BD103)</f>
        <v>0</v>
      </c>
      <c r="BE104" s="82" t="n">
        <f aca="false">SUM(BE99:BE103)</f>
        <v>0</v>
      </c>
      <c r="BF104" s="82" t="n">
        <f aca="false">SUM(BF99:BF103)</f>
        <v>0</v>
      </c>
      <c r="BG104" s="82" t="n">
        <f aca="false">SUM(BG99:BG103)</f>
        <v>0</v>
      </c>
      <c r="BH104" s="82" t="n">
        <f aca="false">SUM(BH99:BH103)</f>
        <v>0</v>
      </c>
      <c r="BI104" s="82" t="n">
        <f aca="false">SUM(BI99:BI103)</f>
        <v>0</v>
      </c>
      <c r="BJ104" s="82" t="n">
        <f aca="false">SUM(BJ99:BJ103)</f>
        <v>0</v>
      </c>
      <c r="BK104" s="82" t="n">
        <f aca="false">SUM(BK99:BK103)</f>
        <v>0</v>
      </c>
      <c r="BL104" s="82" t="n">
        <f aca="false">SUM(BL99:BL103)</f>
        <v>0</v>
      </c>
      <c r="BM104" s="82" t="n">
        <f aca="false">SUM(BM99:BM103)</f>
        <v>0</v>
      </c>
      <c r="BN104" s="82" t="n">
        <f aca="false">SUM(BN99:BN103)</f>
        <v>0</v>
      </c>
      <c r="BO104" s="82" t="n">
        <f aca="false">SUM(BO99:BO103)</f>
        <v>0</v>
      </c>
      <c r="BP104" s="83" t="n">
        <f aca="false">SUM(BP99:BP103)</f>
        <v>0</v>
      </c>
      <c r="BQ104" s="82" t="n">
        <f aca="false">SUM(BQ99:BQ103)</f>
        <v>0</v>
      </c>
      <c r="BR104" s="82" t="n">
        <f aca="false">SUM(BR99:BR103)</f>
        <v>0</v>
      </c>
      <c r="BS104" s="82" t="n">
        <f aca="false">SUM(BS99:BS103)</f>
        <v>0</v>
      </c>
      <c r="BT104" s="82" t="n">
        <f aca="false">SUM(BT99:BT103)</f>
        <v>0</v>
      </c>
      <c r="BU104" s="82" t="n">
        <f aca="false">SUM(BU99:BU103)</f>
        <v>0</v>
      </c>
      <c r="BV104" s="82" t="n">
        <f aca="false">SUM(BV99:BV103)</f>
        <v>0</v>
      </c>
      <c r="BW104" s="82" t="n">
        <f aca="false">SUM(BW99:BW103)</f>
        <v>0</v>
      </c>
      <c r="BX104" s="82" t="n">
        <f aca="false">SUM(BX99:BX103)</f>
        <v>0</v>
      </c>
      <c r="BY104" s="82" t="n">
        <f aca="false">SUM(BY99:BY103)</f>
        <v>0</v>
      </c>
      <c r="BZ104" s="82" t="n">
        <f aca="false">SUM(BZ99:BZ103)</f>
        <v>0</v>
      </c>
      <c r="CA104" s="84" t="n">
        <f aca="false">SUM(CA99:CA103)</f>
        <v>0</v>
      </c>
      <c r="CC104" s="84" t="n">
        <f aca="false">SUM(CC99:CC103)</f>
        <v>0</v>
      </c>
      <c r="CD104" s="84" t="n">
        <f aca="false">SUM(CD99:CD103)</f>
        <v>0</v>
      </c>
      <c r="CE104" s="84" t="n">
        <f aca="false">SUM(CE99:CE103)</f>
        <v>0</v>
      </c>
      <c r="CF104" s="84" t="n">
        <f aca="false">SUM(CF99:CF103)</f>
        <v>0</v>
      </c>
      <c r="CG104" s="84" t="n">
        <f aca="false">SUM(CG99:CG103)</f>
        <v>0</v>
      </c>
      <c r="CI104" s="84" t="n">
        <f aca="false">CC104=L104</f>
        <v>1</v>
      </c>
      <c r="CJ104" s="84" t="n">
        <f aca="false">CD104=M104</f>
        <v>1</v>
      </c>
      <c r="CK104" s="84" t="n">
        <f aca="false">CE104=N104</f>
        <v>1</v>
      </c>
      <c r="CL104" s="84" t="n">
        <f aca="false">CF104=O104</f>
        <v>1</v>
      </c>
      <c r="CM104" s="84" t="n">
        <f aca="false">CG104=P104</f>
        <v>1</v>
      </c>
    </row>
    <row r="105" s="14" customFormat="true" ht="16.5" hidden="false" customHeight="true" outlineLevel="0" collapsed="false">
      <c r="H105" s="29"/>
      <c r="I105" s="88"/>
      <c r="J105" s="88"/>
      <c r="K105" s="88"/>
      <c r="L105" s="88"/>
      <c r="M105" s="88"/>
      <c r="N105" s="88"/>
      <c r="O105" s="88"/>
      <c r="P105" s="88"/>
      <c r="Q105" s="16"/>
      <c r="R105" s="16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9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9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9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90"/>
      <c r="CC105" s="90"/>
      <c r="CD105" s="90"/>
      <c r="CE105" s="90"/>
      <c r="CF105" s="90"/>
      <c r="CG105" s="90"/>
      <c r="CI105" s="90"/>
      <c r="CJ105" s="90"/>
      <c r="CK105" s="90"/>
      <c r="CL105" s="90"/>
      <c r="CM105" s="90"/>
    </row>
    <row r="106" s="14" customFormat="true" ht="16.5" hidden="false" customHeight="true" outlineLevel="0" collapsed="false">
      <c r="E106" s="21" t="s">
        <v>131</v>
      </c>
      <c r="H106" s="29"/>
      <c r="I106" s="88"/>
      <c r="J106" s="88"/>
      <c r="K106" s="88"/>
      <c r="L106" s="88"/>
      <c r="M106" s="88"/>
      <c r="N106" s="88"/>
      <c r="O106" s="88"/>
      <c r="P106" s="88"/>
      <c r="Q106" s="16"/>
      <c r="R106" s="16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9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9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9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90"/>
      <c r="CC106" s="90"/>
      <c r="CD106" s="90"/>
      <c r="CE106" s="90"/>
      <c r="CF106" s="90"/>
      <c r="CG106" s="90"/>
      <c r="CI106" s="90"/>
      <c r="CJ106" s="90"/>
      <c r="CK106" s="90"/>
      <c r="CL106" s="90"/>
      <c r="CM106" s="90"/>
    </row>
    <row r="107" s="14" customFormat="true" ht="16.5" hidden="false" customHeight="true" outlineLevel="0" collapsed="false">
      <c r="E107" s="91"/>
      <c r="H107" s="29"/>
      <c r="I107" s="91" t="n">
        <v>0</v>
      </c>
      <c r="J107" s="91" t="n">
        <f aca="false">J26</f>
        <v>0</v>
      </c>
      <c r="K107" s="214" t="n">
        <f aca="false">J107-I107</f>
        <v>0</v>
      </c>
      <c r="L107" s="91" t="n">
        <v>0</v>
      </c>
      <c r="M107" s="91" t="n">
        <f aca="false">$K107</f>
        <v>0</v>
      </c>
      <c r="N107" s="91" t="n">
        <f aca="false">$K107</f>
        <v>0</v>
      </c>
      <c r="O107" s="91" t="n">
        <f aca="false">$K107</f>
        <v>0</v>
      </c>
      <c r="P107" s="91" t="n">
        <f aca="false">$K107</f>
        <v>0</v>
      </c>
      <c r="Q107" s="93"/>
      <c r="R107" s="16" t="str">
        <f aca="false">IF(K107=P107, "", "Error")</f>
        <v/>
      </c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4"/>
      <c r="AF107" s="95" t="n">
        <f aca="false">$K$107/12</f>
        <v>0</v>
      </c>
      <c r="AG107" s="95" t="n">
        <f aca="false">$K$107/12</f>
        <v>0</v>
      </c>
      <c r="AH107" s="95" t="n">
        <f aca="false">$K$107/12</f>
        <v>0</v>
      </c>
      <c r="AI107" s="95" t="n">
        <f aca="false">$K$107/12</f>
        <v>0</v>
      </c>
      <c r="AJ107" s="95" t="n">
        <f aca="false">$K$107/12</f>
        <v>0</v>
      </c>
      <c r="AK107" s="95" t="n">
        <f aca="false">$K$107/12</f>
        <v>0</v>
      </c>
      <c r="AL107" s="95" t="n">
        <f aca="false">$K$107/12</f>
        <v>0</v>
      </c>
      <c r="AM107" s="95" t="n">
        <f aca="false">$K$107/12</f>
        <v>0</v>
      </c>
      <c r="AN107" s="95" t="n">
        <f aca="false">$K$107/12</f>
        <v>0</v>
      </c>
      <c r="AO107" s="95" t="n">
        <f aca="false">$K$107/12</f>
        <v>0</v>
      </c>
      <c r="AP107" s="95" t="n">
        <f aca="false">$K$107/12</f>
        <v>0</v>
      </c>
      <c r="AQ107" s="95" t="n">
        <f aca="false">$K$107/12</f>
        <v>0</v>
      </c>
      <c r="AR107" s="95" t="n">
        <f aca="false">$K$107/12</f>
        <v>0</v>
      </c>
      <c r="AS107" s="95" t="n">
        <f aca="false">$K$107/12</f>
        <v>0</v>
      </c>
      <c r="AT107" s="95" t="n">
        <f aca="false">$K$107/12</f>
        <v>0</v>
      </c>
      <c r="AU107" s="95" t="n">
        <f aca="false">$K$107/12</f>
        <v>0</v>
      </c>
      <c r="AV107" s="95" t="n">
        <f aca="false">$K$107/12</f>
        <v>0</v>
      </c>
      <c r="AW107" s="95" t="n">
        <f aca="false">$K$107/12</f>
        <v>0</v>
      </c>
      <c r="AX107" s="95" t="n">
        <f aca="false">$K$107/12</f>
        <v>0</v>
      </c>
      <c r="AY107" s="95" t="n">
        <f aca="false">$K$107/12</f>
        <v>0</v>
      </c>
      <c r="AZ107" s="95" t="n">
        <f aca="false">$K$107/12</f>
        <v>0</v>
      </c>
      <c r="BA107" s="95" t="n">
        <f aca="false">$K$107/12</f>
        <v>0</v>
      </c>
      <c r="BB107" s="95" t="n">
        <f aca="false">$K$107/12</f>
        <v>0</v>
      </c>
      <c r="BC107" s="95" t="n">
        <f aca="false">$K$107/12</f>
        <v>0</v>
      </c>
      <c r="BD107" s="95" t="n">
        <f aca="false">$K$107/12</f>
        <v>0</v>
      </c>
      <c r="BE107" s="95" t="n">
        <f aca="false">$K$107/12</f>
        <v>0</v>
      </c>
      <c r="BF107" s="95" t="n">
        <f aca="false">$K$107/12</f>
        <v>0</v>
      </c>
      <c r="BG107" s="95" t="n">
        <f aca="false">$K$107/12</f>
        <v>0</v>
      </c>
      <c r="BH107" s="95" t="n">
        <f aca="false">$K$107/12</f>
        <v>0</v>
      </c>
      <c r="BI107" s="95" t="n">
        <f aca="false">$K$107/12</f>
        <v>0</v>
      </c>
      <c r="BJ107" s="95" t="n">
        <f aca="false">$K$107/12</f>
        <v>0</v>
      </c>
      <c r="BK107" s="95" t="n">
        <f aca="false">$K$107/12</f>
        <v>0</v>
      </c>
      <c r="BL107" s="95" t="n">
        <f aca="false">$K$107/12</f>
        <v>0</v>
      </c>
      <c r="BM107" s="95" t="n">
        <f aca="false">$K$107/12</f>
        <v>0</v>
      </c>
      <c r="BN107" s="95" t="n">
        <f aca="false">$K$107/12</f>
        <v>0</v>
      </c>
      <c r="BO107" s="95" t="n">
        <f aca="false">$K$107/12</f>
        <v>0</v>
      </c>
      <c r="BP107" s="95" t="n">
        <f aca="false">$K$107/12</f>
        <v>0</v>
      </c>
      <c r="BQ107" s="95" t="n">
        <f aca="false">$K$107/12</f>
        <v>0</v>
      </c>
      <c r="BR107" s="95" t="n">
        <f aca="false">$K$107/12</f>
        <v>0</v>
      </c>
      <c r="BS107" s="95" t="n">
        <f aca="false">$K$107/12</f>
        <v>0</v>
      </c>
      <c r="BT107" s="95" t="n">
        <f aca="false">$K$107/12</f>
        <v>0</v>
      </c>
      <c r="BU107" s="95" t="n">
        <f aca="false">$K$107/12</f>
        <v>0</v>
      </c>
      <c r="BV107" s="95" t="n">
        <f aca="false">$K$107/12</f>
        <v>0</v>
      </c>
      <c r="BW107" s="95" t="n">
        <f aca="false">$K$107/12</f>
        <v>0</v>
      </c>
      <c r="BX107" s="95" t="n">
        <f aca="false">$K$107/12</f>
        <v>0</v>
      </c>
      <c r="BY107" s="95" t="n">
        <f aca="false">$K$107/12</f>
        <v>0</v>
      </c>
      <c r="BZ107" s="95" t="n">
        <f aca="false">$K$107/12</f>
        <v>0</v>
      </c>
      <c r="CA107" s="95" t="n">
        <f aca="false">$K$107/12</f>
        <v>0</v>
      </c>
      <c r="CC107" s="79" t="n">
        <f aca="false">SUMIFS($T107:$CA107, $T$1:$CA$1, CC$63)</f>
        <v>0</v>
      </c>
      <c r="CD107" s="79" t="n">
        <f aca="false">SUMIFS($T107:$CA107, $T$1:$CA$1, CD$63)</f>
        <v>0</v>
      </c>
      <c r="CE107" s="79" t="n">
        <f aca="false">SUMIFS($T107:$CA107, $T$1:$CA$1, CE$63)</f>
        <v>0</v>
      </c>
      <c r="CF107" s="79" t="n">
        <f aca="false">SUMIFS($T107:$CA107, $T$1:$CA$1, CF$63)</f>
        <v>0</v>
      </c>
      <c r="CG107" s="79" t="n">
        <f aca="false">SUMIFS($T107:$CA107, $T$1:$CA$1, CG$63)</f>
        <v>0</v>
      </c>
      <c r="CI107" s="79" t="n">
        <f aca="false">CC107=L107</f>
        <v>1</v>
      </c>
      <c r="CJ107" s="79" t="n">
        <f aca="false">CD107=M107</f>
        <v>1</v>
      </c>
      <c r="CK107" s="79" t="n">
        <f aca="false">CE107=N107</f>
        <v>1</v>
      </c>
      <c r="CL107" s="79" t="n">
        <f aca="false">CF107=O107</f>
        <v>1</v>
      </c>
      <c r="CM107" s="79" t="n">
        <f aca="false">CG107=P107</f>
        <v>1</v>
      </c>
    </row>
    <row r="108" s="14" customFormat="true" ht="16.5" hidden="false" customHeight="true" outlineLevel="0" collapsed="false">
      <c r="E108" s="91"/>
      <c r="H108" s="29"/>
      <c r="I108" s="91" t="n">
        <v>0</v>
      </c>
      <c r="J108" s="91" t="n">
        <v>0</v>
      </c>
      <c r="K108" s="214" t="n">
        <f aca="false">J108-I108</f>
        <v>0</v>
      </c>
      <c r="L108" s="91" t="n">
        <v>0</v>
      </c>
      <c r="M108" s="91" t="n">
        <v>0</v>
      </c>
      <c r="N108" s="91" t="n">
        <v>0</v>
      </c>
      <c r="O108" s="91" t="n">
        <v>0</v>
      </c>
      <c r="P108" s="91" t="n">
        <v>0</v>
      </c>
      <c r="Q108" s="93"/>
      <c r="R108" s="16" t="str">
        <f aca="false">IF(K108=P108, "", "Error")</f>
        <v/>
      </c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C108" s="79" t="n">
        <f aca="false">SUMIFS($T108:$CA108, $T$1:$CA$1, CC$63)</f>
        <v>0</v>
      </c>
      <c r="CD108" s="79" t="n">
        <f aca="false">SUMIFS($T108:$CA108, $T$1:$CA$1, CD$63)</f>
        <v>0</v>
      </c>
      <c r="CE108" s="79" t="n">
        <f aca="false">SUMIFS($T108:$CA108, $T$1:$CA$1, CE$63)</f>
        <v>0</v>
      </c>
      <c r="CF108" s="79" t="n">
        <f aca="false">SUMIFS($T108:$CA108, $T$1:$CA$1, CF$63)</f>
        <v>0</v>
      </c>
      <c r="CG108" s="79" t="n">
        <f aca="false">SUMIFS($T108:$CA108, $T$1:$CA$1, CG$63)</f>
        <v>0</v>
      </c>
      <c r="CI108" s="79" t="n">
        <f aca="false">CC108=L108</f>
        <v>1</v>
      </c>
      <c r="CJ108" s="79" t="n">
        <f aca="false">CD108=M108</f>
        <v>1</v>
      </c>
      <c r="CK108" s="79" t="n">
        <f aca="false">CE108=N108</f>
        <v>1</v>
      </c>
      <c r="CL108" s="79" t="n">
        <f aca="false">CF108=O108</f>
        <v>1</v>
      </c>
      <c r="CM108" s="79" t="n">
        <f aca="false">CG108=P108</f>
        <v>1</v>
      </c>
    </row>
    <row r="109" s="14" customFormat="true" ht="16.5" hidden="false" customHeight="true" outlineLevel="0" collapsed="false">
      <c r="E109" s="91"/>
      <c r="H109" s="29"/>
      <c r="I109" s="91" t="n">
        <v>0</v>
      </c>
      <c r="J109" s="91" t="n">
        <v>0</v>
      </c>
      <c r="K109" s="214" t="n">
        <f aca="false">J109-I109</f>
        <v>0</v>
      </c>
      <c r="L109" s="91" t="n">
        <v>0</v>
      </c>
      <c r="M109" s="91" t="n">
        <v>0</v>
      </c>
      <c r="N109" s="91" t="n">
        <v>0</v>
      </c>
      <c r="O109" s="91" t="n">
        <v>0</v>
      </c>
      <c r="P109" s="91" t="n">
        <v>0</v>
      </c>
      <c r="Q109" s="93"/>
      <c r="R109" s="16" t="str">
        <f aca="false">IF(K109=P109, "", "Error")</f>
        <v/>
      </c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C109" s="79" t="n">
        <f aca="false">SUMIFS($T109:$CA109, $T$1:$CA$1, CC$63)</f>
        <v>0</v>
      </c>
      <c r="CD109" s="79" t="n">
        <f aca="false">SUMIFS($T109:$CA109, $T$1:$CA$1, CD$63)</f>
        <v>0</v>
      </c>
      <c r="CE109" s="79" t="n">
        <f aca="false">SUMIFS($T109:$CA109, $T$1:$CA$1, CE$63)</f>
        <v>0</v>
      </c>
      <c r="CF109" s="79" t="n">
        <f aca="false">SUMIFS($T109:$CA109, $T$1:$CA$1, CF$63)</f>
        <v>0</v>
      </c>
      <c r="CG109" s="79" t="n">
        <f aca="false">SUMIFS($T109:$CA109, $T$1:$CA$1, CG$63)</f>
        <v>0</v>
      </c>
      <c r="CI109" s="79" t="n">
        <f aca="false">CC109=L109</f>
        <v>1</v>
      </c>
      <c r="CJ109" s="79" t="n">
        <f aca="false">CD109=M109</f>
        <v>1</v>
      </c>
      <c r="CK109" s="79" t="n">
        <f aca="false">CE109=N109</f>
        <v>1</v>
      </c>
      <c r="CL109" s="79" t="n">
        <f aca="false">CF109=O109</f>
        <v>1</v>
      </c>
      <c r="CM109" s="79" t="n">
        <f aca="false">CG109=P109</f>
        <v>1</v>
      </c>
    </row>
    <row r="110" s="14" customFormat="true" ht="16.5" hidden="false" customHeight="true" outlineLevel="0" collapsed="false">
      <c r="E110" s="91"/>
      <c r="H110" s="29"/>
      <c r="I110" s="91" t="n">
        <v>0</v>
      </c>
      <c r="J110" s="91" t="n">
        <v>0</v>
      </c>
      <c r="K110" s="214" t="n">
        <f aca="false">J110-I110</f>
        <v>0</v>
      </c>
      <c r="L110" s="91" t="n">
        <v>0</v>
      </c>
      <c r="M110" s="91" t="n">
        <v>0</v>
      </c>
      <c r="N110" s="91" t="n">
        <v>0</v>
      </c>
      <c r="O110" s="91" t="n">
        <v>0</v>
      </c>
      <c r="P110" s="91" t="n">
        <v>0</v>
      </c>
      <c r="Q110" s="93"/>
      <c r="R110" s="16" t="str">
        <f aca="false">IF(K110=P110, "", "Error")</f>
        <v/>
      </c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4"/>
      <c r="AF110" s="95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4"/>
      <c r="AR110" s="95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4"/>
      <c r="BD110" s="95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4"/>
      <c r="BP110" s="95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119"/>
      <c r="CC110" s="79" t="n">
        <f aca="false">SUMIFS($T110:$CA110, $T$1:$CA$1, CC$63)</f>
        <v>0</v>
      </c>
      <c r="CD110" s="79" t="n">
        <f aca="false">SUMIFS($T110:$CA110, $T$1:$CA$1, CD$63)</f>
        <v>0</v>
      </c>
      <c r="CE110" s="79" t="n">
        <f aca="false">SUMIFS($T110:$CA110, $T$1:$CA$1, CE$63)</f>
        <v>0</v>
      </c>
      <c r="CF110" s="79" t="n">
        <f aca="false">SUMIFS($T110:$CA110, $T$1:$CA$1, CF$63)</f>
        <v>0</v>
      </c>
      <c r="CG110" s="79" t="n">
        <f aca="false">SUMIFS($T110:$CA110, $T$1:$CA$1, CG$63)</f>
        <v>0</v>
      </c>
      <c r="CI110" s="79" t="n">
        <f aca="false">CC110=L110</f>
        <v>1</v>
      </c>
      <c r="CJ110" s="79" t="n">
        <f aca="false">CD110=M110</f>
        <v>1</v>
      </c>
      <c r="CK110" s="79" t="n">
        <f aca="false">CE110=N110</f>
        <v>1</v>
      </c>
      <c r="CL110" s="79" t="n">
        <f aca="false">CF110=O110</f>
        <v>1</v>
      </c>
      <c r="CM110" s="79" t="n">
        <f aca="false">CG110=P110</f>
        <v>1</v>
      </c>
    </row>
    <row r="111" s="14" customFormat="true" ht="16.5" hidden="false" customHeight="true" outlineLevel="0" collapsed="false">
      <c r="E111" s="91"/>
      <c r="H111" s="29"/>
      <c r="I111" s="91" t="n">
        <v>0</v>
      </c>
      <c r="J111" s="91" t="n">
        <v>0</v>
      </c>
      <c r="K111" s="214" t="n">
        <f aca="false">J111-I111</f>
        <v>0</v>
      </c>
      <c r="L111" s="91" t="n">
        <v>0</v>
      </c>
      <c r="M111" s="91" t="n">
        <v>0</v>
      </c>
      <c r="N111" s="91" t="n">
        <v>0</v>
      </c>
      <c r="O111" s="91" t="n">
        <v>0</v>
      </c>
      <c r="P111" s="91" t="n">
        <v>0</v>
      </c>
      <c r="Q111" s="93"/>
      <c r="R111" s="16" t="str">
        <f aca="false">IF(K111=P111, "", "Error")</f>
        <v/>
      </c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4"/>
      <c r="AF111" s="95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4"/>
      <c r="AR111" s="95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4"/>
      <c r="BD111" s="95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4"/>
      <c r="BP111" s="95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119"/>
      <c r="CC111" s="79" t="n">
        <f aca="false">SUMIFS($T111:$CA111, $T$1:$CA$1, CC$63)</f>
        <v>0</v>
      </c>
      <c r="CD111" s="79" t="n">
        <f aca="false">SUMIFS($T111:$CA111, $T$1:$CA$1, CD$63)</f>
        <v>0</v>
      </c>
      <c r="CE111" s="79" t="n">
        <f aca="false">SUMIFS($T111:$CA111, $T$1:$CA$1, CE$63)</f>
        <v>0</v>
      </c>
      <c r="CF111" s="79" t="n">
        <f aca="false">SUMIFS($T111:$CA111, $T$1:$CA$1, CF$63)</f>
        <v>0</v>
      </c>
      <c r="CG111" s="79" t="n">
        <f aca="false">SUMIFS($T111:$CA111, $T$1:$CA$1, CG$63)</f>
        <v>0</v>
      </c>
      <c r="CI111" s="79" t="n">
        <f aca="false">CC111=L111</f>
        <v>1</v>
      </c>
      <c r="CJ111" s="79" t="n">
        <f aca="false">CD111=M111</f>
        <v>1</v>
      </c>
      <c r="CK111" s="79" t="n">
        <f aca="false">CE111=N111</f>
        <v>1</v>
      </c>
      <c r="CL111" s="79" t="n">
        <f aca="false">CF111=O111</f>
        <v>1</v>
      </c>
      <c r="CM111" s="79" t="n">
        <f aca="false">CG111=P111</f>
        <v>1</v>
      </c>
    </row>
    <row r="112" s="14" customFormat="true" ht="16.5" hidden="false" customHeight="true" outlineLevel="0" collapsed="false">
      <c r="E112" s="96" t="s">
        <v>134</v>
      </c>
      <c r="H112" s="29"/>
      <c r="I112" s="82" t="n">
        <f aca="false">SUM(I107:I111)</f>
        <v>0</v>
      </c>
      <c r="J112" s="82" t="n">
        <f aca="false">SUM(J107:J111)</f>
        <v>0</v>
      </c>
      <c r="K112" s="82" t="n">
        <f aca="false">SUM(K107:K111)</f>
        <v>0</v>
      </c>
      <c r="L112" s="82" t="n">
        <f aca="false">SUM(L107:L111)</f>
        <v>0</v>
      </c>
      <c r="M112" s="82" t="n">
        <f aca="false">SUM(M107:M111)</f>
        <v>0</v>
      </c>
      <c r="N112" s="82" t="n">
        <f aca="false">SUM(N107:N111)</f>
        <v>0</v>
      </c>
      <c r="O112" s="82" t="n">
        <f aca="false">SUM(O107:O111)</f>
        <v>0</v>
      </c>
      <c r="P112" s="82" t="n">
        <f aca="false">SUM(P107:P111)</f>
        <v>0</v>
      </c>
      <c r="Q112" s="16"/>
      <c r="R112" s="16"/>
      <c r="T112" s="82" t="n">
        <f aca="false">SUM(T107:T111)</f>
        <v>0</v>
      </c>
      <c r="U112" s="82" t="n">
        <f aca="false">SUM(U107:U111)</f>
        <v>0</v>
      </c>
      <c r="V112" s="82" t="n">
        <f aca="false">SUM(V107:V111)</f>
        <v>0</v>
      </c>
      <c r="W112" s="82" t="n">
        <f aca="false">SUM(W107:W111)</f>
        <v>0</v>
      </c>
      <c r="X112" s="82" t="n">
        <f aca="false">SUM(X107:X111)</f>
        <v>0</v>
      </c>
      <c r="Y112" s="82" t="n">
        <f aca="false">SUM(Y107:Y111)</f>
        <v>0</v>
      </c>
      <c r="Z112" s="82" t="n">
        <f aca="false">SUM(Z107:Z111)</f>
        <v>0</v>
      </c>
      <c r="AA112" s="82" t="n">
        <f aca="false">SUM(AA107:AA111)</f>
        <v>0</v>
      </c>
      <c r="AB112" s="82" t="n">
        <f aca="false">SUM(AB107:AB111)</f>
        <v>0</v>
      </c>
      <c r="AC112" s="82" t="n">
        <f aca="false">SUM(AC107:AC111)</f>
        <v>0</v>
      </c>
      <c r="AD112" s="82" t="n">
        <f aca="false">SUM(AD107:AD111)</f>
        <v>0</v>
      </c>
      <c r="AE112" s="82" t="n">
        <f aca="false">SUM(AE107:AE111)</f>
        <v>0</v>
      </c>
      <c r="AF112" s="83" t="n">
        <f aca="false">SUM(AF107:AF111)</f>
        <v>0</v>
      </c>
      <c r="AG112" s="82" t="n">
        <f aca="false">SUM(AG107:AG111)</f>
        <v>0</v>
      </c>
      <c r="AH112" s="82" t="n">
        <f aca="false">SUM(AH107:AH111)</f>
        <v>0</v>
      </c>
      <c r="AI112" s="82" t="n">
        <f aca="false">SUM(AI107:AI111)</f>
        <v>0</v>
      </c>
      <c r="AJ112" s="82" t="n">
        <f aca="false">SUM(AJ107:AJ111)</f>
        <v>0</v>
      </c>
      <c r="AK112" s="82" t="n">
        <f aca="false">SUM(AK107:AK111)</f>
        <v>0</v>
      </c>
      <c r="AL112" s="82" t="n">
        <f aca="false">SUM(AL107:AL111)</f>
        <v>0</v>
      </c>
      <c r="AM112" s="82" t="n">
        <f aca="false">SUM(AM107:AM111)</f>
        <v>0</v>
      </c>
      <c r="AN112" s="82" t="n">
        <f aca="false">SUM(AN107:AN111)</f>
        <v>0</v>
      </c>
      <c r="AO112" s="82" t="n">
        <f aca="false">SUM(AO107:AO111)</f>
        <v>0</v>
      </c>
      <c r="AP112" s="82" t="n">
        <f aca="false">SUM(AP107:AP111)</f>
        <v>0</v>
      </c>
      <c r="AQ112" s="82" t="n">
        <f aca="false">SUM(AQ107:AQ111)</f>
        <v>0</v>
      </c>
      <c r="AR112" s="83" t="n">
        <f aca="false">SUM(AR107:AR111)</f>
        <v>0</v>
      </c>
      <c r="AS112" s="82" t="n">
        <f aca="false">SUM(AS107:AS111)</f>
        <v>0</v>
      </c>
      <c r="AT112" s="82" t="n">
        <f aca="false">SUM(AT107:AT111)</f>
        <v>0</v>
      </c>
      <c r="AU112" s="82" t="n">
        <f aca="false">SUM(AU107:AU111)</f>
        <v>0</v>
      </c>
      <c r="AV112" s="82" t="n">
        <f aca="false">SUM(AV107:AV111)</f>
        <v>0</v>
      </c>
      <c r="AW112" s="82" t="n">
        <f aca="false">SUM(AW107:AW111)</f>
        <v>0</v>
      </c>
      <c r="AX112" s="82" t="n">
        <f aca="false">SUM(AX107:AX111)</f>
        <v>0</v>
      </c>
      <c r="AY112" s="82" t="n">
        <f aca="false">SUM(AY107:AY111)</f>
        <v>0</v>
      </c>
      <c r="AZ112" s="82" t="n">
        <f aca="false">SUM(AZ107:AZ111)</f>
        <v>0</v>
      </c>
      <c r="BA112" s="82" t="n">
        <f aca="false">SUM(BA107:BA111)</f>
        <v>0</v>
      </c>
      <c r="BB112" s="82" t="n">
        <f aca="false">SUM(BB107:BB111)</f>
        <v>0</v>
      </c>
      <c r="BC112" s="82" t="n">
        <f aca="false">SUM(BC107:BC111)</f>
        <v>0</v>
      </c>
      <c r="BD112" s="83" t="n">
        <f aca="false">SUM(BD107:BD111)</f>
        <v>0</v>
      </c>
      <c r="BE112" s="82" t="n">
        <f aca="false">SUM(BE107:BE111)</f>
        <v>0</v>
      </c>
      <c r="BF112" s="82" t="n">
        <f aca="false">SUM(BF107:BF111)</f>
        <v>0</v>
      </c>
      <c r="BG112" s="82" t="n">
        <f aca="false">SUM(BG107:BG111)</f>
        <v>0</v>
      </c>
      <c r="BH112" s="82" t="n">
        <f aca="false">SUM(BH107:BH111)</f>
        <v>0</v>
      </c>
      <c r="BI112" s="82" t="n">
        <f aca="false">SUM(BI107:BI111)</f>
        <v>0</v>
      </c>
      <c r="BJ112" s="82" t="n">
        <f aca="false">SUM(BJ107:BJ111)</f>
        <v>0</v>
      </c>
      <c r="BK112" s="82" t="n">
        <f aca="false">SUM(BK107:BK111)</f>
        <v>0</v>
      </c>
      <c r="BL112" s="82" t="n">
        <f aca="false">SUM(BL107:BL111)</f>
        <v>0</v>
      </c>
      <c r="BM112" s="82" t="n">
        <f aca="false">SUM(BM107:BM111)</f>
        <v>0</v>
      </c>
      <c r="BN112" s="82" t="n">
        <f aca="false">SUM(BN107:BN111)</f>
        <v>0</v>
      </c>
      <c r="BO112" s="82" t="n">
        <f aca="false">SUM(BO107:BO111)</f>
        <v>0</v>
      </c>
      <c r="BP112" s="83" t="n">
        <f aca="false">SUM(BP107:BP111)</f>
        <v>0</v>
      </c>
      <c r="BQ112" s="82" t="n">
        <f aca="false">SUM(BQ107:BQ111)</f>
        <v>0</v>
      </c>
      <c r="BR112" s="82" t="n">
        <f aca="false">SUM(BR107:BR111)</f>
        <v>0</v>
      </c>
      <c r="BS112" s="82" t="n">
        <f aca="false">SUM(BS107:BS111)</f>
        <v>0</v>
      </c>
      <c r="BT112" s="82" t="n">
        <f aca="false">SUM(BT107:BT111)</f>
        <v>0</v>
      </c>
      <c r="BU112" s="82" t="n">
        <f aca="false">SUM(BU107:BU111)</f>
        <v>0</v>
      </c>
      <c r="BV112" s="82" t="n">
        <f aca="false">SUM(BV107:BV111)</f>
        <v>0</v>
      </c>
      <c r="BW112" s="82" t="n">
        <f aca="false">SUM(BW107:BW111)</f>
        <v>0</v>
      </c>
      <c r="BX112" s="82" t="n">
        <f aca="false">SUM(BX107:BX111)</f>
        <v>0</v>
      </c>
      <c r="BY112" s="82" t="n">
        <f aca="false">SUM(BY107:BY111)</f>
        <v>0</v>
      </c>
      <c r="BZ112" s="82" t="n">
        <f aca="false">SUM(BZ107:BZ111)</f>
        <v>0</v>
      </c>
      <c r="CA112" s="84" t="n">
        <f aca="false">SUM(CA107:CA111)</f>
        <v>0</v>
      </c>
      <c r="CC112" s="84" t="n">
        <f aca="false">SUM(CC107:CC111)</f>
        <v>0</v>
      </c>
      <c r="CD112" s="84" t="n">
        <f aca="false">SUM(CD107:CD111)</f>
        <v>0</v>
      </c>
      <c r="CE112" s="84" t="n">
        <f aca="false">SUM(CE107:CE111)</f>
        <v>0</v>
      </c>
      <c r="CF112" s="84" t="n">
        <f aca="false">SUM(CF107:CF111)</f>
        <v>0</v>
      </c>
      <c r="CG112" s="84" t="n">
        <f aca="false">SUM(CG107:CG111)</f>
        <v>0</v>
      </c>
      <c r="CI112" s="84" t="n">
        <f aca="false">CC112=L112</f>
        <v>1</v>
      </c>
      <c r="CJ112" s="84" t="n">
        <f aca="false">CD112=M112</f>
        <v>1</v>
      </c>
      <c r="CK112" s="84" t="n">
        <f aca="false">CE112=N112</f>
        <v>1</v>
      </c>
      <c r="CL112" s="84" t="n">
        <f aca="false">CF112=O112</f>
        <v>1</v>
      </c>
      <c r="CM112" s="84" t="n">
        <f aca="false">CG112=P112</f>
        <v>1</v>
      </c>
    </row>
    <row r="113" s="14" customFormat="true" ht="16.5" hidden="false" customHeight="true" outlineLevel="0" collapsed="false">
      <c r="E113" s="96"/>
      <c r="H113" s="29"/>
      <c r="I113" s="105"/>
      <c r="J113" s="105"/>
      <c r="K113" s="105"/>
      <c r="L113" s="105"/>
      <c r="M113" s="105"/>
      <c r="N113" s="105"/>
      <c r="O113" s="105"/>
      <c r="P113" s="105"/>
      <c r="Q113" s="16"/>
      <c r="R113" s="16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3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3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3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4"/>
      <c r="CC113" s="84"/>
      <c r="CD113" s="84"/>
      <c r="CE113" s="84"/>
      <c r="CF113" s="84"/>
      <c r="CG113" s="84"/>
      <c r="CI113" s="84"/>
      <c r="CJ113" s="84"/>
      <c r="CK113" s="84"/>
      <c r="CL113" s="84"/>
      <c r="CM113" s="84"/>
    </row>
    <row r="114" s="14" customFormat="true" ht="16.5" hidden="false" customHeight="true" outlineLevel="0" collapsed="false">
      <c r="E114" s="85"/>
      <c r="I114" s="104"/>
      <c r="J114" s="104"/>
      <c r="K114" s="104"/>
      <c r="L114" s="104"/>
      <c r="M114" s="104"/>
      <c r="N114" s="104"/>
      <c r="O114" s="104"/>
      <c r="P114" s="104"/>
      <c r="Q114" s="16"/>
      <c r="R114" s="16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9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9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9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90"/>
      <c r="CC114" s="90"/>
      <c r="CD114" s="90"/>
      <c r="CE114" s="90"/>
      <c r="CF114" s="90"/>
      <c r="CG114" s="90"/>
      <c r="CI114" s="90"/>
      <c r="CJ114" s="90"/>
      <c r="CK114" s="90"/>
      <c r="CL114" s="90"/>
      <c r="CM114" s="90"/>
    </row>
    <row r="115" s="14" customFormat="true" ht="16.5" hidden="false" customHeight="true" outlineLevel="0" collapsed="false">
      <c r="E115" s="109" t="s">
        <v>141</v>
      </c>
      <c r="F115" s="109"/>
      <c r="G115" s="109"/>
      <c r="H115" s="109"/>
      <c r="I115" s="221" t="n">
        <f aca="false">SUM(-I96, I104, I112)</f>
        <v>0</v>
      </c>
      <c r="J115" s="221" t="n">
        <f aca="false">SUM(-J96, J104, J112)</f>
        <v>0</v>
      </c>
      <c r="K115" s="221" t="n">
        <f aca="false">SUM(-K96, K104, K112)</f>
        <v>0</v>
      </c>
      <c r="L115" s="221" t="n">
        <f aca="false">SUM(-L96, L104, L112)</f>
        <v>0</v>
      </c>
      <c r="M115" s="221" t="n">
        <f aca="false">SUM(-M96, M104, M112)</f>
        <v>0</v>
      </c>
      <c r="N115" s="221" t="n">
        <f aca="false">SUM(-N96, N104, N112)</f>
        <v>0</v>
      </c>
      <c r="O115" s="221" t="n">
        <f aca="false">SUM(-O96, O104, O112)</f>
        <v>0</v>
      </c>
      <c r="P115" s="221" t="n">
        <f aca="false">SUM(-P96, P104, P112)</f>
        <v>0</v>
      </c>
      <c r="Q115" s="16"/>
      <c r="R115" s="16"/>
      <c r="T115" s="120" t="n">
        <f aca="false">SUM(-T96, T104, T112)</f>
        <v>0</v>
      </c>
      <c r="U115" s="120" t="n">
        <f aca="false">SUM(-U96, U104, U112)</f>
        <v>0</v>
      </c>
      <c r="V115" s="120" t="n">
        <f aca="false">SUM(-V96, V104, V112)</f>
        <v>0</v>
      </c>
      <c r="W115" s="120" t="n">
        <f aca="false">SUM(-W96, W104, W112)</f>
        <v>0</v>
      </c>
      <c r="X115" s="120" t="n">
        <f aca="false">SUM(-X96, X104, X112)</f>
        <v>0</v>
      </c>
      <c r="Y115" s="120" t="n">
        <f aca="false">SUM(-Y96, Y104, Y112)</f>
        <v>0</v>
      </c>
      <c r="Z115" s="120" t="n">
        <f aca="false">SUM(-Z96, Z104, Z112)</f>
        <v>0</v>
      </c>
      <c r="AA115" s="120" t="n">
        <f aca="false">SUM(-AA96, AA104, AA112)</f>
        <v>0</v>
      </c>
      <c r="AB115" s="120" t="n">
        <f aca="false">SUM(-AB96, AB104, AB112)</f>
        <v>0</v>
      </c>
      <c r="AC115" s="120" t="n">
        <f aca="false">SUM(-AC96, AC104, AC112)</f>
        <v>0</v>
      </c>
      <c r="AD115" s="120" t="n">
        <f aca="false">SUM(-AD96, AD104, AD112)</f>
        <v>0</v>
      </c>
      <c r="AE115" s="120" t="n">
        <f aca="false">SUM(-AE96, AE104, AE112)</f>
        <v>0</v>
      </c>
      <c r="AF115" s="120" t="n">
        <f aca="false">SUM(-AF96, AF104, AF112)</f>
        <v>0</v>
      </c>
      <c r="AG115" s="120" t="n">
        <f aca="false">SUM(-AG96, AG104, AG112)</f>
        <v>0</v>
      </c>
      <c r="AH115" s="120" t="n">
        <f aca="false">SUM(-AH96, AH104, AH112)</f>
        <v>0</v>
      </c>
      <c r="AI115" s="120" t="n">
        <f aca="false">SUM(-AI96, AI104, AI112)</f>
        <v>0</v>
      </c>
      <c r="AJ115" s="120" t="n">
        <f aca="false">SUM(-AJ96, AJ104, AJ112)</f>
        <v>0</v>
      </c>
      <c r="AK115" s="120" t="n">
        <f aca="false">SUM(-AK96, AK104, AK112)</f>
        <v>0</v>
      </c>
      <c r="AL115" s="120" t="n">
        <f aca="false">SUM(-AL96, AL104, AL112)</f>
        <v>0</v>
      </c>
      <c r="AM115" s="120" t="n">
        <f aca="false">SUM(-AM96, AM104, AM112)</f>
        <v>0</v>
      </c>
      <c r="AN115" s="120" t="n">
        <f aca="false">SUM(-AN96, AN104, AN112)</f>
        <v>0</v>
      </c>
      <c r="AO115" s="120" t="n">
        <f aca="false">SUM(-AO96, AO104, AO112)</f>
        <v>0</v>
      </c>
      <c r="AP115" s="120" t="n">
        <f aca="false">SUM(-AP96, AP104, AP112)</f>
        <v>0</v>
      </c>
      <c r="AQ115" s="120" t="n">
        <f aca="false">SUM(-AQ96, AQ104, AQ112)</f>
        <v>0</v>
      </c>
      <c r="AR115" s="120" t="n">
        <f aca="false">SUM(-AR96, AR104, AR112)</f>
        <v>0</v>
      </c>
      <c r="AS115" s="120" t="n">
        <f aca="false">SUM(-AS96, AS104, AS112)</f>
        <v>0</v>
      </c>
      <c r="AT115" s="120" t="n">
        <f aca="false">SUM(-AT96, AT104, AT112)</f>
        <v>0</v>
      </c>
      <c r="AU115" s="120" t="n">
        <f aca="false">SUM(-AU96, AU104, AU112)</f>
        <v>0</v>
      </c>
      <c r="AV115" s="120" t="n">
        <f aca="false">SUM(-AV96, AV104, AV112)</f>
        <v>0</v>
      </c>
      <c r="AW115" s="120" t="n">
        <f aca="false">SUM(-AW96, AW104, AW112)</f>
        <v>0</v>
      </c>
      <c r="AX115" s="120" t="n">
        <f aca="false">SUM(-AX96, AX104, AX112)</f>
        <v>0</v>
      </c>
      <c r="AY115" s="120" t="n">
        <f aca="false">SUM(-AY96, AY104, AY112)</f>
        <v>0</v>
      </c>
      <c r="AZ115" s="120" t="n">
        <f aca="false">SUM(-AZ96, AZ104, AZ112)</f>
        <v>0</v>
      </c>
      <c r="BA115" s="120" t="n">
        <f aca="false">SUM(-BA96, BA104, BA112)</f>
        <v>0</v>
      </c>
      <c r="BB115" s="120" t="n">
        <f aca="false">SUM(-BB96, BB104, BB112)</f>
        <v>0</v>
      </c>
      <c r="BC115" s="120" t="n">
        <f aca="false">SUM(-BC96, BC104, BC112)</f>
        <v>0</v>
      </c>
      <c r="BD115" s="120" t="n">
        <f aca="false">SUM(-BD96, BD104, BD112)</f>
        <v>0</v>
      </c>
      <c r="BE115" s="120" t="n">
        <f aca="false">SUM(-BE96, BE104, BE112)</f>
        <v>0</v>
      </c>
      <c r="BF115" s="120" t="n">
        <f aca="false">SUM(-BF96, BF104, BF112)</f>
        <v>0</v>
      </c>
      <c r="BG115" s="120" t="n">
        <f aca="false">SUM(-BG96, BG104, BG112)</f>
        <v>0</v>
      </c>
      <c r="BH115" s="120" t="n">
        <f aca="false">SUM(-BH96, BH104, BH112)</f>
        <v>0</v>
      </c>
      <c r="BI115" s="120" t="n">
        <f aca="false">SUM(-BI96, BI104, BI112)</f>
        <v>0</v>
      </c>
      <c r="BJ115" s="120" t="n">
        <f aca="false">SUM(-BJ96, BJ104, BJ112)</f>
        <v>0</v>
      </c>
      <c r="BK115" s="120" t="n">
        <f aca="false">SUM(-BK96, BK104, BK112)</f>
        <v>0</v>
      </c>
      <c r="BL115" s="120" t="n">
        <f aca="false">SUM(-BL96, BL104, BL112)</f>
        <v>0</v>
      </c>
      <c r="BM115" s="120" t="n">
        <f aca="false">SUM(-BM96, BM104, BM112)</f>
        <v>0</v>
      </c>
      <c r="BN115" s="120" t="n">
        <f aca="false">SUM(-BN96, BN104, BN112)</f>
        <v>0</v>
      </c>
      <c r="BO115" s="120" t="n">
        <f aca="false">SUM(-BO96, BO104, BO112)</f>
        <v>0</v>
      </c>
      <c r="BP115" s="120" t="n">
        <f aca="false">SUM(-BP96, BP104, BP112)</f>
        <v>0</v>
      </c>
      <c r="BQ115" s="120" t="n">
        <f aca="false">SUM(-BQ96, BQ104, BQ112)</f>
        <v>0</v>
      </c>
      <c r="BR115" s="120" t="n">
        <f aca="false">SUM(-BR96, BR104, BR112)</f>
        <v>0</v>
      </c>
      <c r="BS115" s="120" t="n">
        <f aca="false">SUM(-BS96, BS104, BS112)</f>
        <v>0</v>
      </c>
      <c r="BT115" s="120" t="n">
        <f aca="false">SUM(-BT96, BT104, BT112)</f>
        <v>0</v>
      </c>
      <c r="BU115" s="120" t="n">
        <f aca="false">SUM(-BU96, BU104, BU112)</f>
        <v>0</v>
      </c>
      <c r="BV115" s="120" t="n">
        <f aca="false">SUM(-BV96, BV104, BV112)</f>
        <v>0</v>
      </c>
      <c r="BW115" s="120" t="n">
        <f aca="false">SUM(-BW96, BW104, BW112)</f>
        <v>0</v>
      </c>
      <c r="BX115" s="120" t="n">
        <f aca="false">SUM(-BX96, BX104, BX112)</f>
        <v>0</v>
      </c>
      <c r="BY115" s="120" t="n">
        <f aca="false">SUM(-BY96, BY104, BY112)</f>
        <v>0</v>
      </c>
      <c r="BZ115" s="120" t="n">
        <f aca="false">SUM(-BZ96, BZ104, BZ112)</f>
        <v>0</v>
      </c>
      <c r="CA115" s="120" t="n">
        <f aca="false">SUM(-CA96, CA104, CA112)</f>
        <v>0</v>
      </c>
      <c r="CC115" s="120" t="n">
        <f aca="false">SUM(-CC96, CC104, CC112)</f>
        <v>0</v>
      </c>
      <c r="CD115" s="120" t="n">
        <f aca="false">SUM(-CD96, CD104, CD112)</f>
        <v>0</v>
      </c>
      <c r="CE115" s="120" t="n">
        <f aca="false">SUM(-CE96, CE104, CE112)</f>
        <v>0</v>
      </c>
      <c r="CF115" s="120" t="n">
        <f aca="false">SUM(-CF96, CF104, CF112)</f>
        <v>0</v>
      </c>
      <c r="CG115" s="120" t="n">
        <f aca="false">SUM(-CG96, CG104, CG112)</f>
        <v>0</v>
      </c>
      <c r="CI115" s="113" t="n">
        <f aca="false">CC115=L115</f>
        <v>1</v>
      </c>
      <c r="CJ115" s="113" t="n">
        <f aca="false">CD115=M115</f>
        <v>1</v>
      </c>
      <c r="CK115" s="113" t="n">
        <f aca="false">CE115=N115</f>
        <v>1</v>
      </c>
      <c r="CL115" s="113" t="n">
        <f aca="false">CF115=O115</f>
        <v>1</v>
      </c>
      <c r="CM115" s="113" t="n">
        <f aca="false">CG115=P115</f>
        <v>1</v>
      </c>
    </row>
    <row r="116" s="14" customFormat="true" ht="17.25" hidden="false" customHeight="true" outlineLevel="0" collapsed="false">
      <c r="E116" s="21"/>
      <c r="I116" s="222"/>
      <c r="J116" s="222"/>
      <c r="K116" s="222"/>
      <c r="L116" s="222"/>
      <c r="M116" s="222"/>
      <c r="N116" s="222"/>
      <c r="O116" s="222"/>
      <c r="P116" s="222"/>
      <c r="Q116" s="16"/>
      <c r="R116" s="16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121"/>
    </row>
    <row r="117" s="14" customFormat="true" ht="17.25" hidden="false" customHeight="true" outlineLevel="0" collapsed="false">
      <c r="E117" s="122" t="s">
        <v>142</v>
      </c>
      <c r="F117" s="123"/>
      <c r="G117" s="123"/>
      <c r="H117" s="123"/>
      <c r="I117" s="223" t="n">
        <f aca="false">SUM(I88, -I115)</f>
        <v>0</v>
      </c>
      <c r="J117" s="223" t="n">
        <f aca="false">SUM(J88, -J115)</f>
        <v>0</v>
      </c>
      <c r="K117" s="224" t="n">
        <f aca="false">SUM(K88, -K115)</f>
        <v>0</v>
      </c>
      <c r="L117" s="223" t="n">
        <f aca="false">SUM(L88, -L115)</f>
        <v>0</v>
      </c>
      <c r="M117" s="223" t="n">
        <f aca="false">SUM(M88, -M115)</f>
        <v>0</v>
      </c>
      <c r="N117" s="223" t="n">
        <f aca="false">SUM(N88, -N115)</f>
        <v>0</v>
      </c>
      <c r="O117" s="223" t="n">
        <f aca="false">SUM(O88, -O115)</f>
        <v>0</v>
      </c>
      <c r="P117" s="223" t="n">
        <f aca="false">SUM(P88, -P115)</f>
        <v>0</v>
      </c>
      <c r="Q117" s="16"/>
      <c r="R117" s="16" t="str">
        <f aca="false">IF(K117=P117, "", "Error")</f>
        <v/>
      </c>
      <c r="T117" s="125" t="n">
        <f aca="false">SUM(T88, -T115)</f>
        <v>0</v>
      </c>
      <c r="U117" s="125" t="n">
        <f aca="false">SUM(U88, -U115)</f>
        <v>0</v>
      </c>
      <c r="V117" s="125" t="n">
        <f aca="false">SUM(V88, -V115)</f>
        <v>0</v>
      </c>
      <c r="W117" s="125" t="n">
        <f aca="false">SUM(W88, -W115)</f>
        <v>0</v>
      </c>
      <c r="X117" s="125" t="n">
        <f aca="false">SUM(X88, -X115)</f>
        <v>0</v>
      </c>
      <c r="Y117" s="125" t="n">
        <f aca="false">SUM(Y88, -Y115)</f>
        <v>0</v>
      </c>
      <c r="Z117" s="125" t="n">
        <f aca="false">SUM(Z88, -Z115)</f>
        <v>0</v>
      </c>
      <c r="AA117" s="125" t="n">
        <f aca="false">SUM(AA88, -AA115)</f>
        <v>0</v>
      </c>
      <c r="AB117" s="125" t="n">
        <f aca="false">SUM(AB88, -AB115)</f>
        <v>0</v>
      </c>
      <c r="AC117" s="125" t="n">
        <f aca="false">SUM(AC88, -AC115)</f>
        <v>0</v>
      </c>
      <c r="AD117" s="125" t="n">
        <f aca="false">SUM(AD88, -AD115)</f>
        <v>0</v>
      </c>
      <c r="AE117" s="125" t="n">
        <f aca="false">SUM(AE88, -AE115)</f>
        <v>0</v>
      </c>
      <c r="AF117" s="125" t="n">
        <f aca="false">SUM(AF88, -AF115)</f>
        <v>0</v>
      </c>
      <c r="AG117" s="125" t="n">
        <f aca="false">SUM(AG88, -AG115)</f>
        <v>0</v>
      </c>
      <c r="AH117" s="125" t="n">
        <f aca="false">SUM(AH88, -AH115)</f>
        <v>0</v>
      </c>
      <c r="AI117" s="125" t="n">
        <f aca="false">SUM(AI88, -AI115)</f>
        <v>0</v>
      </c>
      <c r="AJ117" s="125" t="n">
        <f aca="false">SUM(AJ88, -AJ115)</f>
        <v>0</v>
      </c>
      <c r="AK117" s="125" t="n">
        <f aca="false">SUM(AK88, -AK115)</f>
        <v>0</v>
      </c>
      <c r="AL117" s="125" t="n">
        <f aca="false">SUM(AL88, -AL115)</f>
        <v>0</v>
      </c>
      <c r="AM117" s="125" t="n">
        <f aca="false">SUM(AM88, -AM115)</f>
        <v>0</v>
      </c>
      <c r="AN117" s="125" t="n">
        <f aca="false">SUM(AN88, -AN115)</f>
        <v>0</v>
      </c>
      <c r="AO117" s="125" t="n">
        <f aca="false">SUM(AO88, -AO115)</f>
        <v>0</v>
      </c>
      <c r="AP117" s="125" t="n">
        <f aca="false">SUM(AP88, -AP115)</f>
        <v>0</v>
      </c>
      <c r="AQ117" s="125" t="n">
        <f aca="false">SUM(AQ88, -AQ115)</f>
        <v>0</v>
      </c>
      <c r="AR117" s="125" t="n">
        <f aca="false">SUM(AR88, -AR115)</f>
        <v>0</v>
      </c>
      <c r="AS117" s="125" t="n">
        <f aca="false">SUM(AS88, -AS115)</f>
        <v>0</v>
      </c>
      <c r="AT117" s="125" t="n">
        <f aca="false">SUM(AT88, -AT115)</f>
        <v>0</v>
      </c>
      <c r="AU117" s="125" t="n">
        <f aca="false">SUM(AU88, -AU115)</f>
        <v>0</v>
      </c>
      <c r="AV117" s="125" t="n">
        <f aca="false">SUM(AV88, -AV115)</f>
        <v>0</v>
      </c>
      <c r="AW117" s="125" t="n">
        <f aca="false">SUM(AW88, -AW115)</f>
        <v>0</v>
      </c>
      <c r="AX117" s="125" t="n">
        <f aca="false">SUM(AX88, -AX115)</f>
        <v>0</v>
      </c>
      <c r="AY117" s="125" t="n">
        <f aca="false">SUM(AY88, -AY115)</f>
        <v>0</v>
      </c>
      <c r="AZ117" s="125" t="n">
        <f aca="false">SUM(AZ88, -AZ115)</f>
        <v>0</v>
      </c>
      <c r="BA117" s="125" t="n">
        <f aca="false">SUM(BA88, -BA115)</f>
        <v>0</v>
      </c>
      <c r="BB117" s="125" t="n">
        <f aca="false">SUM(BB88, -BB115)</f>
        <v>0</v>
      </c>
      <c r="BC117" s="125" t="n">
        <f aca="false">SUM(BC88, -BC115)</f>
        <v>0</v>
      </c>
      <c r="BD117" s="125" t="n">
        <f aca="false">SUM(BD88, -BD115)</f>
        <v>0</v>
      </c>
      <c r="BE117" s="125" t="n">
        <f aca="false">SUM(BE88, -BE115)</f>
        <v>0</v>
      </c>
      <c r="BF117" s="125" t="n">
        <f aca="false">SUM(BF88, -BF115)</f>
        <v>0</v>
      </c>
      <c r="BG117" s="125" t="n">
        <f aca="false">SUM(BG88, -BG115)</f>
        <v>0</v>
      </c>
      <c r="BH117" s="125" t="n">
        <f aca="false">SUM(BH88, -BH115)</f>
        <v>0</v>
      </c>
      <c r="BI117" s="125" t="n">
        <f aca="false">SUM(BI88, -BI115)</f>
        <v>0</v>
      </c>
      <c r="BJ117" s="125" t="n">
        <f aca="false">SUM(BJ88, -BJ115)</f>
        <v>0</v>
      </c>
      <c r="BK117" s="125" t="n">
        <f aca="false">SUM(BK88, -BK115)</f>
        <v>0</v>
      </c>
      <c r="BL117" s="125" t="n">
        <f aca="false">SUM(BL88, -BL115)</f>
        <v>0</v>
      </c>
      <c r="BM117" s="125" t="n">
        <f aca="false">SUM(BM88, -BM115)</f>
        <v>0</v>
      </c>
      <c r="BN117" s="125" t="n">
        <f aca="false">SUM(BN88, -BN115)</f>
        <v>0</v>
      </c>
      <c r="BO117" s="125" t="n">
        <f aca="false">SUM(BO88, -BO115)</f>
        <v>0</v>
      </c>
      <c r="BP117" s="125" t="n">
        <f aca="false">SUM(BP88, -BP115)</f>
        <v>0</v>
      </c>
      <c r="BQ117" s="125" t="n">
        <f aca="false">SUM(BQ88, -BQ115)</f>
        <v>0</v>
      </c>
      <c r="BR117" s="125" t="n">
        <f aca="false">SUM(BR88, -BR115)</f>
        <v>0</v>
      </c>
      <c r="BS117" s="125" t="n">
        <f aca="false">SUM(BS88, -BS115)</f>
        <v>0</v>
      </c>
      <c r="BT117" s="125" t="n">
        <f aca="false">SUM(BT88, -BT115)</f>
        <v>0</v>
      </c>
      <c r="BU117" s="125" t="n">
        <f aca="false">SUM(BU88, -BU115)</f>
        <v>0</v>
      </c>
      <c r="BV117" s="125" t="n">
        <f aca="false">SUM(BV88, -BV115)</f>
        <v>0</v>
      </c>
      <c r="BW117" s="125" t="n">
        <f aca="false">SUM(BW88, -BW115)</f>
        <v>0</v>
      </c>
      <c r="BX117" s="125" t="n">
        <f aca="false">SUM(BX88, -BX115)</f>
        <v>0</v>
      </c>
      <c r="BY117" s="125" t="n">
        <f aca="false">SUM(BY88, -BY115)</f>
        <v>0</v>
      </c>
      <c r="BZ117" s="125" t="n">
        <f aca="false">SUM(BZ88, -BZ115)</f>
        <v>0</v>
      </c>
      <c r="CA117" s="126" t="n">
        <f aca="false">SUM(CA88, -CA115)</f>
        <v>0</v>
      </c>
      <c r="CC117" s="126" t="n">
        <f aca="false">SUM(CC88, -CC115)</f>
        <v>0</v>
      </c>
      <c r="CD117" s="126" t="n">
        <f aca="false">SUM(CD88, -CD115)</f>
        <v>0</v>
      </c>
      <c r="CE117" s="126" t="n">
        <f aca="false">SUM(CE88, -CE115)</f>
        <v>0</v>
      </c>
      <c r="CF117" s="126" t="n">
        <f aca="false">SUM(CF88, -CF115)</f>
        <v>0</v>
      </c>
      <c r="CG117" s="126" t="n">
        <f aca="false">SUM(CG88, -CG115)</f>
        <v>0</v>
      </c>
      <c r="CI117" s="126" t="n">
        <f aca="false">CC117=L117</f>
        <v>1</v>
      </c>
      <c r="CJ117" s="126" t="n">
        <f aca="false">CD117=M117</f>
        <v>1</v>
      </c>
      <c r="CK117" s="126" t="n">
        <f aca="false">CE117=N117</f>
        <v>1</v>
      </c>
      <c r="CL117" s="126" t="n">
        <f aca="false">CF117=O117</f>
        <v>1</v>
      </c>
      <c r="CM117" s="126" t="n">
        <f aca="false">CG117=P117</f>
        <v>1</v>
      </c>
    </row>
    <row r="118" s="14" customFormat="true" ht="17.25" hidden="false" customHeight="true" outlineLevel="0" collapsed="false">
      <c r="K118" s="127"/>
      <c r="Q118" s="16"/>
      <c r="R118" s="16"/>
    </row>
    <row r="119" s="14" customFormat="true" ht="17.25" hidden="false" customHeight="true" outlineLevel="0" collapsed="false">
      <c r="E119" s="128"/>
      <c r="Q119" s="16"/>
      <c r="R119" s="16"/>
    </row>
    <row r="120" s="14" customFormat="true" ht="16.5" hidden="false" customHeight="true" outlineLevel="0" collapsed="false">
      <c r="C120" s="19" t="s">
        <v>143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C120" s="19" t="s">
        <v>118</v>
      </c>
      <c r="CD120" s="19"/>
      <c r="CE120" s="19"/>
      <c r="CF120" s="19"/>
      <c r="CG120" s="19"/>
      <c r="CI120" s="19" t="s">
        <v>119</v>
      </c>
      <c r="CJ120" s="19"/>
      <c r="CK120" s="19"/>
      <c r="CL120" s="19"/>
      <c r="CM120" s="19"/>
    </row>
    <row r="121" s="14" customFormat="true" ht="16.5" hidden="false" customHeight="true" outlineLevel="0" collapsed="false">
      <c r="Q121" s="16"/>
      <c r="R121" s="16"/>
    </row>
    <row r="122" s="14" customFormat="true" ht="16.5" hidden="false" customHeight="true" outlineLevel="0" collapsed="false">
      <c r="Q122" s="16"/>
      <c r="R122" s="16"/>
      <c r="T122" s="62" t="n">
        <v>2026</v>
      </c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62" t="n">
        <v>2027</v>
      </c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62" t="n">
        <v>2028</v>
      </c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62" t="n">
        <v>2029</v>
      </c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62" t="n">
        <v>2030</v>
      </c>
      <c r="BQ122" s="130"/>
      <c r="BR122" s="130"/>
      <c r="BS122" s="130"/>
      <c r="BT122" s="130"/>
      <c r="BU122" s="130"/>
      <c r="BV122" s="130"/>
      <c r="BW122" s="130"/>
      <c r="BX122" s="130"/>
      <c r="BY122" s="130"/>
      <c r="BZ122" s="130"/>
      <c r="CA122" s="130"/>
    </row>
    <row r="123" s="14" customFormat="true" ht="16.5" hidden="false" customHeight="true" outlineLevel="0" collapsed="false">
      <c r="D123" s="30" t="s">
        <v>144</v>
      </c>
      <c r="E123" s="31"/>
      <c r="F123" s="31"/>
      <c r="G123" s="31"/>
      <c r="H123" s="31"/>
      <c r="I123" s="31"/>
      <c r="J123" s="31"/>
      <c r="K123" s="30" t="s">
        <v>121</v>
      </c>
      <c r="L123" s="31" t="n">
        <v>2026</v>
      </c>
      <c r="M123" s="31" t="n">
        <f aca="false">L123+1</f>
        <v>2027</v>
      </c>
      <c r="N123" s="31" t="n">
        <f aca="false">M123+1</f>
        <v>2028</v>
      </c>
      <c r="O123" s="31" t="n">
        <f aca="false">N123+1</f>
        <v>2029</v>
      </c>
      <c r="P123" s="31" t="n">
        <f aca="false">O123+1</f>
        <v>2030</v>
      </c>
      <c r="Q123" s="31" t="s">
        <v>123</v>
      </c>
      <c r="R123" s="16"/>
      <c r="T123" s="59" t="n">
        <v>46023</v>
      </c>
      <c r="U123" s="60" t="n">
        <f aca="false">EOMONTH(T123, 1)</f>
        <v>46081</v>
      </c>
      <c r="V123" s="60" t="n">
        <f aca="false">EOMONTH(U123, 1)</f>
        <v>46112</v>
      </c>
      <c r="W123" s="60" t="n">
        <f aca="false">EOMONTH(V123, 1)</f>
        <v>46142</v>
      </c>
      <c r="X123" s="60" t="n">
        <f aca="false">EOMONTH(W123, 1)</f>
        <v>46173</v>
      </c>
      <c r="Y123" s="60" t="n">
        <f aca="false">EOMONTH(X123, 1)</f>
        <v>46203</v>
      </c>
      <c r="Z123" s="60" t="n">
        <f aca="false">EOMONTH(Y123, 1)</f>
        <v>46234</v>
      </c>
      <c r="AA123" s="60" t="n">
        <f aca="false">EOMONTH(Z123, 1)</f>
        <v>46265</v>
      </c>
      <c r="AB123" s="60" t="n">
        <f aca="false">EOMONTH(AA123, 1)</f>
        <v>46295</v>
      </c>
      <c r="AC123" s="60" t="n">
        <f aca="false">EOMONTH(AB123, 1)</f>
        <v>46326</v>
      </c>
      <c r="AD123" s="60" t="n">
        <f aca="false">EOMONTH(AC123, 1)</f>
        <v>46356</v>
      </c>
      <c r="AE123" s="61" t="n">
        <f aca="false">EOMONTH(AD123, 1)</f>
        <v>46387</v>
      </c>
      <c r="AF123" s="59" t="n">
        <f aca="false">EOMONTH(AE123, 1)</f>
        <v>46418</v>
      </c>
      <c r="AG123" s="60" t="n">
        <f aca="false">EOMONTH(AF123, 1)</f>
        <v>46446</v>
      </c>
      <c r="AH123" s="60" t="n">
        <f aca="false">EOMONTH(AG123, 1)</f>
        <v>46477</v>
      </c>
      <c r="AI123" s="60" t="n">
        <f aca="false">EOMONTH(AH123, 1)</f>
        <v>46507</v>
      </c>
      <c r="AJ123" s="60" t="n">
        <f aca="false">EOMONTH(AI123, 1)</f>
        <v>46538</v>
      </c>
      <c r="AK123" s="60" t="n">
        <f aca="false">EOMONTH(AJ123, 1)</f>
        <v>46568</v>
      </c>
      <c r="AL123" s="60" t="n">
        <f aca="false">EOMONTH(AK123, 1)</f>
        <v>46599</v>
      </c>
      <c r="AM123" s="60" t="n">
        <f aca="false">EOMONTH(AL123, 1)</f>
        <v>46630</v>
      </c>
      <c r="AN123" s="60" t="n">
        <f aca="false">EOMONTH(AM123, 1)</f>
        <v>46660</v>
      </c>
      <c r="AO123" s="60" t="n">
        <f aca="false">EOMONTH(AN123, 1)</f>
        <v>46691</v>
      </c>
      <c r="AP123" s="60" t="n">
        <f aca="false">EOMONTH(AO123, 1)</f>
        <v>46721</v>
      </c>
      <c r="AQ123" s="61" t="n">
        <f aca="false">EOMONTH(AP123, 1)</f>
        <v>46752</v>
      </c>
      <c r="AR123" s="59" t="n">
        <f aca="false">EOMONTH(AQ123, 1)</f>
        <v>46783</v>
      </c>
      <c r="AS123" s="60" t="n">
        <f aca="false">EOMONTH(AR123, 1)</f>
        <v>46812</v>
      </c>
      <c r="AT123" s="60" t="n">
        <f aca="false">EOMONTH(AS123, 1)</f>
        <v>46843</v>
      </c>
      <c r="AU123" s="60" t="n">
        <f aca="false">EOMONTH(AT123, 1)</f>
        <v>46873</v>
      </c>
      <c r="AV123" s="60" t="n">
        <f aca="false">EOMONTH(AU123, 1)</f>
        <v>46904</v>
      </c>
      <c r="AW123" s="60" t="n">
        <f aca="false">EOMONTH(AV123, 1)</f>
        <v>46934</v>
      </c>
      <c r="AX123" s="60" t="n">
        <f aca="false">EOMONTH(AW123, 1)</f>
        <v>46965</v>
      </c>
      <c r="AY123" s="60" t="n">
        <f aca="false">EOMONTH(AX123, 1)</f>
        <v>46996</v>
      </c>
      <c r="AZ123" s="60" t="n">
        <f aca="false">EOMONTH(AY123, 1)</f>
        <v>47026</v>
      </c>
      <c r="BA123" s="60" t="n">
        <f aca="false">EOMONTH(AZ123, 1)</f>
        <v>47057</v>
      </c>
      <c r="BB123" s="60" t="n">
        <f aca="false">EOMONTH(BA123, 1)</f>
        <v>47087</v>
      </c>
      <c r="BC123" s="61" t="n">
        <f aca="false">EOMONTH(BB123, 1)</f>
        <v>47118</v>
      </c>
      <c r="BD123" s="59" t="n">
        <f aca="false">EOMONTH(BC123, 1)</f>
        <v>47149</v>
      </c>
      <c r="BE123" s="60" t="n">
        <f aca="false">EOMONTH(BD123, 1)</f>
        <v>47177</v>
      </c>
      <c r="BF123" s="60" t="n">
        <f aca="false">EOMONTH(BE123, 1)</f>
        <v>47208</v>
      </c>
      <c r="BG123" s="60" t="n">
        <f aca="false">EOMONTH(BF123, 1)</f>
        <v>47238</v>
      </c>
      <c r="BH123" s="60" t="n">
        <f aca="false">EOMONTH(BG123, 1)</f>
        <v>47269</v>
      </c>
      <c r="BI123" s="60" t="n">
        <f aca="false">EOMONTH(BH123, 1)</f>
        <v>47299</v>
      </c>
      <c r="BJ123" s="60" t="n">
        <f aca="false">EOMONTH(BI123, 1)</f>
        <v>47330</v>
      </c>
      <c r="BK123" s="60" t="n">
        <f aca="false">EOMONTH(BJ123, 1)</f>
        <v>47361</v>
      </c>
      <c r="BL123" s="60" t="n">
        <f aca="false">EOMONTH(BK123, 1)</f>
        <v>47391</v>
      </c>
      <c r="BM123" s="60" t="n">
        <f aca="false">EOMONTH(BL123, 1)</f>
        <v>47422</v>
      </c>
      <c r="BN123" s="60" t="n">
        <f aca="false">EOMONTH(BM123, 1)</f>
        <v>47452</v>
      </c>
      <c r="BO123" s="61" t="n">
        <f aca="false">EOMONTH(BN123, 1)</f>
        <v>47483</v>
      </c>
      <c r="BP123" s="59" t="n">
        <f aca="false">EOMONTH(BO123, 1)</f>
        <v>47514</v>
      </c>
      <c r="BQ123" s="60" t="n">
        <f aca="false">EOMONTH(BP123, 1)</f>
        <v>47542</v>
      </c>
      <c r="BR123" s="60" t="n">
        <f aca="false">EOMONTH(BQ123, 1)</f>
        <v>47573</v>
      </c>
      <c r="BS123" s="60" t="n">
        <f aca="false">EOMONTH(BR123, 1)</f>
        <v>47603</v>
      </c>
      <c r="BT123" s="60" t="n">
        <f aca="false">EOMONTH(BS123, 1)</f>
        <v>47634</v>
      </c>
      <c r="BU123" s="60" t="n">
        <f aca="false">EOMONTH(BT123, 1)</f>
        <v>47664</v>
      </c>
      <c r="BV123" s="60" t="n">
        <f aca="false">EOMONTH(BU123, 1)</f>
        <v>47695</v>
      </c>
      <c r="BW123" s="60" t="n">
        <f aca="false">EOMONTH(BV123, 1)</f>
        <v>47726</v>
      </c>
      <c r="BX123" s="60" t="n">
        <f aca="false">EOMONTH(BW123, 1)</f>
        <v>47756</v>
      </c>
      <c r="BY123" s="60" t="n">
        <f aca="false">EOMONTH(BX123, 1)</f>
        <v>47787</v>
      </c>
      <c r="BZ123" s="60" t="n">
        <f aca="false">EOMONTH(BY123, 1)</f>
        <v>47817</v>
      </c>
      <c r="CA123" s="60" t="n">
        <f aca="false">EOMONTH(BZ123, 1)</f>
        <v>47848</v>
      </c>
      <c r="CC123" s="62" t="n">
        <v>2026</v>
      </c>
      <c r="CD123" s="62" t="n">
        <f aca="false">CC123+1</f>
        <v>2027</v>
      </c>
      <c r="CE123" s="62" t="n">
        <f aca="false">CD123+1</f>
        <v>2028</v>
      </c>
      <c r="CF123" s="62" t="n">
        <f aca="false">CE123+1</f>
        <v>2029</v>
      </c>
      <c r="CG123" s="62" t="n">
        <f aca="false">CF123+1</f>
        <v>2030</v>
      </c>
      <c r="CI123" s="62" t="n">
        <v>2026</v>
      </c>
      <c r="CJ123" s="62" t="n">
        <f aca="false">CI123+1</f>
        <v>2027</v>
      </c>
      <c r="CK123" s="62" t="n">
        <f aca="false">CJ123+1</f>
        <v>2028</v>
      </c>
      <c r="CL123" s="62" t="n">
        <f aca="false">CK123+1</f>
        <v>2029</v>
      </c>
      <c r="CM123" s="62" t="n">
        <f aca="false">CL123+1</f>
        <v>2030</v>
      </c>
    </row>
    <row r="124" s="14" customFormat="true" ht="16.5" hidden="false" customHeight="true" outlineLevel="0" collapsed="false">
      <c r="E124" s="21"/>
      <c r="F124" s="21"/>
      <c r="G124" s="21"/>
      <c r="K124" s="35"/>
      <c r="Q124" s="16"/>
      <c r="R124" s="16"/>
    </row>
    <row r="125" s="14" customFormat="true" ht="16.5" hidden="false" customHeight="true" outlineLevel="0" collapsed="false">
      <c r="E125" s="21" t="s">
        <v>145</v>
      </c>
      <c r="K125" s="35"/>
      <c r="Q125" s="16"/>
      <c r="R125" s="16"/>
    </row>
    <row r="126" s="14" customFormat="true" ht="16.5" hidden="false" customHeight="true" outlineLevel="0" collapsed="false">
      <c r="E126" s="91"/>
      <c r="K126" s="35"/>
      <c r="L126" s="91"/>
      <c r="M126" s="91"/>
      <c r="N126" s="91"/>
      <c r="O126" s="91"/>
      <c r="P126" s="91"/>
      <c r="Q126" s="93"/>
      <c r="R126" s="16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C126" s="79" t="n">
        <f aca="false">SUMIFS($T126:$CA126, $T$1:$CA$1, CC$63)</f>
        <v>0</v>
      </c>
      <c r="CD126" s="79" t="n">
        <f aca="false">SUMIFS($T126:$CA126, $T$1:$CA$1, CD$63)</f>
        <v>0</v>
      </c>
      <c r="CE126" s="79" t="n">
        <f aca="false">SUMIFS($T126:$CA126, $T$1:$CA$1, CE$63)</f>
        <v>0</v>
      </c>
      <c r="CF126" s="79" t="n">
        <f aca="false">SUMIFS($T126:$CA126, $T$1:$CA$1, CF$63)</f>
        <v>0</v>
      </c>
      <c r="CG126" s="79" t="n">
        <f aca="false">SUMIFS($T126:$CA126, $T$1:$CA$1, CG$63)</f>
        <v>0</v>
      </c>
      <c r="CI126" s="79" t="n">
        <f aca="false">CC126=L126</f>
        <v>1</v>
      </c>
      <c r="CJ126" s="79" t="n">
        <f aca="false">CD126=M126</f>
        <v>1</v>
      </c>
      <c r="CK126" s="79" t="n">
        <f aca="false">CE126=N126</f>
        <v>1</v>
      </c>
      <c r="CL126" s="79" t="n">
        <f aca="false">CF126=O126</f>
        <v>1</v>
      </c>
      <c r="CM126" s="79" t="n">
        <f aca="false">CG126=P126</f>
        <v>1</v>
      </c>
    </row>
    <row r="127" s="14" customFormat="true" ht="16.5" hidden="false" customHeight="true" outlineLevel="0" collapsed="false">
      <c r="E127" s="91"/>
      <c r="K127" s="35"/>
      <c r="L127" s="91"/>
      <c r="M127" s="91"/>
      <c r="N127" s="91"/>
      <c r="O127" s="91"/>
      <c r="P127" s="91"/>
      <c r="Q127" s="93"/>
      <c r="R127" s="16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C127" s="79" t="n">
        <f aca="false">SUMIFS($T127:$CA127, $T$1:$CA$1, CC$63)</f>
        <v>0</v>
      </c>
      <c r="CD127" s="79" t="n">
        <f aca="false">SUMIFS($T127:$CA127, $T$1:$CA$1, CD$63)</f>
        <v>0</v>
      </c>
      <c r="CE127" s="79" t="n">
        <f aca="false">SUMIFS($T127:$CA127, $T$1:$CA$1, CE$63)</f>
        <v>0</v>
      </c>
      <c r="CF127" s="79" t="n">
        <f aca="false">SUMIFS($T127:$CA127, $T$1:$CA$1, CF$63)</f>
        <v>0</v>
      </c>
      <c r="CG127" s="79" t="n">
        <f aca="false">SUMIFS($T127:$CA127, $T$1:$CA$1, CG$63)</f>
        <v>0</v>
      </c>
      <c r="CI127" s="79" t="n">
        <f aca="false">CC127=L127</f>
        <v>1</v>
      </c>
      <c r="CJ127" s="79" t="n">
        <f aca="false">CD127=M127</f>
        <v>1</v>
      </c>
      <c r="CK127" s="79" t="n">
        <f aca="false">CE127=N127</f>
        <v>1</v>
      </c>
      <c r="CL127" s="79" t="n">
        <f aca="false">CF127=O127</f>
        <v>1</v>
      </c>
      <c r="CM127" s="79" t="n">
        <f aca="false">CG127=P127</f>
        <v>1</v>
      </c>
    </row>
    <row r="128" s="14" customFormat="true" ht="16.5" hidden="false" customHeight="true" outlineLevel="0" collapsed="false">
      <c r="E128" s="96" t="s">
        <v>146</v>
      </c>
      <c r="K128" s="35"/>
      <c r="L128" s="82" t="n">
        <f aca="false">SUM(L126:L127)</f>
        <v>0</v>
      </c>
      <c r="M128" s="82" t="n">
        <f aca="false">SUM(M126:M127)</f>
        <v>0</v>
      </c>
      <c r="N128" s="82" t="n">
        <f aca="false">SUM(N126:N127)</f>
        <v>0</v>
      </c>
      <c r="O128" s="82" t="n">
        <f aca="false">SUM(O126:O127)</f>
        <v>0</v>
      </c>
      <c r="P128" s="82" t="n">
        <f aca="false">SUM(P126:P127)</f>
        <v>0</v>
      </c>
      <c r="Q128" s="16"/>
      <c r="R128" s="16"/>
      <c r="T128" s="82" t="n">
        <f aca="false">SUM(T126:T127)</f>
        <v>0</v>
      </c>
      <c r="U128" s="82" t="n">
        <f aca="false">SUM(U126:U127)</f>
        <v>0</v>
      </c>
      <c r="V128" s="82" t="n">
        <f aca="false">SUM(V126:V127)</f>
        <v>0</v>
      </c>
      <c r="W128" s="82" t="n">
        <f aca="false">SUM(W126:W127)</f>
        <v>0</v>
      </c>
      <c r="X128" s="82" t="n">
        <f aca="false">SUM(X126:X127)</f>
        <v>0</v>
      </c>
      <c r="Y128" s="82" t="n">
        <f aca="false">SUM(Y126:Y127)</f>
        <v>0</v>
      </c>
      <c r="Z128" s="82" t="n">
        <f aca="false">SUM(Z126:Z127)</f>
        <v>0</v>
      </c>
      <c r="AA128" s="82" t="n">
        <f aca="false">SUM(AA126:AA127)</f>
        <v>0</v>
      </c>
      <c r="AB128" s="82" t="n">
        <f aca="false">SUM(AB126:AB127)</f>
        <v>0</v>
      </c>
      <c r="AC128" s="82" t="n">
        <f aca="false">SUM(AC126:AC127)</f>
        <v>0</v>
      </c>
      <c r="AD128" s="82" t="n">
        <f aca="false">SUM(AD126:AD127)</f>
        <v>0</v>
      </c>
      <c r="AE128" s="82" t="n">
        <f aca="false">SUM(AE126:AE127)</f>
        <v>0</v>
      </c>
      <c r="AF128" s="82" t="n">
        <f aca="false">SUM(AF126:AF127)</f>
        <v>0</v>
      </c>
      <c r="AG128" s="82" t="n">
        <f aca="false">SUM(AG126:AG127)</f>
        <v>0</v>
      </c>
      <c r="AH128" s="82" t="n">
        <f aca="false">SUM(AH126:AH127)</f>
        <v>0</v>
      </c>
      <c r="AI128" s="82" t="n">
        <f aca="false">SUM(AI126:AI127)</f>
        <v>0</v>
      </c>
      <c r="AJ128" s="82" t="n">
        <f aca="false">SUM(AJ126:AJ127)</f>
        <v>0</v>
      </c>
      <c r="AK128" s="82" t="n">
        <f aca="false">SUM(AK126:AK127)</f>
        <v>0</v>
      </c>
      <c r="AL128" s="82" t="n">
        <f aca="false">SUM(AL126:AL127)</f>
        <v>0</v>
      </c>
      <c r="AM128" s="82" t="n">
        <f aca="false">SUM(AM126:AM127)</f>
        <v>0</v>
      </c>
      <c r="AN128" s="82" t="n">
        <f aca="false">SUM(AN126:AN127)</f>
        <v>0</v>
      </c>
      <c r="AO128" s="82" t="n">
        <f aca="false">SUM(AO126:AO127)</f>
        <v>0</v>
      </c>
      <c r="AP128" s="82" t="n">
        <f aca="false">SUM(AP126:AP127)</f>
        <v>0</v>
      </c>
      <c r="AQ128" s="82" t="n">
        <f aca="false">SUM(AQ126:AQ127)</f>
        <v>0</v>
      </c>
      <c r="AR128" s="82" t="n">
        <f aca="false">SUM(AR126:AR127)</f>
        <v>0</v>
      </c>
      <c r="AS128" s="82" t="n">
        <f aca="false">SUM(AS126:AS127)</f>
        <v>0</v>
      </c>
      <c r="AT128" s="82" t="n">
        <f aca="false">SUM(AT126:AT127)</f>
        <v>0</v>
      </c>
      <c r="AU128" s="82" t="n">
        <f aca="false">SUM(AU126:AU127)</f>
        <v>0</v>
      </c>
      <c r="AV128" s="82" t="n">
        <f aca="false">SUM(AV126:AV127)</f>
        <v>0</v>
      </c>
      <c r="AW128" s="82" t="n">
        <f aca="false">SUM(AW126:AW127)</f>
        <v>0</v>
      </c>
      <c r="AX128" s="82" t="n">
        <f aca="false">SUM(AX126:AX127)</f>
        <v>0</v>
      </c>
      <c r="AY128" s="82" t="n">
        <f aca="false">SUM(AY126:AY127)</f>
        <v>0</v>
      </c>
      <c r="AZ128" s="82" t="n">
        <f aca="false">SUM(AZ126:AZ127)</f>
        <v>0</v>
      </c>
      <c r="BA128" s="82" t="n">
        <f aca="false">SUM(BA126:BA127)</f>
        <v>0</v>
      </c>
      <c r="BB128" s="82" t="n">
        <f aca="false">SUM(BB126:BB127)</f>
        <v>0</v>
      </c>
      <c r="BC128" s="82" t="n">
        <f aca="false">SUM(BC126:BC127)</f>
        <v>0</v>
      </c>
      <c r="BD128" s="82" t="n">
        <f aca="false">SUM(BD126:BD127)</f>
        <v>0</v>
      </c>
      <c r="BE128" s="82" t="n">
        <f aca="false">SUM(BE126:BE127)</f>
        <v>0</v>
      </c>
      <c r="BF128" s="82" t="n">
        <f aca="false">SUM(BF126:BF127)</f>
        <v>0</v>
      </c>
      <c r="BG128" s="82" t="n">
        <f aca="false">SUM(BG126:BG127)</f>
        <v>0</v>
      </c>
      <c r="BH128" s="82" t="n">
        <f aca="false">SUM(BH126:BH127)</f>
        <v>0</v>
      </c>
      <c r="BI128" s="82" t="n">
        <f aca="false">SUM(BI126:BI127)</f>
        <v>0</v>
      </c>
      <c r="BJ128" s="82" t="n">
        <f aca="false">SUM(BJ126:BJ127)</f>
        <v>0</v>
      </c>
      <c r="BK128" s="82" t="n">
        <f aca="false">SUM(BK126:BK127)</f>
        <v>0</v>
      </c>
      <c r="BL128" s="82" t="n">
        <f aca="false">SUM(BL126:BL127)</f>
        <v>0</v>
      </c>
      <c r="BM128" s="82" t="n">
        <f aca="false">SUM(BM126:BM127)</f>
        <v>0</v>
      </c>
      <c r="BN128" s="82" t="n">
        <f aca="false">SUM(BN126:BN127)</f>
        <v>0</v>
      </c>
      <c r="BO128" s="82" t="n">
        <f aca="false">SUM(BO126:BO127)</f>
        <v>0</v>
      </c>
      <c r="BP128" s="82" t="n">
        <f aca="false">SUM(BP126:BP127)</f>
        <v>0</v>
      </c>
      <c r="BQ128" s="82" t="n">
        <f aca="false">SUM(BQ126:BQ127)</f>
        <v>0</v>
      </c>
      <c r="BR128" s="82" t="n">
        <f aca="false">SUM(BR126:BR127)</f>
        <v>0</v>
      </c>
      <c r="BS128" s="82" t="n">
        <f aca="false">SUM(BS126:BS127)</f>
        <v>0</v>
      </c>
      <c r="BT128" s="82" t="n">
        <f aca="false">SUM(BT126:BT127)</f>
        <v>0</v>
      </c>
      <c r="BU128" s="82" t="n">
        <f aca="false">SUM(BU126:BU127)</f>
        <v>0</v>
      </c>
      <c r="BV128" s="82" t="n">
        <f aca="false">SUM(BV126:BV127)</f>
        <v>0</v>
      </c>
      <c r="BW128" s="82" t="n">
        <f aca="false">SUM(BW126:BW127)</f>
        <v>0</v>
      </c>
      <c r="BX128" s="82" t="n">
        <f aca="false">SUM(BX126:BX127)</f>
        <v>0</v>
      </c>
      <c r="BY128" s="82" t="n">
        <f aca="false">SUM(BY126:BY127)</f>
        <v>0</v>
      </c>
      <c r="BZ128" s="82" t="n">
        <f aca="false">SUM(BZ126:BZ127)</f>
        <v>0</v>
      </c>
      <c r="CA128" s="82" t="n">
        <f aca="false">SUM(CA126:CA127)</f>
        <v>0</v>
      </c>
      <c r="CC128" s="131" t="n">
        <f aca="false">SUM(CC126:CC127)</f>
        <v>0</v>
      </c>
      <c r="CD128" s="131" t="n">
        <f aca="false">SUM(CD126:CD127)</f>
        <v>0</v>
      </c>
      <c r="CE128" s="131" t="n">
        <f aca="false">SUM(CE126:CE127)</f>
        <v>0</v>
      </c>
      <c r="CF128" s="131" t="n">
        <f aca="false">SUM(CF126:CF127)</f>
        <v>0</v>
      </c>
      <c r="CG128" s="131" t="n">
        <f aca="false">SUM(CG126:CG127)</f>
        <v>0</v>
      </c>
      <c r="CI128" s="131" t="n">
        <f aca="false">CC128=L128</f>
        <v>1</v>
      </c>
      <c r="CJ128" s="131" t="n">
        <f aca="false">CD128=M128</f>
        <v>1</v>
      </c>
      <c r="CK128" s="131" t="n">
        <f aca="false">CE128=N128</f>
        <v>1</v>
      </c>
      <c r="CL128" s="131" t="n">
        <f aca="false">CF128=O128</f>
        <v>1</v>
      </c>
      <c r="CM128" s="131" t="n">
        <f aca="false">CG128=P128</f>
        <v>1</v>
      </c>
    </row>
    <row r="129" s="14" customFormat="true" ht="16.5" hidden="false" customHeight="true" outlineLevel="0" collapsed="false">
      <c r="E129" s="96"/>
      <c r="K129" s="35"/>
      <c r="L129" s="82"/>
      <c r="M129" s="82"/>
      <c r="N129" s="82"/>
      <c r="O129" s="82"/>
      <c r="P129" s="82"/>
      <c r="Q129" s="16"/>
      <c r="R129" s="16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</row>
    <row r="130" s="14" customFormat="true" ht="16.5" hidden="false" customHeight="true" outlineLevel="0" collapsed="false">
      <c r="E130" s="109" t="s">
        <v>147</v>
      </c>
      <c r="F130" s="109"/>
      <c r="G130" s="109"/>
      <c r="H130" s="109"/>
      <c r="I130" s="132"/>
      <c r="J130" s="132"/>
      <c r="K130" s="225"/>
      <c r="L130" s="120" t="n">
        <f aca="false">L128</f>
        <v>0</v>
      </c>
      <c r="M130" s="120" t="n">
        <f aca="false">M128</f>
        <v>0</v>
      </c>
      <c r="N130" s="120" t="n">
        <f aca="false">N128</f>
        <v>0</v>
      </c>
      <c r="O130" s="120" t="n">
        <f aca="false">O128</f>
        <v>0</v>
      </c>
      <c r="P130" s="120" t="n">
        <f aca="false">P128</f>
        <v>0</v>
      </c>
      <c r="Q130" s="16"/>
      <c r="R130" s="16"/>
      <c r="T130" s="120" t="n">
        <f aca="false">T128</f>
        <v>0</v>
      </c>
      <c r="U130" s="120" t="n">
        <f aca="false">U128</f>
        <v>0</v>
      </c>
      <c r="V130" s="120" t="n">
        <f aca="false">V128</f>
        <v>0</v>
      </c>
      <c r="W130" s="120" t="n">
        <f aca="false">W128</f>
        <v>0</v>
      </c>
      <c r="X130" s="120" t="n">
        <f aca="false">X128</f>
        <v>0</v>
      </c>
      <c r="Y130" s="120" t="n">
        <f aca="false">Y128</f>
        <v>0</v>
      </c>
      <c r="Z130" s="120" t="n">
        <f aca="false">Z128</f>
        <v>0</v>
      </c>
      <c r="AA130" s="120" t="n">
        <f aca="false">AA128</f>
        <v>0</v>
      </c>
      <c r="AB130" s="120" t="n">
        <f aca="false">AB128</f>
        <v>0</v>
      </c>
      <c r="AC130" s="120" t="n">
        <f aca="false">AC128</f>
        <v>0</v>
      </c>
      <c r="AD130" s="120" t="n">
        <f aca="false">AD128</f>
        <v>0</v>
      </c>
      <c r="AE130" s="120" t="n">
        <f aca="false">AE128</f>
        <v>0</v>
      </c>
      <c r="AF130" s="120" t="n">
        <f aca="false">AF128</f>
        <v>0</v>
      </c>
      <c r="AG130" s="120" t="n">
        <f aca="false">AG128</f>
        <v>0</v>
      </c>
      <c r="AH130" s="120" t="n">
        <f aca="false">AH128</f>
        <v>0</v>
      </c>
      <c r="AI130" s="120" t="n">
        <f aca="false">AI128</f>
        <v>0</v>
      </c>
      <c r="AJ130" s="120" t="n">
        <f aca="false">AJ128</f>
        <v>0</v>
      </c>
      <c r="AK130" s="120" t="n">
        <f aca="false">AK128</f>
        <v>0</v>
      </c>
      <c r="AL130" s="120" t="n">
        <f aca="false">AL128</f>
        <v>0</v>
      </c>
      <c r="AM130" s="120" t="n">
        <f aca="false">AM128</f>
        <v>0</v>
      </c>
      <c r="AN130" s="120" t="n">
        <f aca="false">AN128</f>
        <v>0</v>
      </c>
      <c r="AO130" s="120" t="n">
        <f aca="false">AO128</f>
        <v>0</v>
      </c>
      <c r="AP130" s="120" t="n">
        <f aca="false">AP128</f>
        <v>0</v>
      </c>
      <c r="AQ130" s="120" t="n">
        <f aca="false">AQ128</f>
        <v>0</v>
      </c>
      <c r="AR130" s="120" t="n">
        <f aca="false">AR128</f>
        <v>0</v>
      </c>
      <c r="AS130" s="120" t="n">
        <f aca="false">AS128</f>
        <v>0</v>
      </c>
      <c r="AT130" s="120" t="n">
        <f aca="false">AT128</f>
        <v>0</v>
      </c>
      <c r="AU130" s="120" t="n">
        <f aca="false">AU128</f>
        <v>0</v>
      </c>
      <c r="AV130" s="120" t="n">
        <f aca="false">AV128</f>
        <v>0</v>
      </c>
      <c r="AW130" s="120" t="n">
        <f aca="false">AW128</f>
        <v>0</v>
      </c>
      <c r="AX130" s="120" t="n">
        <f aca="false">AX128</f>
        <v>0</v>
      </c>
      <c r="AY130" s="120" t="n">
        <f aca="false">AY128</f>
        <v>0</v>
      </c>
      <c r="AZ130" s="120" t="n">
        <f aca="false">AZ128</f>
        <v>0</v>
      </c>
      <c r="BA130" s="120" t="n">
        <f aca="false">BA128</f>
        <v>0</v>
      </c>
      <c r="BB130" s="120" t="n">
        <f aca="false">BB128</f>
        <v>0</v>
      </c>
      <c r="BC130" s="120" t="n">
        <f aca="false">BC128</f>
        <v>0</v>
      </c>
      <c r="BD130" s="120" t="n">
        <f aca="false">BD128</f>
        <v>0</v>
      </c>
      <c r="BE130" s="120" t="n">
        <f aca="false">BE128</f>
        <v>0</v>
      </c>
      <c r="BF130" s="120" t="n">
        <f aca="false">BF128</f>
        <v>0</v>
      </c>
      <c r="BG130" s="120" t="n">
        <f aca="false">BG128</f>
        <v>0</v>
      </c>
      <c r="BH130" s="120" t="n">
        <f aca="false">BH128</f>
        <v>0</v>
      </c>
      <c r="BI130" s="120" t="n">
        <f aca="false">BI128</f>
        <v>0</v>
      </c>
      <c r="BJ130" s="120" t="n">
        <f aca="false">BJ128</f>
        <v>0</v>
      </c>
      <c r="BK130" s="120" t="n">
        <f aca="false">BK128</f>
        <v>0</v>
      </c>
      <c r="BL130" s="120" t="n">
        <f aca="false">BL128</f>
        <v>0</v>
      </c>
      <c r="BM130" s="120" t="n">
        <f aca="false">BM128</f>
        <v>0</v>
      </c>
      <c r="BN130" s="120" t="n">
        <f aca="false">BN128</f>
        <v>0</v>
      </c>
      <c r="BO130" s="120" t="n">
        <f aca="false">BO128</f>
        <v>0</v>
      </c>
      <c r="BP130" s="120" t="n">
        <f aca="false">BP128</f>
        <v>0</v>
      </c>
      <c r="BQ130" s="120" t="n">
        <f aca="false">BQ128</f>
        <v>0</v>
      </c>
      <c r="BR130" s="120" t="n">
        <f aca="false">BR128</f>
        <v>0</v>
      </c>
      <c r="BS130" s="120" t="n">
        <f aca="false">BS128</f>
        <v>0</v>
      </c>
      <c r="BT130" s="120" t="n">
        <f aca="false">BT128</f>
        <v>0</v>
      </c>
      <c r="BU130" s="120" t="n">
        <f aca="false">BU128</f>
        <v>0</v>
      </c>
      <c r="BV130" s="120" t="n">
        <f aca="false">BV128</f>
        <v>0</v>
      </c>
      <c r="BW130" s="120" t="n">
        <f aca="false">BW128</f>
        <v>0</v>
      </c>
      <c r="BX130" s="120" t="n">
        <f aca="false">BX128</f>
        <v>0</v>
      </c>
      <c r="BY130" s="120" t="n">
        <f aca="false">BY128</f>
        <v>0</v>
      </c>
      <c r="BZ130" s="120" t="n">
        <f aca="false">BZ128</f>
        <v>0</v>
      </c>
      <c r="CA130" s="120" t="n">
        <f aca="false">CA128</f>
        <v>0</v>
      </c>
      <c r="CC130" s="132" t="n">
        <f aca="false">CC128</f>
        <v>0</v>
      </c>
      <c r="CD130" s="132" t="n">
        <f aca="false">CD128</f>
        <v>0</v>
      </c>
      <c r="CE130" s="132" t="n">
        <f aca="false">CE128</f>
        <v>0</v>
      </c>
      <c r="CF130" s="132" t="n">
        <f aca="false">CF128</f>
        <v>0</v>
      </c>
      <c r="CG130" s="132" t="n">
        <f aca="false">CG128</f>
        <v>0</v>
      </c>
      <c r="CI130" s="133" t="n">
        <f aca="false">CI128</f>
        <v>1</v>
      </c>
      <c r="CJ130" s="133" t="n">
        <f aca="false">CJ128</f>
        <v>1</v>
      </c>
      <c r="CK130" s="133" t="n">
        <f aca="false">CK128</f>
        <v>1</v>
      </c>
      <c r="CL130" s="133" t="n">
        <f aca="false">CL128</f>
        <v>1</v>
      </c>
      <c r="CM130" s="133" t="n">
        <f aca="false">CM128</f>
        <v>1</v>
      </c>
    </row>
    <row r="131" s="14" customFormat="true" ht="16.5" hidden="false" customHeight="true" outlineLevel="0" collapsed="false">
      <c r="K131" s="35"/>
    </row>
    <row r="132" s="14" customFormat="true" ht="16.5" hidden="false" customHeight="true" outlineLevel="0" collapsed="false">
      <c r="E132" s="85"/>
      <c r="K132" s="35"/>
      <c r="Q132" s="16"/>
      <c r="R132" s="16"/>
      <c r="T132" s="62" t="n">
        <v>2026</v>
      </c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62" t="n">
        <v>2027</v>
      </c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62" t="n">
        <v>2028</v>
      </c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62" t="n">
        <v>2029</v>
      </c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62" t="n">
        <v>2030</v>
      </c>
      <c r="BQ132" s="130"/>
      <c r="BR132" s="130"/>
      <c r="BS132" s="130"/>
      <c r="BT132" s="130"/>
      <c r="BU132" s="130"/>
      <c r="BV132" s="130"/>
      <c r="BW132" s="130"/>
      <c r="BX132" s="130"/>
      <c r="BY132" s="130"/>
      <c r="BZ132" s="130"/>
      <c r="CA132" s="130"/>
    </row>
    <row r="133" s="14" customFormat="true" ht="16.5" hidden="false" customHeight="true" outlineLevel="0" collapsed="false">
      <c r="D133" s="30" t="s">
        <v>148</v>
      </c>
      <c r="E133" s="31"/>
      <c r="F133" s="31"/>
      <c r="G133" s="31"/>
      <c r="H133" s="31"/>
      <c r="I133" s="31"/>
      <c r="J133" s="31"/>
      <c r="K133" s="30" t="s">
        <v>121</v>
      </c>
      <c r="L133" s="31" t="n">
        <v>2026</v>
      </c>
      <c r="M133" s="31" t="n">
        <f aca="false">L133+1</f>
        <v>2027</v>
      </c>
      <c r="N133" s="31" t="n">
        <f aca="false">M133+1</f>
        <v>2028</v>
      </c>
      <c r="O133" s="31" t="n">
        <f aca="false">N133+1</f>
        <v>2029</v>
      </c>
      <c r="P133" s="31" t="n">
        <f aca="false">O133+1</f>
        <v>2030</v>
      </c>
      <c r="Q133" s="16"/>
      <c r="R133" s="16"/>
      <c r="T133" s="59" t="n">
        <v>46023</v>
      </c>
      <c r="U133" s="60" t="n">
        <f aca="false">EOMONTH(T133, 1)</f>
        <v>46081</v>
      </c>
      <c r="V133" s="60" t="n">
        <f aca="false">EOMONTH(U133, 1)</f>
        <v>46112</v>
      </c>
      <c r="W133" s="60" t="n">
        <f aca="false">EOMONTH(V133, 1)</f>
        <v>46142</v>
      </c>
      <c r="X133" s="60" t="n">
        <f aca="false">EOMONTH(W133, 1)</f>
        <v>46173</v>
      </c>
      <c r="Y133" s="60" t="n">
        <f aca="false">EOMONTH(X133, 1)</f>
        <v>46203</v>
      </c>
      <c r="Z133" s="60" t="n">
        <f aca="false">EOMONTH(Y133, 1)</f>
        <v>46234</v>
      </c>
      <c r="AA133" s="60" t="n">
        <f aca="false">EOMONTH(Z133, 1)</f>
        <v>46265</v>
      </c>
      <c r="AB133" s="60" t="n">
        <f aca="false">EOMONTH(AA133, 1)</f>
        <v>46295</v>
      </c>
      <c r="AC133" s="60" t="n">
        <f aca="false">EOMONTH(AB133, 1)</f>
        <v>46326</v>
      </c>
      <c r="AD133" s="60" t="n">
        <f aca="false">EOMONTH(AC133, 1)</f>
        <v>46356</v>
      </c>
      <c r="AE133" s="61" t="n">
        <f aca="false">EOMONTH(AD133, 1)</f>
        <v>46387</v>
      </c>
      <c r="AF133" s="59" t="n">
        <f aca="false">EOMONTH(AE133, 1)</f>
        <v>46418</v>
      </c>
      <c r="AG133" s="60" t="n">
        <f aca="false">EOMONTH(AF133, 1)</f>
        <v>46446</v>
      </c>
      <c r="AH133" s="60" t="n">
        <f aca="false">EOMONTH(AG133, 1)</f>
        <v>46477</v>
      </c>
      <c r="AI133" s="60" t="n">
        <f aca="false">EOMONTH(AH133, 1)</f>
        <v>46507</v>
      </c>
      <c r="AJ133" s="60" t="n">
        <f aca="false">EOMONTH(AI133, 1)</f>
        <v>46538</v>
      </c>
      <c r="AK133" s="60" t="n">
        <f aca="false">EOMONTH(AJ133, 1)</f>
        <v>46568</v>
      </c>
      <c r="AL133" s="60" t="n">
        <f aca="false">EOMONTH(AK133, 1)</f>
        <v>46599</v>
      </c>
      <c r="AM133" s="60" t="n">
        <f aca="false">EOMONTH(AL133, 1)</f>
        <v>46630</v>
      </c>
      <c r="AN133" s="60" t="n">
        <f aca="false">EOMONTH(AM133, 1)</f>
        <v>46660</v>
      </c>
      <c r="AO133" s="60" t="n">
        <f aca="false">EOMONTH(AN133, 1)</f>
        <v>46691</v>
      </c>
      <c r="AP133" s="60" t="n">
        <f aca="false">EOMONTH(AO133, 1)</f>
        <v>46721</v>
      </c>
      <c r="AQ133" s="61" t="n">
        <f aca="false">EOMONTH(AP133, 1)</f>
        <v>46752</v>
      </c>
      <c r="AR133" s="59" t="n">
        <f aca="false">EOMONTH(AQ133, 1)</f>
        <v>46783</v>
      </c>
      <c r="AS133" s="60" t="n">
        <f aca="false">EOMONTH(AR133, 1)</f>
        <v>46812</v>
      </c>
      <c r="AT133" s="60" t="n">
        <f aca="false">EOMONTH(AS133, 1)</f>
        <v>46843</v>
      </c>
      <c r="AU133" s="60" t="n">
        <f aca="false">EOMONTH(AT133, 1)</f>
        <v>46873</v>
      </c>
      <c r="AV133" s="60" t="n">
        <f aca="false">EOMONTH(AU133, 1)</f>
        <v>46904</v>
      </c>
      <c r="AW133" s="60" t="n">
        <f aca="false">EOMONTH(AV133, 1)</f>
        <v>46934</v>
      </c>
      <c r="AX133" s="60" t="n">
        <f aca="false">EOMONTH(AW133, 1)</f>
        <v>46965</v>
      </c>
      <c r="AY133" s="60" t="n">
        <f aca="false">EOMONTH(AX133, 1)</f>
        <v>46996</v>
      </c>
      <c r="AZ133" s="60" t="n">
        <f aca="false">EOMONTH(AY133, 1)</f>
        <v>47026</v>
      </c>
      <c r="BA133" s="60" t="n">
        <f aca="false">EOMONTH(AZ133, 1)</f>
        <v>47057</v>
      </c>
      <c r="BB133" s="60" t="n">
        <f aca="false">EOMONTH(BA133, 1)</f>
        <v>47087</v>
      </c>
      <c r="BC133" s="61" t="n">
        <f aca="false">EOMONTH(BB133, 1)</f>
        <v>47118</v>
      </c>
      <c r="BD133" s="59" t="n">
        <f aca="false">EOMONTH(BC133, 1)</f>
        <v>47149</v>
      </c>
      <c r="BE133" s="60" t="n">
        <f aca="false">EOMONTH(BD133, 1)</f>
        <v>47177</v>
      </c>
      <c r="BF133" s="60" t="n">
        <f aca="false">EOMONTH(BE133, 1)</f>
        <v>47208</v>
      </c>
      <c r="BG133" s="60" t="n">
        <f aca="false">EOMONTH(BF133, 1)</f>
        <v>47238</v>
      </c>
      <c r="BH133" s="60" t="n">
        <f aca="false">EOMONTH(BG133, 1)</f>
        <v>47269</v>
      </c>
      <c r="BI133" s="60" t="n">
        <f aca="false">EOMONTH(BH133, 1)</f>
        <v>47299</v>
      </c>
      <c r="BJ133" s="60" t="n">
        <f aca="false">EOMONTH(BI133, 1)</f>
        <v>47330</v>
      </c>
      <c r="BK133" s="60" t="n">
        <f aca="false">EOMONTH(BJ133, 1)</f>
        <v>47361</v>
      </c>
      <c r="BL133" s="60" t="n">
        <f aca="false">EOMONTH(BK133, 1)</f>
        <v>47391</v>
      </c>
      <c r="BM133" s="60" t="n">
        <f aca="false">EOMONTH(BL133, 1)</f>
        <v>47422</v>
      </c>
      <c r="BN133" s="60" t="n">
        <f aca="false">EOMONTH(BM133, 1)</f>
        <v>47452</v>
      </c>
      <c r="BO133" s="61" t="n">
        <f aca="false">EOMONTH(BN133, 1)</f>
        <v>47483</v>
      </c>
      <c r="BP133" s="59" t="n">
        <f aca="false">EOMONTH(BO133, 1)</f>
        <v>47514</v>
      </c>
      <c r="BQ133" s="60" t="n">
        <f aca="false">EOMONTH(BP133, 1)</f>
        <v>47542</v>
      </c>
      <c r="BR133" s="60" t="n">
        <f aca="false">EOMONTH(BQ133, 1)</f>
        <v>47573</v>
      </c>
      <c r="BS133" s="60" t="n">
        <f aca="false">EOMONTH(BR133, 1)</f>
        <v>47603</v>
      </c>
      <c r="BT133" s="60" t="n">
        <f aca="false">EOMONTH(BS133, 1)</f>
        <v>47634</v>
      </c>
      <c r="BU133" s="60" t="n">
        <f aca="false">EOMONTH(BT133, 1)</f>
        <v>47664</v>
      </c>
      <c r="BV133" s="60" t="n">
        <f aca="false">EOMONTH(BU133, 1)</f>
        <v>47695</v>
      </c>
      <c r="BW133" s="60" t="n">
        <f aca="false">EOMONTH(BV133, 1)</f>
        <v>47726</v>
      </c>
      <c r="BX133" s="60" t="n">
        <f aca="false">EOMONTH(BW133, 1)</f>
        <v>47756</v>
      </c>
      <c r="BY133" s="60" t="n">
        <f aca="false">EOMONTH(BX133, 1)</f>
        <v>47787</v>
      </c>
      <c r="BZ133" s="60" t="n">
        <f aca="false">EOMONTH(BY133, 1)</f>
        <v>47817</v>
      </c>
      <c r="CA133" s="60" t="n">
        <f aca="false">EOMONTH(BZ133, 1)</f>
        <v>47848</v>
      </c>
      <c r="CC133" s="62" t="n">
        <v>2026</v>
      </c>
      <c r="CD133" s="62" t="n">
        <f aca="false">CC133+1</f>
        <v>2027</v>
      </c>
      <c r="CE133" s="62" t="n">
        <f aca="false">CD133+1</f>
        <v>2028</v>
      </c>
      <c r="CF133" s="62" t="n">
        <f aca="false">CE133+1</f>
        <v>2029</v>
      </c>
      <c r="CG133" s="62" t="n">
        <f aca="false">CF133+1</f>
        <v>2030</v>
      </c>
      <c r="CI133" s="62" t="n">
        <v>2026</v>
      </c>
      <c r="CJ133" s="62" t="n">
        <f aca="false">CI133+1</f>
        <v>2027</v>
      </c>
      <c r="CK133" s="62" t="n">
        <f aca="false">CJ133+1</f>
        <v>2028</v>
      </c>
      <c r="CL133" s="62" t="n">
        <f aca="false">CK133+1</f>
        <v>2029</v>
      </c>
      <c r="CM133" s="62" t="n">
        <f aca="false">CL133+1</f>
        <v>2030</v>
      </c>
    </row>
    <row r="134" s="14" customFormat="true" ht="16.5" hidden="false" customHeight="true" outlineLevel="0" collapsed="false">
      <c r="F134" s="21"/>
      <c r="G134" s="21"/>
      <c r="Q134" s="16"/>
      <c r="R134" s="16"/>
    </row>
    <row r="135" s="14" customFormat="true" ht="16.5" hidden="false" customHeight="true" outlineLevel="0" collapsed="false">
      <c r="E135" s="21" t="s">
        <v>149</v>
      </c>
      <c r="Q135" s="16"/>
      <c r="R135" s="16"/>
    </row>
    <row r="136" s="14" customFormat="true" ht="16.5" hidden="false" customHeight="true" outlineLevel="0" collapsed="false">
      <c r="D136" s="134"/>
      <c r="E136" s="91"/>
      <c r="L136" s="91"/>
      <c r="M136" s="91"/>
      <c r="N136" s="91"/>
      <c r="O136" s="91"/>
      <c r="P136" s="91"/>
      <c r="Q136" s="93"/>
      <c r="R136" s="16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19"/>
      <c r="CA136" s="119"/>
      <c r="CC136" s="79" t="n">
        <f aca="false">SUMIFS($T136:$CA136, $T$1:$CA$1, CC$63)</f>
        <v>0</v>
      </c>
      <c r="CD136" s="79" t="n">
        <f aca="false">SUMIFS($T136:$CA136, $T$1:$CA$1, CD$63)</f>
        <v>0</v>
      </c>
      <c r="CE136" s="79" t="n">
        <f aca="false">SUMIFS($T136:$CA136, $T$1:$CA$1, CE$63)</f>
        <v>0</v>
      </c>
      <c r="CF136" s="79" t="n">
        <f aca="false">SUMIFS($T136:$CA136, $T$1:$CA$1, CF$63)</f>
        <v>0</v>
      </c>
      <c r="CG136" s="79" t="n">
        <f aca="false">SUMIFS($T136:$CA136, $T$1:$CA$1, CG$63)</f>
        <v>0</v>
      </c>
      <c r="CI136" s="79" t="n">
        <f aca="false">CC136=L136</f>
        <v>1</v>
      </c>
      <c r="CJ136" s="79" t="n">
        <f aca="false">CD136=M136</f>
        <v>1</v>
      </c>
      <c r="CK136" s="79" t="n">
        <f aca="false">CE136=N136</f>
        <v>1</v>
      </c>
      <c r="CL136" s="79" t="n">
        <f aca="false">CF136=O136</f>
        <v>1</v>
      </c>
      <c r="CM136" s="79" t="n">
        <f aca="false">CG136=P136</f>
        <v>1</v>
      </c>
    </row>
    <row r="137" s="14" customFormat="true" ht="16.5" hidden="false" customHeight="true" outlineLevel="0" collapsed="false">
      <c r="D137" s="134"/>
      <c r="E137" s="91"/>
      <c r="L137" s="91"/>
      <c r="M137" s="91"/>
      <c r="N137" s="91"/>
      <c r="O137" s="91"/>
      <c r="P137" s="91"/>
      <c r="Q137" s="93"/>
      <c r="R137" s="16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19"/>
      <c r="CA137" s="119"/>
      <c r="CC137" s="79" t="n">
        <f aca="false">SUMIFS($T137:$CA137, $T$1:$CA$1, CC$63)</f>
        <v>0</v>
      </c>
      <c r="CD137" s="79" t="n">
        <f aca="false">SUMIFS($T137:$CA137, $T$1:$CA$1, CD$63)</f>
        <v>0</v>
      </c>
      <c r="CE137" s="79" t="n">
        <f aca="false">SUMIFS($T137:$CA137, $T$1:$CA$1, CE$63)</f>
        <v>0</v>
      </c>
      <c r="CF137" s="79" t="n">
        <f aca="false">SUMIFS($T137:$CA137, $T$1:$CA$1, CF$63)</f>
        <v>0</v>
      </c>
      <c r="CG137" s="79" t="n">
        <f aca="false">SUMIFS($T137:$CA137, $T$1:$CA$1, CG$63)</f>
        <v>0</v>
      </c>
      <c r="CI137" s="79" t="n">
        <f aca="false">CC137=L137</f>
        <v>1</v>
      </c>
      <c r="CJ137" s="79" t="n">
        <f aca="false">CD137=M137</f>
        <v>1</v>
      </c>
      <c r="CK137" s="79" t="n">
        <f aca="false">CE137=N137</f>
        <v>1</v>
      </c>
      <c r="CL137" s="79" t="n">
        <f aca="false">CF137=O137</f>
        <v>1</v>
      </c>
      <c r="CM137" s="79" t="n">
        <f aca="false">CG137=P137</f>
        <v>1</v>
      </c>
    </row>
    <row r="138" s="14" customFormat="true" ht="16.5" hidden="false" customHeight="true" outlineLevel="0" collapsed="false">
      <c r="E138" s="96" t="s">
        <v>151</v>
      </c>
      <c r="L138" s="82" t="n">
        <f aca="false">SUM(L136:L137)</f>
        <v>0</v>
      </c>
      <c r="M138" s="82" t="n">
        <f aca="false">SUM(M136:M137)</f>
        <v>0</v>
      </c>
      <c r="N138" s="82" t="n">
        <f aca="false">SUM(N136:N137)</f>
        <v>0</v>
      </c>
      <c r="O138" s="82" t="n">
        <f aca="false">SUM(O136:O137)</f>
        <v>0</v>
      </c>
      <c r="P138" s="82" t="n">
        <f aca="false">SUM(P136:P137)</f>
        <v>0</v>
      </c>
      <c r="Q138" s="16"/>
      <c r="R138" s="16"/>
      <c r="T138" s="131" t="n">
        <f aca="false">SUM(T136:T137)</f>
        <v>0</v>
      </c>
      <c r="U138" s="131" t="n">
        <f aca="false">SUM(U136:U137)</f>
        <v>0</v>
      </c>
      <c r="V138" s="131" t="n">
        <f aca="false">SUM(V136:V137)</f>
        <v>0</v>
      </c>
      <c r="W138" s="131" t="n">
        <f aca="false">SUM(W136:W137)</f>
        <v>0</v>
      </c>
      <c r="X138" s="131" t="n">
        <f aca="false">SUM(X136:X137)</f>
        <v>0</v>
      </c>
      <c r="Y138" s="131" t="n">
        <f aca="false">SUM(Y136:Y137)</f>
        <v>0</v>
      </c>
      <c r="Z138" s="131" t="n">
        <f aca="false">SUM(Z136:Z137)</f>
        <v>0</v>
      </c>
      <c r="AA138" s="131" t="n">
        <f aca="false">SUM(AA136:AA137)</f>
        <v>0</v>
      </c>
      <c r="AB138" s="131" t="n">
        <f aca="false">SUM(AB136:AB137)</f>
        <v>0</v>
      </c>
      <c r="AC138" s="131" t="n">
        <f aca="false">SUM(AC136:AC137)</f>
        <v>0</v>
      </c>
      <c r="AD138" s="131" t="n">
        <f aca="false">SUM(AD136:AD137)</f>
        <v>0</v>
      </c>
      <c r="AE138" s="131" t="n">
        <f aca="false">SUM(AE136:AE137)</f>
        <v>0</v>
      </c>
      <c r="AF138" s="131" t="n">
        <f aca="false">SUM(AF136:AF137)</f>
        <v>0</v>
      </c>
      <c r="AG138" s="131" t="n">
        <f aca="false">SUM(AG136:AG137)</f>
        <v>0</v>
      </c>
      <c r="AH138" s="131" t="n">
        <f aca="false">SUM(AH136:AH137)</f>
        <v>0</v>
      </c>
      <c r="AI138" s="131" t="n">
        <f aca="false">SUM(AI136:AI137)</f>
        <v>0</v>
      </c>
      <c r="AJ138" s="131" t="n">
        <f aca="false">SUM(AJ136:AJ137)</f>
        <v>0</v>
      </c>
      <c r="AK138" s="131" t="n">
        <f aca="false">SUM(AK136:AK137)</f>
        <v>0</v>
      </c>
      <c r="AL138" s="131" t="n">
        <f aca="false">SUM(AL136:AL137)</f>
        <v>0</v>
      </c>
      <c r="AM138" s="131" t="n">
        <f aca="false">SUM(AM136:AM137)</f>
        <v>0</v>
      </c>
      <c r="AN138" s="131" t="n">
        <f aca="false">SUM(AN136:AN137)</f>
        <v>0</v>
      </c>
      <c r="AO138" s="131" t="n">
        <f aca="false">SUM(AO136:AO137)</f>
        <v>0</v>
      </c>
      <c r="AP138" s="131" t="n">
        <f aca="false">SUM(AP136:AP137)</f>
        <v>0</v>
      </c>
      <c r="AQ138" s="131" t="n">
        <f aca="false">SUM(AQ136:AQ137)</f>
        <v>0</v>
      </c>
      <c r="AR138" s="131" t="n">
        <f aca="false">SUM(AR136:AR137)</f>
        <v>0</v>
      </c>
      <c r="AS138" s="131" t="n">
        <f aca="false">SUM(AS136:AS137)</f>
        <v>0</v>
      </c>
      <c r="AT138" s="131" t="n">
        <f aca="false">SUM(AT136:AT137)</f>
        <v>0</v>
      </c>
      <c r="AU138" s="131" t="n">
        <f aca="false">SUM(AU136:AU137)</f>
        <v>0</v>
      </c>
      <c r="AV138" s="131" t="n">
        <f aca="false">SUM(AV136:AV137)</f>
        <v>0</v>
      </c>
      <c r="AW138" s="131" t="n">
        <f aca="false">SUM(AW136:AW137)</f>
        <v>0</v>
      </c>
      <c r="AX138" s="131" t="n">
        <f aca="false">SUM(AX136:AX137)</f>
        <v>0</v>
      </c>
      <c r="AY138" s="131" t="n">
        <f aca="false">SUM(AY136:AY137)</f>
        <v>0</v>
      </c>
      <c r="AZ138" s="131" t="n">
        <f aca="false">SUM(AZ136:AZ137)</f>
        <v>0</v>
      </c>
      <c r="BA138" s="131" t="n">
        <f aca="false">SUM(BA136:BA137)</f>
        <v>0</v>
      </c>
      <c r="BB138" s="131" t="n">
        <f aca="false">SUM(BB136:BB137)</f>
        <v>0</v>
      </c>
      <c r="BC138" s="131" t="n">
        <f aca="false">SUM(BC136:BC137)</f>
        <v>0</v>
      </c>
      <c r="BD138" s="131" t="n">
        <f aca="false">SUM(BD136:BD137)</f>
        <v>0</v>
      </c>
      <c r="BE138" s="131" t="n">
        <f aca="false">SUM(BE136:BE137)</f>
        <v>0</v>
      </c>
      <c r="BF138" s="131" t="n">
        <f aca="false">SUM(BF136:BF137)</f>
        <v>0</v>
      </c>
      <c r="BG138" s="131" t="n">
        <f aca="false">SUM(BG136:BG137)</f>
        <v>0</v>
      </c>
      <c r="BH138" s="131" t="n">
        <f aca="false">SUM(BH136:BH137)</f>
        <v>0</v>
      </c>
      <c r="BI138" s="131" t="n">
        <f aca="false">SUM(BI136:BI137)</f>
        <v>0</v>
      </c>
      <c r="BJ138" s="131" t="n">
        <f aca="false">SUM(BJ136:BJ137)</f>
        <v>0</v>
      </c>
      <c r="BK138" s="131" t="n">
        <f aca="false">SUM(BK136:BK137)</f>
        <v>0</v>
      </c>
      <c r="BL138" s="131" t="n">
        <f aca="false">SUM(BL136:BL137)</f>
        <v>0</v>
      </c>
      <c r="BM138" s="131" t="n">
        <f aca="false">SUM(BM136:BM137)</f>
        <v>0</v>
      </c>
      <c r="BN138" s="131" t="n">
        <f aca="false">SUM(BN136:BN137)</f>
        <v>0</v>
      </c>
      <c r="BO138" s="131" t="n">
        <f aca="false">SUM(BO136:BO137)</f>
        <v>0</v>
      </c>
      <c r="BP138" s="131" t="n">
        <f aca="false">SUM(BP136:BP137)</f>
        <v>0</v>
      </c>
      <c r="BQ138" s="131" t="n">
        <f aca="false">SUM(BQ136:BQ137)</f>
        <v>0</v>
      </c>
      <c r="BR138" s="131" t="n">
        <f aca="false">SUM(BR136:BR137)</f>
        <v>0</v>
      </c>
      <c r="BS138" s="131" t="n">
        <f aca="false">SUM(BS136:BS137)</f>
        <v>0</v>
      </c>
      <c r="BT138" s="131" t="n">
        <f aca="false">SUM(BT136:BT137)</f>
        <v>0</v>
      </c>
      <c r="BU138" s="131" t="n">
        <f aca="false">SUM(BU136:BU137)</f>
        <v>0</v>
      </c>
      <c r="BV138" s="131" t="n">
        <f aca="false">SUM(BV136:BV137)</f>
        <v>0</v>
      </c>
      <c r="BW138" s="131" t="n">
        <f aca="false">SUM(BW136:BW137)</f>
        <v>0</v>
      </c>
      <c r="BX138" s="131" t="n">
        <f aca="false">SUM(BX136:BX137)</f>
        <v>0</v>
      </c>
      <c r="BY138" s="131" t="n">
        <f aca="false">SUM(BY136:BY137)</f>
        <v>0</v>
      </c>
      <c r="BZ138" s="136" t="n">
        <f aca="false">SUM(BZ136:BZ137)</f>
        <v>0</v>
      </c>
      <c r="CA138" s="136" t="n">
        <f aca="false">SUM(CA136:CA137)</f>
        <v>0</v>
      </c>
      <c r="CC138" s="136" t="n">
        <f aca="false">SUM(CC136:CC137)</f>
        <v>0</v>
      </c>
      <c r="CD138" s="136" t="n">
        <f aca="false">SUM(CD136:CD137)</f>
        <v>0</v>
      </c>
      <c r="CE138" s="136" t="n">
        <f aca="false">SUM(CE136:CE137)</f>
        <v>0</v>
      </c>
      <c r="CF138" s="136" t="n">
        <f aca="false">SUM(CF136:CF137)</f>
        <v>0</v>
      </c>
      <c r="CG138" s="136" t="n">
        <f aca="false">SUM(CG136:CG137)</f>
        <v>0</v>
      </c>
      <c r="CI138" s="136" t="n">
        <f aca="false">CC138=L138</f>
        <v>1</v>
      </c>
      <c r="CJ138" s="136" t="n">
        <f aca="false">CD138=M138</f>
        <v>1</v>
      </c>
      <c r="CK138" s="136" t="n">
        <f aca="false">CE138=N138</f>
        <v>1</v>
      </c>
      <c r="CL138" s="136" t="n">
        <f aca="false">CF138=O138</f>
        <v>1</v>
      </c>
      <c r="CM138" s="136" t="n">
        <f aca="false">CG138=P138</f>
        <v>1</v>
      </c>
    </row>
    <row r="139" s="14" customFormat="true" ht="16.5" hidden="false" customHeight="true" outlineLevel="0" collapsed="false">
      <c r="L139" s="88"/>
      <c r="M139" s="88"/>
      <c r="N139" s="88"/>
      <c r="O139" s="88"/>
      <c r="P139" s="88"/>
      <c r="Q139" s="16"/>
      <c r="R139" s="16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21"/>
      <c r="CA139" s="121"/>
    </row>
    <row r="140" s="14" customFormat="true" ht="16.5" hidden="false" customHeight="true" outlineLevel="0" collapsed="false">
      <c r="E140" s="21" t="s">
        <v>152</v>
      </c>
      <c r="L140" s="88"/>
      <c r="M140" s="88"/>
      <c r="N140" s="88"/>
      <c r="O140" s="88"/>
      <c r="P140" s="88"/>
      <c r="Q140" s="16"/>
      <c r="R140" s="16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21"/>
      <c r="CA140" s="121"/>
    </row>
    <row r="141" s="14" customFormat="true" ht="16.5" hidden="false" customHeight="true" outlineLevel="0" collapsed="false">
      <c r="E141" s="91"/>
      <c r="K141" s="29"/>
      <c r="L141" s="91"/>
      <c r="M141" s="91"/>
      <c r="N141" s="91"/>
      <c r="O141" s="91"/>
      <c r="P141" s="91"/>
      <c r="Q141" s="93"/>
      <c r="R141" s="16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8"/>
      <c r="CA141" s="138"/>
      <c r="CC141" s="79" t="n">
        <f aca="false">SUMIFS($T141:$CA141, $T$1:$CA$1, CC$63)</f>
        <v>0</v>
      </c>
      <c r="CD141" s="79" t="n">
        <f aca="false">SUMIFS($T141:$CA141, $T$1:$CA$1, CD$63)</f>
        <v>0</v>
      </c>
      <c r="CE141" s="79" t="n">
        <f aca="false">SUMIFS($T141:$CA141, $T$1:$CA$1, CE$63)</f>
        <v>0</v>
      </c>
      <c r="CF141" s="79" t="n">
        <f aca="false">SUMIFS($T141:$CA141, $T$1:$CA$1, CF$63)</f>
        <v>0</v>
      </c>
      <c r="CG141" s="79" t="n">
        <f aca="false">SUMIFS($T141:$CA141, $T$1:$CA$1, CG$63)</f>
        <v>0</v>
      </c>
      <c r="CI141" s="79" t="n">
        <f aca="false">CC141=L141</f>
        <v>1</v>
      </c>
      <c r="CJ141" s="79" t="n">
        <f aca="false">CD141=M141</f>
        <v>1</v>
      </c>
      <c r="CK141" s="79" t="n">
        <f aca="false">CE141=N141</f>
        <v>1</v>
      </c>
      <c r="CL141" s="79" t="n">
        <f aca="false">CF141=O141</f>
        <v>1</v>
      </c>
      <c r="CM141" s="79" t="n">
        <f aca="false">CG141=P141</f>
        <v>1</v>
      </c>
    </row>
    <row r="142" s="14" customFormat="true" ht="16.5" hidden="false" customHeight="true" outlineLevel="0" collapsed="false">
      <c r="E142" s="91"/>
      <c r="L142" s="91"/>
      <c r="M142" s="91"/>
      <c r="N142" s="91"/>
      <c r="O142" s="91"/>
      <c r="P142" s="91"/>
      <c r="Q142" s="93"/>
      <c r="R142" s="16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8"/>
      <c r="CA142" s="138"/>
      <c r="CC142" s="79" t="n">
        <f aca="false">SUMIFS($T142:$CA142, $T$1:$CA$1, CC$63)</f>
        <v>0</v>
      </c>
      <c r="CD142" s="79" t="n">
        <f aca="false">SUMIFS($T142:$CA142, $T$1:$CA$1, CD$63)</f>
        <v>0</v>
      </c>
      <c r="CE142" s="79" t="n">
        <f aca="false">SUMIFS($T142:$CA142, $T$1:$CA$1, CE$63)</f>
        <v>0</v>
      </c>
      <c r="CF142" s="79" t="n">
        <f aca="false">SUMIFS($T142:$CA142, $T$1:$CA$1, CF$63)</f>
        <v>0</v>
      </c>
      <c r="CG142" s="79" t="n">
        <f aca="false">SUMIFS($T142:$CA142, $T$1:$CA$1, CG$63)</f>
        <v>0</v>
      </c>
      <c r="CI142" s="79" t="n">
        <f aca="false">CC142=L142</f>
        <v>1</v>
      </c>
      <c r="CJ142" s="79" t="n">
        <f aca="false">CD142=M142</f>
        <v>1</v>
      </c>
      <c r="CK142" s="79" t="n">
        <f aca="false">CE142=N142</f>
        <v>1</v>
      </c>
      <c r="CL142" s="79" t="n">
        <f aca="false">CF142=O142</f>
        <v>1</v>
      </c>
      <c r="CM142" s="79" t="n">
        <f aca="false">CG142=P142</f>
        <v>1</v>
      </c>
    </row>
    <row r="143" s="14" customFormat="true" ht="16.5" hidden="false" customHeight="true" outlineLevel="0" collapsed="false">
      <c r="E143" s="91"/>
      <c r="L143" s="91"/>
      <c r="M143" s="91"/>
      <c r="N143" s="91"/>
      <c r="O143" s="91"/>
      <c r="P143" s="91"/>
      <c r="Q143" s="93"/>
      <c r="R143" s="16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8"/>
      <c r="CA143" s="138"/>
      <c r="CC143" s="79" t="n">
        <f aca="false">SUMIFS($T143:$CA143, $T$1:$CA$1, CC$63)</f>
        <v>0</v>
      </c>
      <c r="CD143" s="79" t="n">
        <f aca="false">SUMIFS($T143:$CA143, $T$1:$CA$1, CD$63)</f>
        <v>0</v>
      </c>
      <c r="CE143" s="79" t="n">
        <f aca="false">SUMIFS($T143:$CA143, $T$1:$CA$1, CE$63)</f>
        <v>0</v>
      </c>
      <c r="CF143" s="79" t="n">
        <f aca="false">SUMIFS($T143:$CA143, $T$1:$CA$1, CF$63)</f>
        <v>0</v>
      </c>
      <c r="CG143" s="79" t="n">
        <f aca="false">SUMIFS($T143:$CA143, $T$1:$CA$1, CG$63)</f>
        <v>0</v>
      </c>
      <c r="CI143" s="79" t="n">
        <f aca="false">CC143=L143</f>
        <v>1</v>
      </c>
      <c r="CJ143" s="79" t="n">
        <f aca="false">CD143=M143</f>
        <v>1</v>
      </c>
      <c r="CK143" s="79" t="n">
        <f aca="false">CE143=N143</f>
        <v>1</v>
      </c>
      <c r="CL143" s="79" t="n">
        <f aca="false">CF143=O143</f>
        <v>1</v>
      </c>
      <c r="CM143" s="79" t="n">
        <f aca="false">CG143=P143</f>
        <v>1</v>
      </c>
    </row>
    <row r="144" s="14" customFormat="true" ht="16.5" hidden="false" customHeight="true" outlineLevel="0" collapsed="false">
      <c r="E144" s="96" t="s">
        <v>153</v>
      </c>
      <c r="L144" s="82" t="n">
        <f aca="false">SUM(L141:L143)</f>
        <v>0</v>
      </c>
      <c r="M144" s="82" t="n">
        <f aca="false">SUM(M141:M143)</f>
        <v>0</v>
      </c>
      <c r="N144" s="82" t="n">
        <f aca="false">SUM(N141:N143)</f>
        <v>0</v>
      </c>
      <c r="O144" s="82" t="n">
        <f aca="false">SUM(O141:O143)</f>
        <v>0</v>
      </c>
      <c r="P144" s="82" t="n">
        <f aca="false">SUM(P141:P143)</f>
        <v>0</v>
      </c>
      <c r="Q144" s="16"/>
      <c r="R144" s="16"/>
      <c r="T144" s="131" t="n">
        <f aca="false">SUM(T141:T143)</f>
        <v>0</v>
      </c>
      <c r="U144" s="131" t="n">
        <f aca="false">SUM(U141:U143)</f>
        <v>0</v>
      </c>
      <c r="V144" s="131" t="n">
        <f aca="false">SUM(V141:V143)</f>
        <v>0</v>
      </c>
      <c r="W144" s="131" t="n">
        <f aca="false">SUM(W141:W143)</f>
        <v>0</v>
      </c>
      <c r="X144" s="131" t="n">
        <f aca="false">SUM(X141:X143)</f>
        <v>0</v>
      </c>
      <c r="Y144" s="131" t="n">
        <f aca="false">SUM(Y141:Y143)</f>
        <v>0</v>
      </c>
      <c r="Z144" s="131" t="n">
        <f aca="false">SUM(Z141:Z143)</f>
        <v>0</v>
      </c>
      <c r="AA144" s="131" t="n">
        <f aca="false">SUM(AA141:AA143)</f>
        <v>0</v>
      </c>
      <c r="AB144" s="131" t="n">
        <f aca="false">SUM(AB141:AB143)</f>
        <v>0</v>
      </c>
      <c r="AC144" s="131" t="n">
        <f aca="false">SUM(AC141:AC143)</f>
        <v>0</v>
      </c>
      <c r="AD144" s="131" t="n">
        <f aca="false">SUM(AD141:AD143)</f>
        <v>0</v>
      </c>
      <c r="AE144" s="131" t="n">
        <f aca="false">SUM(AE141:AE143)</f>
        <v>0</v>
      </c>
      <c r="AF144" s="131" t="n">
        <f aca="false">SUM(AF141:AF143)</f>
        <v>0</v>
      </c>
      <c r="AG144" s="131" t="n">
        <f aca="false">SUM(AG141:AG143)</f>
        <v>0</v>
      </c>
      <c r="AH144" s="131" t="n">
        <f aca="false">SUM(AH141:AH143)</f>
        <v>0</v>
      </c>
      <c r="AI144" s="131" t="n">
        <f aca="false">SUM(AI141:AI143)</f>
        <v>0</v>
      </c>
      <c r="AJ144" s="131" t="n">
        <f aca="false">SUM(AJ141:AJ143)</f>
        <v>0</v>
      </c>
      <c r="AK144" s="131" t="n">
        <f aca="false">SUM(AK141:AK143)</f>
        <v>0</v>
      </c>
      <c r="AL144" s="131" t="n">
        <f aca="false">SUM(AL141:AL143)</f>
        <v>0</v>
      </c>
      <c r="AM144" s="131" t="n">
        <f aca="false">SUM(AM141:AM143)</f>
        <v>0</v>
      </c>
      <c r="AN144" s="131" t="n">
        <f aca="false">SUM(AN141:AN143)</f>
        <v>0</v>
      </c>
      <c r="AO144" s="131" t="n">
        <f aca="false">SUM(AO141:AO143)</f>
        <v>0</v>
      </c>
      <c r="AP144" s="131" t="n">
        <f aca="false">SUM(AP141:AP143)</f>
        <v>0</v>
      </c>
      <c r="AQ144" s="131" t="n">
        <f aca="false">SUM(AQ141:AQ143)</f>
        <v>0</v>
      </c>
      <c r="AR144" s="131" t="n">
        <f aca="false">SUM(AR141:AR143)</f>
        <v>0</v>
      </c>
      <c r="AS144" s="131" t="n">
        <f aca="false">SUM(AS141:AS143)</f>
        <v>0</v>
      </c>
      <c r="AT144" s="131" t="n">
        <f aca="false">SUM(AT141:AT143)</f>
        <v>0</v>
      </c>
      <c r="AU144" s="131" t="n">
        <f aca="false">SUM(AU141:AU143)</f>
        <v>0</v>
      </c>
      <c r="AV144" s="131" t="n">
        <f aca="false">SUM(AV141:AV143)</f>
        <v>0</v>
      </c>
      <c r="AW144" s="131" t="n">
        <f aca="false">SUM(AW141:AW143)</f>
        <v>0</v>
      </c>
      <c r="AX144" s="131" t="n">
        <f aca="false">SUM(AX141:AX143)</f>
        <v>0</v>
      </c>
      <c r="AY144" s="131" t="n">
        <f aca="false">SUM(AY141:AY143)</f>
        <v>0</v>
      </c>
      <c r="AZ144" s="131" t="n">
        <f aca="false">SUM(AZ141:AZ143)</f>
        <v>0</v>
      </c>
      <c r="BA144" s="131" t="n">
        <f aca="false">SUM(BA141:BA143)</f>
        <v>0</v>
      </c>
      <c r="BB144" s="131" t="n">
        <f aca="false">SUM(BB141:BB143)</f>
        <v>0</v>
      </c>
      <c r="BC144" s="131" t="n">
        <f aca="false">SUM(BC141:BC143)</f>
        <v>0</v>
      </c>
      <c r="BD144" s="131" t="n">
        <f aca="false">SUM(BD141:BD143)</f>
        <v>0</v>
      </c>
      <c r="BE144" s="131" t="n">
        <f aca="false">SUM(BE141:BE143)</f>
        <v>0</v>
      </c>
      <c r="BF144" s="131" t="n">
        <f aca="false">SUM(BF141:BF143)</f>
        <v>0</v>
      </c>
      <c r="BG144" s="131" t="n">
        <f aca="false">SUM(BG141:BG143)</f>
        <v>0</v>
      </c>
      <c r="BH144" s="131" t="n">
        <f aca="false">SUM(BH141:BH143)</f>
        <v>0</v>
      </c>
      <c r="BI144" s="131" t="n">
        <f aca="false">SUM(BI141:BI143)</f>
        <v>0</v>
      </c>
      <c r="BJ144" s="131" t="n">
        <f aca="false">SUM(BJ141:BJ143)</f>
        <v>0</v>
      </c>
      <c r="BK144" s="131" t="n">
        <f aca="false">SUM(BK141:BK143)</f>
        <v>0</v>
      </c>
      <c r="BL144" s="131" t="n">
        <f aca="false">SUM(BL141:BL143)</f>
        <v>0</v>
      </c>
      <c r="BM144" s="131" t="n">
        <f aca="false">SUM(BM141:BM143)</f>
        <v>0</v>
      </c>
      <c r="BN144" s="131" t="n">
        <f aca="false">SUM(BN141:BN143)</f>
        <v>0</v>
      </c>
      <c r="BO144" s="131" t="n">
        <f aca="false">SUM(BO141:BO143)</f>
        <v>0</v>
      </c>
      <c r="BP144" s="131" t="n">
        <f aca="false">SUM(BP141:BP143)</f>
        <v>0</v>
      </c>
      <c r="BQ144" s="131" t="n">
        <f aca="false">SUM(BQ141:BQ143)</f>
        <v>0</v>
      </c>
      <c r="BR144" s="131" t="n">
        <f aca="false">SUM(BR141:BR143)</f>
        <v>0</v>
      </c>
      <c r="BS144" s="131" t="n">
        <f aca="false">SUM(BS141:BS143)</f>
        <v>0</v>
      </c>
      <c r="BT144" s="131" t="n">
        <f aca="false">SUM(BT141:BT143)</f>
        <v>0</v>
      </c>
      <c r="BU144" s="131" t="n">
        <f aca="false">SUM(BU141:BU143)</f>
        <v>0</v>
      </c>
      <c r="BV144" s="131" t="n">
        <f aca="false">SUM(BV141:BV143)</f>
        <v>0</v>
      </c>
      <c r="BW144" s="131" t="n">
        <f aca="false">SUM(BW141:BW143)</f>
        <v>0</v>
      </c>
      <c r="BX144" s="131" t="n">
        <f aca="false">SUM(BX141:BX143)</f>
        <v>0</v>
      </c>
      <c r="BY144" s="131" t="n">
        <f aca="false">SUM(BY141:BY143)</f>
        <v>0</v>
      </c>
      <c r="BZ144" s="136" t="n">
        <f aca="false">SUM(BZ141:BZ143)</f>
        <v>0</v>
      </c>
      <c r="CA144" s="136" t="n">
        <f aca="false">SUM(CA141:CA143)</f>
        <v>0</v>
      </c>
      <c r="CC144" s="136" t="n">
        <f aca="false">SUM(CC141:CC143)</f>
        <v>0</v>
      </c>
      <c r="CD144" s="136" t="n">
        <f aca="false">SUM(CD141:CD143)</f>
        <v>0</v>
      </c>
      <c r="CE144" s="136" t="n">
        <f aca="false">SUM(CE141:CE143)</f>
        <v>0</v>
      </c>
      <c r="CF144" s="136" t="n">
        <f aca="false">SUM(CF141:CF143)</f>
        <v>0</v>
      </c>
      <c r="CG144" s="136" t="n">
        <f aca="false">SUM(CG141:CG143)</f>
        <v>0</v>
      </c>
      <c r="CI144" s="136" t="n">
        <f aca="false">CC144=L144</f>
        <v>1</v>
      </c>
      <c r="CJ144" s="136" t="n">
        <f aca="false">CD144=M144</f>
        <v>1</v>
      </c>
      <c r="CK144" s="136" t="n">
        <f aca="false">CE144=N144</f>
        <v>1</v>
      </c>
      <c r="CL144" s="136" t="n">
        <f aca="false">CF144=O144</f>
        <v>1</v>
      </c>
      <c r="CM144" s="136" t="n">
        <f aca="false">CG144=P144</f>
        <v>1</v>
      </c>
    </row>
    <row r="145" s="14" customFormat="true" ht="16.5" hidden="false" customHeight="true" outlineLevel="0" collapsed="false">
      <c r="E145" s="96"/>
      <c r="L145" s="82"/>
      <c r="M145" s="82"/>
      <c r="N145" s="82"/>
      <c r="O145" s="82"/>
      <c r="P145" s="82"/>
      <c r="Q145" s="16"/>
      <c r="R145" s="16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6"/>
      <c r="CA145" s="136"/>
    </row>
    <row r="146" s="14" customFormat="true" ht="16.5" hidden="false" customHeight="true" outlineLevel="0" collapsed="false">
      <c r="E146" s="96"/>
      <c r="L146" s="82"/>
      <c r="M146" s="82"/>
      <c r="N146" s="82"/>
      <c r="O146" s="82"/>
      <c r="P146" s="82"/>
      <c r="Q146" s="16"/>
      <c r="R146" s="16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6"/>
      <c r="CA146" s="136"/>
    </row>
    <row r="147" s="14" customFormat="true" ht="16.5" hidden="false" customHeight="true" outlineLevel="0" collapsed="false">
      <c r="E147" s="109" t="s">
        <v>154</v>
      </c>
      <c r="F147" s="109"/>
      <c r="G147" s="109"/>
      <c r="H147" s="109"/>
      <c r="I147" s="132"/>
      <c r="J147" s="132"/>
      <c r="K147" s="132"/>
      <c r="L147" s="120" t="n">
        <f aca="false">SUM(L138, L144)</f>
        <v>0</v>
      </c>
      <c r="M147" s="120" t="n">
        <f aca="false">SUM(M138, M144)</f>
        <v>0</v>
      </c>
      <c r="N147" s="120" t="n">
        <f aca="false">SUM(N138, N144)</f>
        <v>0</v>
      </c>
      <c r="O147" s="120" t="n">
        <f aca="false">SUM(O138, O144)</f>
        <v>0</v>
      </c>
      <c r="P147" s="120" t="n">
        <f aca="false">SUM(P138, P144)</f>
        <v>0</v>
      </c>
      <c r="Q147" s="139"/>
      <c r="R147" s="139"/>
      <c r="T147" s="120" t="n">
        <f aca="false">SUM(T138, T144)</f>
        <v>0</v>
      </c>
      <c r="U147" s="120" t="n">
        <f aca="false">SUM(U138, U144)</f>
        <v>0</v>
      </c>
      <c r="V147" s="120" t="n">
        <f aca="false">SUM(V138, V144)</f>
        <v>0</v>
      </c>
      <c r="W147" s="120" t="n">
        <f aca="false">SUM(W138, W144)</f>
        <v>0</v>
      </c>
      <c r="X147" s="120" t="n">
        <f aca="false">SUM(X138, X144)</f>
        <v>0</v>
      </c>
      <c r="Y147" s="120" t="n">
        <f aca="false">SUM(Y138, Y144)</f>
        <v>0</v>
      </c>
      <c r="Z147" s="120" t="n">
        <f aca="false">SUM(Z138, Z144)</f>
        <v>0</v>
      </c>
      <c r="AA147" s="120" t="n">
        <f aca="false">SUM(AA138, AA144)</f>
        <v>0</v>
      </c>
      <c r="AB147" s="120" t="n">
        <f aca="false">SUM(AB138, AB144)</f>
        <v>0</v>
      </c>
      <c r="AC147" s="120" t="n">
        <f aca="false">SUM(AC138, AC144)</f>
        <v>0</v>
      </c>
      <c r="AD147" s="120" t="n">
        <f aca="false">SUM(AD138, AD144)</f>
        <v>0</v>
      </c>
      <c r="AE147" s="120" t="n">
        <f aca="false">SUM(AE138, AE144)</f>
        <v>0</v>
      </c>
      <c r="AF147" s="120" t="n">
        <f aca="false">SUM(AF138, AF144)</f>
        <v>0</v>
      </c>
      <c r="AG147" s="120" t="n">
        <f aca="false">SUM(AG138, AG144)</f>
        <v>0</v>
      </c>
      <c r="AH147" s="120" t="n">
        <f aca="false">SUM(AH138, AH144)</f>
        <v>0</v>
      </c>
      <c r="AI147" s="120" t="n">
        <f aca="false">SUM(AI138, AI144)</f>
        <v>0</v>
      </c>
      <c r="AJ147" s="120" t="n">
        <f aca="false">SUM(AJ138, AJ144)</f>
        <v>0</v>
      </c>
      <c r="AK147" s="120" t="n">
        <f aca="false">SUM(AK138, AK144)</f>
        <v>0</v>
      </c>
      <c r="AL147" s="120" t="n">
        <f aca="false">SUM(AL138, AL144)</f>
        <v>0</v>
      </c>
      <c r="AM147" s="120" t="n">
        <f aca="false">SUM(AM138, AM144)</f>
        <v>0</v>
      </c>
      <c r="AN147" s="120" t="n">
        <f aca="false">SUM(AN138, AN144)</f>
        <v>0</v>
      </c>
      <c r="AO147" s="120" t="n">
        <f aca="false">SUM(AO138, AO144)</f>
        <v>0</v>
      </c>
      <c r="AP147" s="120" t="n">
        <f aca="false">SUM(AP138, AP144)</f>
        <v>0</v>
      </c>
      <c r="AQ147" s="120" t="n">
        <f aca="false">SUM(AQ138, AQ144)</f>
        <v>0</v>
      </c>
      <c r="AR147" s="120" t="n">
        <f aca="false">SUM(AR138, AR144)</f>
        <v>0</v>
      </c>
      <c r="AS147" s="120" t="n">
        <f aca="false">SUM(AS138, AS144)</f>
        <v>0</v>
      </c>
      <c r="AT147" s="120" t="n">
        <f aca="false">SUM(AT138, AT144)</f>
        <v>0</v>
      </c>
      <c r="AU147" s="120" t="n">
        <f aca="false">SUM(AU138, AU144)</f>
        <v>0</v>
      </c>
      <c r="AV147" s="120" t="n">
        <f aca="false">SUM(AV138, AV144)</f>
        <v>0</v>
      </c>
      <c r="AW147" s="120" t="n">
        <f aca="false">SUM(AW138, AW144)</f>
        <v>0</v>
      </c>
      <c r="AX147" s="120" t="n">
        <f aca="false">SUM(AX138, AX144)</f>
        <v>0</v>
      </c>
      <c r="AY147" s="120" t="n">
        <f aca="false">SUM(AY138, AY144)</f>
        <v>0</v>
      </c>
      <c r="AZ147" s="120" t="n">
        <f aca="false">SUM(AZ138, AZ144)</f>
        <v>0</v>
      </c>
      <c r="BA147" s="120" t="n">
        <f aca="false">SUM(BA138, BA144)</f>
        <v>0</v>
      </c>
      <c r="BB147" s="120" t="n">
        <f aca="false">SUM(BB138, BB144)</f>
        <v>0</v>
      </c>
      <c r="BC147" s="120" t="n">
        <f aca="false">SUM(BC138, BC144)</f>
        <v>0</v>
      </c>
      <c r="BD147" s="120" t="n">
        <f aca="false">SUM(BD138, BD144)</f>
        <v>0</v>
      </c>
      <c r="BE147" s="120" t="n">
        <f aca="false">SUM(BE138, BE144)</f>
        <v>0</v>
      </c>
      <c r="BF147" s="120" t="n">
        <f aca="false">SUM(BF138, BF144)</f>
        <v>0</v>
      </c>
      <c r="BG147" s="120" t="n">
        <f aca="false">SUM(BG138, BG144)</f>
        <v>0</v>
      </c>
      <c r="BH147" s="120" t="n">
        <f aca="false">SUM(BH138, BH144)</f>
        <v>0</v>
      </c>
      <c r="BI147" s="120" t="n">
        <f aca="false">SUM(BI138, BI144)</f>
        <v>0</v>
      </c>
      <c r="BJ147" s="120" t="n">
        <f aca="false">SUM(BJ138, BJ144)</f>
        <v>0</v>
      </c>
      <c r="BK147" s="120" t="n">
        <f aca="false">SUM(BK138, BK144)</f>
        <v>0</v>
      </c>
      <c r="BL147" s="120" t="n">
        <f aca="false">SUM(BL138, BL144)</f>
        <v>0</v>
      </c>
      <c r="BM147" s="120" t="n">
        <f aca="false">SUM(BM138, BM144)</f>
        <v>0</v>
      </c>
      <c r="BN147" s="120" t="n">
        <f aca="false">SUM(BN138, BN144)</f>
        <v>0</v>
      </c>
      <c r="BO147" s="120" t="n">
        <f aca="false">SUM(BO138, BO144)</f>
        <v>0</v>
      </c>
      <c r="BP147" s="120" t="n">
        <f aca="false">SUM(BP138, BP144)</f>
        <v>0</v>
      </c>
      <c r="BQ147" s="120" t="n">
        <f aca="false">SUM(BQ138, BQ144)</f>
        <v>0</v>
      </c>
      <c r="BR147" s="120" t="n">
        <f aca="false">SUM(BR138, BR144)</f>
        <v>0</v>
      </c>
      <c r="BS147" s="120" t="n">
        <f aca="false">SUM(BS138, BS144)</f>
        <v>0</v>
      </c>
      <c r="BT147" s="120" t="n">
        <f aca="false">SUM(BT138, BT144)</f>
        <v>0</v>
      </c>
      <c r="BU147" s="120" t="n">
        <f aca="false">SUM(BU138, BU144)</f>
        <v>0</v>
      </c>
      <c r="BV147" s="120" t="n">
        <f aca="false">SUM(BV138, BV144)</f>
        <v>0</v>
      </c>
      <c r="BW147" s="120" t="n">
        <f aca="false">SUM(BW138, BW144)</f>
        <v>0</v>
      </c>
      <c r="BX147" s="120" t="n">
        <f aca="false">SUM(BX138, BX144)</f>
        <v>0</v>
      </c>
      <c r="BY147" s="120" t="n">
        <f aca="false">SUM(BY138, BY144)</f>
        <v>0</v>
      </c>
      <c r="BZ147" s="120" t="n">
        <f aca="false">SUM(BZ138, BZ144)</f>
        <v>0</v>
      </c>
      <c r="CA147" s="120" t="n">
        <f aca="false">SUM(CA138, CA144)</f>
        <v>0</v>
      </c>
      <c r="CC147" s="120" t="n">
        <f aca="false">SUM(CC138, CC144)</f>
        <v>0</v>
      </c>
      <c r="CD147" s="120" t="n">
        <f aca="false">SUM(CD138, CD144)</f>
        <v>0</v>
      </c>
      <c r="CE147" s="120" t="n">
        <f aca="false">SUM(CE138, CE144)</f>
        <v>0</v>
      </c>
      <c r="CF147" s="120" t="n">
        <f aca="false">SUM(CF138, CF144)</f>
        <v>0</v>
      </c>
      <c r="CG147" s="120" t="n">
        <f aca="false">SUM(CG138, CG144)</f>
        <v>0</v>
      </c>
      <c r="CI147" s="140" t="n">
        <f aca="false">CC147=L147</f>
        <v>1</v>
      </c>
      <c r="CJ147" s="140" t="n">
        <f aca="false">CD147=M147</f>
        <v>1</v>
      </c>
      <c r="CK147" s="140" t="n">
        <f aca="false">CE147=N147</f>
        <v>1</v>
      </c>
      <c r="CL147" s="140" t="n">
        <f aca="false">CF147=O147</f>
        <v>1</v>
      </c>
      <c r="CM147" s="140" t="n">
        <f aca="false">CG147=P147</f>
        <v>1</v>
      </c>
    </row>
    <row r="148" s="14" customFormat="true" ht="16.5" hidden="false" customHeight="true" outlineLevel="0" collapsed="false">
      <c r="E148" s="21"/>
      <c r="L148" s="88"/>
      <c r="M148" s="88"/>
      <c r="N148" s="88"/>
      <c r="O148" s="88"/>
      <c r="P148" s="88"/>
      <c r="Q148" s="121"/>
      <c r="R148" s="121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21"/>
      <c r="CA148" s="121"/>
    </row>
    <row r="149" s="14" customFormat="true" ht="16.5" hidden="false" customHeight="true" outlineLevel="0" collapsed="false">
      <c r="E149" s="141" t="s">
        <v>428</v>
      </c>
      <c r="F149" s="123"/>
      <c r="G149" s="123"/>
      <c r="H149" s="123"/>
      <c r="I149" s="126"/>
      <c r="J149" s="126"/>
      <c r="K149" s="142"/>
      <c r="L149" s="125" t="n">
        <f aca="false">SUM(L130, -L147)</f>
        <v>0</v>
      </c>
      <c r="M149" s="125" t="n">
        <f aca="false">SUM(M130, -M147)</f>
        <v>0</v>
      </c>
      <c r="N149" s="125" t="n">
        <f aca="false">SUM(N130, -N147)</f>
        <v>0</v>
      </c>
      <c r="O149" s="125" t="n">
        <f aca="false">SUM(O130, -O147)</f>
        <v>0</v>
      </c>
      <c r="P149" s="125" t="n">
        <f aca="false">SUM(P130, -P147)</f>
        <v>0</v>
      </c>
      <c r="Q149" s="143"/>
      <c r="R149" s="143"/>
      <c r="T149" s="144" t="n">
        <f aca="false">SUM(T130, -T147)</f>
        <v>0</v>
      </c>
      <c r="U149" s="144" t="n">
        <f aca="false">SUM(U130, -U147)</f>
        <v>0</v>
      </c>
      <c r="V149" s="144" t="n">
        <f aca="false">SUM(V130, -V147)</f>
        <v>0</v>
      </c>
      <c r="W149" s="144" t="n">
        <f aca="false">SUM(W130, -W147)</f>
        <v>0</v>
      </c>
      <c r="X149" s="144" t="n">
        <f aca="false">SUM(X130, -X147)</f>
        <v>0</v>
      </c>
      <c r="Y149" s="144" t="n">
        <f aca="false">SUM(Y130, -Y147)</f>
        <v>0</v>
      </c>
      <c r="Z149" s="144" t="n">
        <f aca="false">SUM(Z130, -Z147)</f>
        <v>0</v>
      </c>
      <c r="AA149" s="144" t="n">
        <f aca="false">SUM(AA130, -AA147)</f>
        <v>0</v>
      </c>
      <c r="AB149" s="144" t="n">
        <f aca="false">SUM(AB130, -AB147)</f>
        <v>0</v>
      </c>
      <c r="AC149" s="144" t="n">
        <f aca="false">SUM(AC130, -AC147)</f>
        <v>0</v>
      </c>
      <c r="AD149" s="144" t="n">
        <f aca="false">SUM(AD130, -AD147)</f>
        <v>0</v>
      </c>
      <c r="AE149" s="144" t="n">
        <f aca="false">SUM(AE130, -AE147)</f>
        <v>0</v>
      </c>
      <c r="AF149" s="144" t="n">
        <f aca="false">SUM(AF130, -AF147)</f>
        <v>0</v>
      </c>
      <c r="AG149" s="144" t="n">
        <f aca="false">SUM(AG130, -AG147)</f>
        <v>0</v>
      </c>
      <c r="AH149" s="144" t="n">
        <f aca="false">SUM(AH130, -AH147)</f>
        <v>0</v>
      </c>
      <c r="AI149" s="144" t="n">
        <f aca="false">SUM(AI130, -AI147)</f>
        <v>0</v>
      </c>
      <c r="AJ149" s="144" t="n">
        <f aca="false">SUM(AJ130, -AJ147)</f>
        <v>0</v>
      </c>
      <c r="AK149" s="144" t="n">
        <f aca="false">SUM(AK130, -AK147)</f>
        <v>0</v>
      </c>
      <c r="AL149" s="144" t="n">
        <f aca="false">SUM(AL130, -AL147)</f>
        <v>0</v>
      </c>
      <c r="AM149" s="144" t="n">
        <f aca="false">SUM(AM130, -AM147)</f>
        <v>0</v>
      </c>
      <c r="AN149" s="144" t="n">
        <f aca="false">SUM(AN130, -AN147)</f>
        <v>0</v>
      </c>
      <c r="AO149" s="144" t="n">
        <f aca="false">SUM(AO130, -AO147)</f>
        <v>0</v>
      </c>
      <c r="AP149" s="144" t="n">
        <f aca="false">SUM(AP130, -AP147)</f>
        <v>0</v>
      </c>
      <c r="AQ149" s="144" t="n">
        <f aca="false">SUM(AQ130, -AQ147)</f>
        <v>0</v>
      </c>
      <c r="AR149" s="144" t="n">
        <f aca="false">SUM(AR130, -AR147)</f>
        <v>0</v>
      </c>
      <c r="AS149" s="144" t="n">
        <f aca="false">SUM(AS130, -AS147)</f>
        <v>0</v>
      </c>
      <c r="AT149" s="144" t="n">
        <f aca="false">SUM(AT130, -AT147)</f>
        <v>0</v>
      </c>
      <c r="AU149" s="144" t="n">
        <f aca="false">SUM(AU130, -AU147)</f>
        <v>0</v>
      </c>
      <c r="AV149" s="144" t="n">
        <f aca="false">SUM(AV130, -AV147)</f>
        <v>0</v>
      </c>
      <c r="AW149" s="144" t="n">
        <f aca="false">SUM(AW130, -AW147)</f>
        <v>0</v>
      </c>
      <c r="AX149" s="144" t="n">
        <f aca="false">SUM(AX130, -AX147)</f>
        <v>0</v>
      </c>
      <c r="AY149" s="144" t="n">
        <f aca="false">SUM(AY130, -AY147)</f>
        <v>0</v>
      </c>
      <c r="AZ149" s="144" t="n">
        <f aca="false">SUM(AZ130, -AZ147)</f>
        <v>0</v>
      </c>
      <c r="BA149" s="144" t="n">
        <f aca="false">SUM(BA130, -BA147)</f>
        <v>0</v>
      </c>
      <c r="BB149" s="144" t="n">
        <f aca="false">SUM(BB130, -BB147)</f>
        <v>0</v>
      </c>
      <c r="BC149" s="144" t="n">
        <f aca="false">SUM(BC130, -BC147)</f>
        <v>0</v>
      </c>
      <c r="BD149" s="144" t="n">
        <f aca="false">SUM(BD130, -BD147)</f>
        <v>0</v>
      </c>
      <c r="BE149" s="144" t="n">
        <f aca="false">SUM(BE130, -BE147)</f>
        <v>0</v>
      </c>
      <c r="BF149" s="144" t="n">
        <f aca="false">SUM(BF130, -BF147)</f>
        <v>0</v>
      </c>
      <c r="BG149" s="144" t="n">
        <f aca="false">SUM(BG130, -BG147)</f>
        <v>0</v>
      </c>
      <c r="BH149" s="144" t="n">
        <f aca="false">SUM(BH130, -BH147)</f>
        <v>0</v>
      </c>
      <c r="BI149" s="144" t="n">
        <f aca="false">SUM(BI130, -BI147)</f>
        <v>0</v>
      </c>
      <c r="BJ149" s="144" t="n">
        <f aca="false">SUM(BJ130, -BJ147)</f>
        <v>0</v>
      </c>
      <c r="BK149" s="144" t="n">
        <f aca="false">SUM(BK130, -BK147)</f>
        <v>0</v>
      </c>
      <c r="BL149" s="144" t="n">
        <f aca="false">SUM(BL130, -BL147)</f>
        <v>0</v>
      </c>
      <c r="BM149" s="144" t="n">
        <f aca="false">SUM(BM130, -BM147)</f>
        <v>0</v>
      </c>
      <c r="BN149" s="144" t="n">
        <f aca="false">SUM(BN130, -BN147)</f>
        <v>0</v>
      </c>
      <c r="BO149" s="144" t="n">
        <f aca="false">SUM(BO130, -BO147)</f>
        <v>0</v>
      </c>
      <c r="BP149" s="144" t="n">
        <f aca="false">SUM(BP130, -BP147)</f>
        <v>0</v>
      </c>
      <c r="BQ149" s="144" t="n">
        <f aca="false">SUM(BQ130, -BQ147)</f>
        <v>0</v>
      </c>
      <c r="BR149" s="144" t="n">
        <f aca="false">SUM(BR130, -BR147)</f>
        <v>0</v>
      </c>
      <c r="BS149" s="144" t="n">
        <f aca="false">SUM(BS130, -BS147)</f>
        <v>0</v>
      </c>
      <c r="BT149" s="144" t="n">
        <f aca="false">SUM(BT130, -BT147)</f>
        <v>0</v>
      </c>
      <c r="BU149" s="144" t="n">
        <f aca="false">SUM(BU130, -BU147)</f>
        <v>0</v>
      </c>
      <c r="BV149" s="144" t="n">
        <f aca="false">SUM(BV130, -BV147)</f>
        <v>0</v>
      </c>
      <c r="BW149" s="144" t="n">
        <f aca="false">SUM(BW130, -BW147)</f>
        <v>0</v>
      </c>
      <c r="BX149" s="144" t="n">
        <f aca="false">SUM(BX130, -BX147)</f>
        <v>0</v>
      </c>
      <c r="BY149" s="144" t="n">
        <f aca="false">SUM(BY130, -BY147)</f>
        <v>0</v>
      </c>
      <c r="BZ149" s="143" t="n">
        <f aca="false">SUM(BZ130, -BZ147)</f>
        <v>0</v>
      </c>
      <c r="CA149" s="143" t="n">
        <f aca="false">SUM(CA130, -CA147)</f>
        <v>0</v>
      </c>
      <c r="CC149" s="143" t="n">
        <f aca="false">SUM(CC130, -CC147)</f>
        <v>0</v>
      </c>
      <c r="CD149" s="143" t="n">
        <f aca="false">SUM(CD130, -CD147)</f>
        <v>0</v>
      </c>
      <c r="CE149" s="143" t="n">
        <f aca="false">SUM(CE130, -CE147)</f>
        <v>0</v>
      </c>
      <c r="CF149" s="143" t="n">
        <f aca="false">SUM(CF130, -CF147)</f>
        <v>0</v>
      </c>
      <c r="CG149" s="143" t="n">
        <f aca="false">SUM(CG130, -CG147)</f>
        <v>0</v>
      </c>
      <c r="CI149" s="143" t="n">
        <f aca="false">CC149=L149</f>
        <v>1</v>
      </c>
      <c r="CJ149" s="143" t="n">
        <f aca="false">CD149=M149</f>
        <v>1</v>
      </c>
      <c r="CK149" s="143" t="n">
        <f aca="false">CE149=N149</f>
        <v>1</v>
      </c>
      <c r="CL149" s="143" t="n">
        <f aca="false">CF149=O149</f>
        <v>1</v>
      </c>
      <c r="CM149" s="143" t="n">
        <f aca="false">CG149=P149</f>
        <v>1</v>
      </c>
    </row>
    <row r="150" s="14" customFormat="true" ht="16.5" hidden="false" customHeight="true" outlineLevel="0" collapsed="false">
      <c r="E150" s="21"/>
      <c r="H150" s="21"/>
      <c r="I150" s="21"/>
      <c r="J150" s="21"/>
      <c r="K150" s="21"/>
      <c r="L150" s="21"/>
      <c r="M150" s="21"/>
      <c r="N150" s="21"/>
      <c r="O150" s="21"/>
      <c r="P150" s="21"/>
      <c r="Q150" s="145"/>
      <c r="R150" s="145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</row>
    <row r="151" s="14" customFormat="true" ht="16.5" hidden="false" customHeight="true" outlineLevel="0" collapsed="false">
      <c r="E151" s="21"/>
      <c r="H151" s="21"/>
      <c r="I151" s="21"/>
      <c r="J151" s="21"/>
      <c r="K151" s="21"/>
      <c r="L151" s="21"/>
      <c r="M151" s="21"/>
      <c r="N151" s="21"/>
      <c r="O151" s="21"/>
      <c r="P151" s="21"/>
      <c r="Q151" s="145"/>
      <c r="R151" s="145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</row>
    <row r="152" s="14" customFormat="true" ht="16.5" hidden="true" customHeight="true" outlineLevel="1" collapsed="false">
      <c r="C152" s="19" t="s">
        <v>156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C152" s="19" t="s">
        <v>118</v>
      </c>
      <c r="CD152" s="19"/>
      <c r="CE152" s="19"/>
      <c r="CF152" s="19"/>
      <c r="CG152" s="19"/>
      <c r="CI152" s="19" t="s">
        <v>119</v>
      </c>
      <c r="CJ152" s="19"/>
      <c r="CK152" s="19"/>
      <c r="CL152" s="19"/>
      <c r="CM152" s="19"/>
    </row>
    <row r="153" s="14" customFormat="true" ht="16.5" hidden="true" customHeight="true" outlineLevel="1" collapsed="false">
      <c r="E153" s="21"/>
      <c r="H153" s="21"/>
      <c r="I153" s="21"/>
      <c r="J153" s="21"/>
      <c r="K153" s="21"/>
      <c r="L153" s="21"/>
      <c r="M153" s="21"/>
      <c r="N153" s="21"/>
      <c r="O153" s="21"/>
      <c r="P153" s="21"/>
      <c r="Q153" s="145"/>
      <c r="R153" s="145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</row>
    <row r="154" s="14" customFormat="true" ht="16.5" hidden="true" customHeight="true" outlineLevel="1" collapsed="false">
      <c r="E154" s="21"/>
      <c r="H154" s="21"/>
      <c r="I154" s="21"/>
      <c r="J154" s="21"/>
      <c r="K154" s="21"/>
      <c r="Q154" s="145"/>
      <c r="R154" s="145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</row>
    <row r="155" s="14" customFormat="true" ht="16.5" hidden="true" customHeight="true" outlineLevel="1" collapsed="false">
      <c r="E155" s="30" t="s">
        <v>157</v>
      </c>
      <c r="F155" s="31"/>
      <c r="G155" s="31"/>
      <c r="H155" s="31"/>
      <c r="I155" s="31"/>
      <c r="J155" s="31"/>
      <c r="K155" s="31"/>
      <c r="L155" s="31" t="n">
        <v>2026</v>
      </c>
      <c r="M155" s="31" t="n">
        <f aca="false">L155+1</f>
        <v>2027</v>
      </c>
      <c r="N155" s="31" t="n">
        <f aca="false">M155+1</f>
        <v>2028</v>
      </c>
      <c r="O155" s="31" t="n">
        <f aca="false">N155+1</f>
        <v>2029</v>
      </c>
      <c r="P155" s="31" t="n">
        <f aca="false">O155+1</f>
        <v>2030</v>
      </c>
      <c r="Q155" s="31" t="s">
        <v>158</v>
      </c>
      <c r="R155" s="145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</row>
    <row r="156" s="14" customFormat="true" ht="16.5" hidden="true" customHeight="true" outlineLevel="1" collapsed="false">
      <c r="E156" s="14" t="s">
        <v>159</v>
      </c>
      <c r="H156" s="21"/>
      <c r="I156" s="21"/>
      <c r="J156" s="21"/>
      <c r="K156" s="21"/>
      <c r="L156" s="90" t="n">
        <f aca="false">L117</f>
        <v>0</v>
      </c>
      <c r="M156" s="90" t="n">
        <f aca="false">M117</f>
        <v>0</v>
      </c>
      <c r="N156" s="90" t="n">
        <f aca="false">N117</f>
        <v>0</v>
      </c>
      <c r="O156" s="90" t="n">
        <f aca="false">O117</f>
        <v>0</v>
      </c>
      <c r="P156" s="90" t="n">
        <f aca="false">P117</f>
        <v>0</v>
      </c>
      <c r="Q156" s="146" t="n">
        <f aca="false">SUM(L156:P156)</f>
        <v>0</v>
      </c>
      <c r="R156" s="145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</row>
    <row r="157" s="14" customFormat="true" ht="16.5" hidden="true" customHeight="true" outlineLevel="1" collapsed="false">
      <c r="E157" s="14" t="s">
        <v>160</v>
      </c>
      <c r="L157" s="90" t="n">
        <f aca="false">L130</f>
        <v>0</v>
      </c>
      <c r="M157" s="90" t="n">
        <f aca="false">M130</f>
        <v>0</v>
      </c>
      <c r="N157" s="90" t="n">
        <f aca="false">N130</f>
        <v>0</v>
      </c>
      <c r="O157" s="90" t="n">
        <f aca="false">O130</f>
        <v>0</v>
      </c>
      <c r="P157" s="90" t="n">
        <f aca="false">P130</f>
        <v>0</v>
      </c>
      <c r="Q157" s="146" t="n">
        <f aca="false">SUM(L157:P157)</f>
        <v>0</v>
      </c>
      <c r="R157" s="145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</row>
    <row r="158" s="14" customFormat="true" ht="16.5" hidden="true" customHeight="true" outlineLevel="1" collapsed="false">
      <c r="E158" s="14" t="s">
        <v>161</v>
      </c>
      <c r="L158" s="90" t="n">
        <f aca="false">-L147</f>
        <v>-0</v>
      </c>
      <c r="M158" s="90" t="n">
        <f aca="false">-M147</f>
        <v>-0</v>
      </c>
      <c r="N158" s="90" t="n">
        <f aca="false">-N147</f>
        <v>-0</v>
      </c>
      <c r="O158" s="90" t="n">
        <f aca="false">-O147</f>
        <v>-0</v>
      </c>
      <c r="P158" s="90" t="n">
        <f aca="false">-P147</f>
        <v>-0</v>
      </c>
      <c r="Q158" s="146" t="n">
        <f aca="false">SUM(L158:P158)</f>
        <v>0</v>
      </c>
      <c r="R158" s="145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</row>
    <row r="159" s="14" customFormat="true" ht="16.5" hidden="true" customHeight="true" outlineLevel="1" collapsed="false">
      <c r="E159" s="229" t="s">
        <v>157</v>
      </c>
      <c r="F159" s="229"/>
      <c r="G159" s="229"/>
      <c r="H159" s="229"/>
      <c r="I159" s="229"/>
      <c r="J159" s="229"/>
      <c r="K159" s="229"/>
      <c r="L159" s="230" t="n">
        <f aca="false">SUM(L156:L158)</f>
        <v>0</v>
      </c>
      <c r="M159" s="230" t="n">
        <f aca="false">SUM(M156:M158)</f>
        <v>0</v>
      </c>
      <c r="N159" s="230" t="n">
        <f aca="false">SUM(N156:N158)</f>
        <v>0</v>
      </c>
      <c r="O159" s="230" t="n">
        <f aca="false">SUM(O156:O158)</f>
        <v>0</v>
      </c>
      <c r="P159" s="230" t="n">
        <f aca="false">SUM(P156:P158)</f>
        <v>0</v>
      </c>
      <c r="Q159" s="231" t="n">
        <f aca="false">SUM(L159:P159)</f>
        <v>0</v>
      </c>
      <c r="R159" s="145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</row>
    <row r="160" s="14" customFormat="true" ht="16.5" hidden="true" customHeight="true" outlineLevel="1" collapsed="false">
      <c r="E160" s="14" t="s">
        <v>162</v>
      </c>
      <c r="H160" s="21"/>
      <c r="I160" s="21"/>
      <c r="J160" s="21"/>
      <c r="K160" s="21"/>
      <c r="L160" s="90" t="n">
        <f aca="false">L159</f>
        <v>0</v>
      </c>
      <c r="M160" s="90" t="n">
        <f aca="false">L160+M159</f>
        <v>0</v>
      </c>
      <c r="N160" s="90" t="n">
        <f aca="false">M160+N159</f>
        <v>0</v>
      </c>
      <c r="O160" s="90" t="n">
        <f aca="false">N160+O159</f>
        <v>0</v>
      </c>
      <c r="P160" s="90" t="n">
        <f aca="false">O160+P159</f>
        <v>0</v>
      </c>
      <c r="Q160" s="146" t="n">
        <f aca="false">P160</f>
        <v>0</v>
      </c>
      <c r="R160" s="145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</row>
    <row r="161" s="14" customFormat="true" ht="16.5" hidden="true" customHeight="true" outlineLevel="1" collapsed="false">
      <c r="E161" s="14" t="s">
        <v>163</v>
      </c>
      <c r="H161" s="21"/>
      <c r="I161" s="21"/>
      <c r="J161" s="21"/>
      <c r="K161" s="21"/>
      <c r="L161" s="148" t="n">
        <f aca="false">IF(L160&lt;0,1,0)</f>
        <v>0</v>
      </c>
      <c r="M161" s="148" t="n">
        <f aca="false">IF(M160&lt;0,1,IF(AND(L160&lt;0,M159&gt;0),-L160/M159,0))</f>
        <v>0</v>
      </c>
      <c r="N161" s="148" t="n">
        <f aca="false">IF(N160&lt;0,1,IF(AND(M160&lt;0,N159&gt;0),-M160/N159,0))</f>
        <v>0</v>
      </c>
      <c r="O161" s="148" t="n">
        <f aca="false">IF(O160&lt;0,1,IF(AND(N160&lt;0,O159&gt;0),-N160/O159,0))</f>
        <v>0</v>
      </c>
      <c r="P161" s="148" t="n">
        <f aca="false">IF(P160&lt;0,1,IF(AND(O160&lt;0,P159&gt;0),-O160/P159,0))</f>
        <v>0</v>
      </c>
      <c r="Q161" s="90"/>
      <c r="R161" s="145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</row>
    <row r="162" s="14" customFormat="true" ht="16.5" hidden="true" customHeight="true" outlineLevel="1" collapsed="false">
      <c r="H162" s="21"/>
      <c r="I162" s="21"/>
      <c r="J162" s="21"/>
      <c r="K162" s="21"/>
      <c r="R162" s="145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</row>
    <row r="163" s="14" customFormat="true" ht="16.5" hidden="true" customHeight="true" outlineLevel="1" collapsed="false">
      <c r="E163" s="21" t="s">
        <v>429</v>
      </c>
      <c r="F163" s="150" t="s">
        <v>430</v>
      </c>
      <c r="G163" s="148" t="str">
        <f aca="false">IFERROR(I117/-SUM(L149:P149),"n/a")</f>
        <v>n/a</v>
      </c>
      <c r="H163" s="21"/>
      <c r="I163" s="21"/>
      <c r="J163" s="21"/>
      <c r="K163" s="21"/>
      <c r="R163" s="145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</row>
    <row r="164" s="14" customFormat="true" ht="16.5" hidden="true" customHeight="true" outlineLevel="1" collapsed="false">
      <c r="E164" s="21" t="s">
        <v>431</v>
      </c>
      <c r="F164" s="150" t="s">
        <v>432</v>
      </c>
      <c r="G164" s="232" t="str">
        <f aca="false">IFERROR(IRR($L$159:$P$159, 0.2),"n/a")</f>
        <v>n/a</v>
      </c>
      <c r="H164" s="21"/>
      <c r="I164" s="21"/>
      <c r="J164" s="21"/>
      <c r="K164" s="21"/>
      <c r="R164" s="145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</row>
    <row r="165" s="14" customFormat="true" ht="16.5" hidden="true" customHeight="true" outlineLevel="1" collapsed="false">
      <c r="E165" s="21" t="s">
        <v>433</v>
      </c>
      <c r="F165" s="150" t="s">
        <v>167</v>
      </c>
      <c r="G165" s="148" t="n">
        <f aca="false">SUM(L161:P161)</f>
        <v>0</v>
      </c>
      <c r="H165" s="21"/>
      <c r="I165" s="21"/>
      <c r="J165" s="21"/>
      <c r="K165" s="21"/>
      <c r="R165" s="145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</row>
    <row r="166" s="14" customFormat="true" ht="16.5" hidden="true" customHeight="true" outlineLevel="1" collapsed="false">
      <c r="E166" s="21"/>
      <c r="F166" s="150"/>
      <c r="G166" s="148"/>
      <c r="H166" s="21"/>
      <c r="I166" s="21"/>
      <c r="J166" s="21"/>
      <c r="K166" s="21"/>
      <c r="R166" s="145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</row>
    <row r="167" s="14" customFormat="true" ht="16.5" hidden="true" customHeight="true" outlineLevel="1" collapsed="false">
      <c r="E167" s="21" t="s">
        <v>164</v>
      </c>
      <c r="G167" s="149" t="n">
        <v>0.095</v>
      </c>
      <c r="H167" s="21"/>
      <c r="I167" s="21"/>
      <c r="J167" s="21"/>
      <c r="K167" s="21"/>
      <c r="R167" s="145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</row>
    <row r="168" s="14" customFormat="true" ht="16.5" hidden="true" customHeight="true" outlineLevel="1" collapsed="false">
      <c r="E168" s="21" t="s">
        <v>165</v>
      </c>
      <c r="F168" s="150" t="s">
        <v>166</v>
      </c>
      <c r="G168" s="90" t="n">
        <f aca="false">SUM(L168:P168)</f>
        <v>0</v>
      </c>
      <c r="H168" s="21"/>
      <c r="I168" s="21"/>
      <c r="J168" s="21"/>
      <c r="K168" s="21"/>
      <c r="L168" s="90" t="n">
        <f aca="false">L159/(1+$G$167)^L$1</f>
        <v>0</v>
      </c>
      <c r="M168" s="90" t="n">
        <f aca="false">M159/(1+$G$167)^M$1</f>
        <v>0</v>
      </c>
      <c r="N168" s="90" t="n">
        <f aca="false">N159/(1+$G$167)^N$1</f>
        <v>0</v>
      </c>
      <c r="O168" s="90" t="n">
        <f aca="false">O159/(1+$G$167)^O$1</f>
        <v>0</v>
      </c>
      <c r="P168" s="90" t="n">
        <f aca="false">P159/(1+$G$167)^P$1</f>
        <v>0</v>
      </c>
      <c r="Q168" s="90" t="n">
        <f aca="false">SUM(L168:P168)</f>
        <v>0</v>
      </c>
      <c r="R168" s="145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</row>
    <row r="169" s="14" customFormat="true" ht="16.5" hidden="true" customHeight="true" outlineLevel="1" collapsed="false">
      <c r="Q169" s="16"/>
      <c r="R169" s="16"/>
    </row>
    <row r="170" s="14" customFormat="true" ht="16.5" hidden="false" customHeight="true" outlineLevel="0" collapsed="false">
      <c r="Q170" s="16"/>
      <c r="R170" s="16"/>
    </row>
    <row r="171" s="14" customFormat="true" ht="16.5" hidden="false" customHeight="true" outlineLevel="0" collapsed="false">
      <c r="C171" s="19" t="s">
        <v>169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0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</row>
  </sheetData>
  <mergeCells count="3">
    <mergeCell ref="F8:J10"/>
    <mergeCell ref="CI62:CM62"/>
    <mergeCell ref="CI90:CM90"/>
  </mergeCells>
  <conditionalFormatting sqref="J26">
    <cfRule type="expression" priority="2" aboveAverage="0" equalAverage="0" bottom="0" percent="0" rank="0" text="" dxfId="0">
      <formula>AND($F26="Yes")</formula>
    </cfRule>
    <cfRule type="expression" priority="3" aboveAverage="0" equalAverage="0" bottom="0" percent="0" rank="0" text="" dxfId="1">
      <formula>AND($F26="No")</formula>
    </cfRule>
  </conditionalFormatting>
  <conditionalFormatting sqref="T79:CA86">
    <cfRule type="expression" priority="4" aboveAverage="0" equalAverage="0" bottom="0" percent="0" rank="0" text="" dxfId="0">
      <formula>AND($F79="Yes")</formula>
    </cfRule>
    <cfRule type="expression" priority="5" aboveAverage="0" equalAverage="0" bottom="0" percent="0" rank="0" text="" dxfId="1">
      <formula>AND($F79="No")</formula>
    </cfRule>
  </conditionalFormatting>
  <conditionalFormatting sqref="I84:P86">
    <cfRule type="expression" priority="6" aboveAverage="0" equalAverage="0" bottom="0" percent="0" rank="0" text="" dxfId="0">
      <formula>AND($F84="Yes")</formula>
    </cfRule>
    <cfRule type="expression" priority="7" aboveAverage="0" equalAverage="0" bottom="0" percent="0" rank="0" text="" dxfId="1">
      <formula>AND($F84="No")</formula>
    </cfRule>
  </conditionalFormatting>
  <conditionalFormatting sqref="I112:K113">
    <cfRule type="expression" priority="8" aboveAverage="0" equalAverage="0" bottom="0" percent="0" rank="0" text="" dxfId="0">
      <formula>AND($F112="Yes")</formula>
    </cfRule>
    <cfRule type="expression" priority="9" aboveAverage="0" equalAverage="0" bottom="0" percent="0" rank="0" text="" dxfId="1">
      <formula>AND($F112="No")</formula>
    </cfRule>
  </conditionalFormatting>
  <conditionalFormatting sqref="E94:E95">
    <cfRule type="expression" priority="10" aboveAverage="0" equalAverage="0" bottom="0" percent="0" rank="0" text="" dxfId="0">
      <formula>AND($F94="Yes")</formula>
    </cfRule>
    <cfRule type="expression" priority="11" aboveAverage="0" equalAverage="0" bottom="0" percent="0" rank="0" text="" dxfId="1">
      <formula>AND($F94="No")</formula>
    </cfRule>
  </conditionalFormatting>
  <conditionalFormatting sqref="E107:E111">
    <cfRule type="expression" priority="12" aboveAverage="0" equalAverage="0" bottom="0" percent="0" rank="0" text="" dxfId="0">
      <formula>AND($F107="Yes")</formula>
    </cfRule>
    <cfRule type="expression" priority="13" aboveAverage="0" equalAverage="0" bottom="0" percent="0" rank="0" text="" dxfId="1">
      <formula>AND($F107="No")</formula>
    </cfRule>
  </conditionalFormatting>
  <conditionalFormatting sqref="E141:E143">
    <cfRule type="expression" priority="14" aboveAverage="0" equalAverage="0" bottom="0" percent="0" rank="0" text="" dxfId="0">
      <formula>AND($F141="Yes")</formula>
    </cfRule>
    <cfRule type="expression" priority="15" aboveAverage="0" equalAverage="0" bottom="0" percent="0" rank="0" text="" dxfId="1">
      <formula>AND($F141="No")</formula>
    </cfRule>
  </conditionalFormatting>
  <conditionalFormatting sqref="E136:E137">
    <cfRule type="expression" priority="16" aboveAverage="0" equalAverage="0" bottom="0" percent="0" rank="0" text="" dxfId="0">
      <formula>AND($F136="Yes")</formula>
    </cfRule>
    <cfRule type="expression" priority="17" aboveAverage="0" equalAverage="0" bottom="0" percent="0" rank="0" text="" dxfId="1">
      <formula>AND($F136="No")</formula>
    </cfRule>
  </conditionalFormatting>
  <conditionalFormatting sqref="E126:E127">
    <cfRule type="expression" priority="18" aboveAverage="0" equalAverage="0" bottom="0" percent="0" rank="0" text="" dxfId="0">
      <formula>AND($F126="Yes")</formula>
    </cfRule>
    <cfRule type="expression" priority="19" aboveAverage="0" equalAverage="0" bottom="0" percent="0" rank="0" text="" dxfId="1">
      <formula>AND($F126="No")</formula>
    </cfRule>
  </conditionalFormatting>
  <conditionalFormatting sqref="E66:E67">
    <cfRule type="expression" priority="20" aboveAverage="0" equalAverage="0" bottom="0" percent="0" rank="0" text="" dxfId="0">
      <formula>AND($F66="Yes")</formula>
    </cfRule>
    <cfRule type="expression" priority="21" aboveAverage="0" equalAverage="0" bottom="0" percent="0" rank="0" text="" dxfId="1">
      <formula>AND($F66="No")</formula>
    </cfRule>
  </conditionalFormatting>
  <conditionalFormatting sqref="CJ152:CM152">
    <cfRule type="containsText" priority="22" operator="containsText" aboveAverage="0" equalAverage="0" bottom="0" percent="0" rank="0" text="FALSE" dxfId="2">
      <formula>NOT(ISERROR(SEARCH("FALSE",CJ152)))</formula>
    </cfRule>
  </conditionalFormatting>
  <conditionalFormatting sqref="Q141:Q143">
    <cfRule type="containsText" priority="23" operator="containsText" aboveAverage="0" equalAverage="0" bottom="0" percent="0" rank="0" text="Error" dxfId="2">
      <formula>NOT(ISERROR(SEARCH("Error",Q141)))</formula>
    </cfRule>
    <cfRule type="containsText" priority="24" operator="containsText" aboveAverage="0" equalAverage="0" bottom="0" percent="0" rank="0" text="FALSE" dxfId="2">
      <formula>NOT(ISERROR(SEARCH("FALSE",Q141)))</formula>
    </cfRule>
  </conditionalFormatting>
  <conditionalFormatting sqref="Q136:Q137">
    <cfRule type="containsText" priority="25" operator="containsText" aboveAverage="0" equalAverage="0" bottom="0" percent="0" rank="0" text="Error" dxfId="2">
      <formula>NOT(ISERROR(SEARCH("Error",Q136)))</formula>
    </cfRule>
    <cfRule type="containsText" priority="26" operator="containsText" aboveAverage="0" equalAverage="0" bottom="0" percent="0" rank="0" text="FALSE" dxfId="2">
      <formula>NOT(ISERROR(SEARCH("FALSE",Q136)))</formula>
    </cfRule>
  </conditionalFormatting>
  <conditionalFormatting sqref="Q126:Q127">
    <cfRule type="containsText" priority="27" operator="containsText" aboveAverage="0" equalAverage="0" bottom="0" percent="0" rank="0" text="Error" dxfId="2">
      <formula>NOT(ISERROR(SEARCH("Error",Q126)))</formula>
    </cfRule>
    <cfRule type="containsText" priority="28" operator="containsText" aboveAverage="0" equalAverage="0" bottom="0" percent="0" rank="0" text="FALSE" dxfId="2">
      <formula>NOT(ISERROR(SEARCH("FALSE",Q126)))</formula>
    </cfRule>
  </conditionalFormatting>
  <conditionalFormatting sqref="J56:J57">
    <cfRule type="expression" priority="29" aboveAverage="0" equalAverage="0" bottom="0" percent="0" rank="0" text="" dxfId="0">
      <formula>AND($F56="Yes")</formula>
    </cfRule>
    <cfRule type="expression" priority="30" aboveAverage="0" equalAverage="0" bottom="0" percent="0" rank="0" text="" dxfId="1">
      <formula>AND($F56="No")</formula>
    </cfRule>
  </conditionalFormatting>
  <conditionalFormatting sqref="J46:J47 J51">
    <cfRule type="expression" priority="31" aboveAverage="0" equalAverage="0" bottom="0" percent="0" rank="0" text="" dxfId="0">
      <formula>AND($F46="Yes")</formula>
    </cfRule>
    <cfRule type="expression" priority="32" aboveAverage="0" equalAverage="0" bottom="0" percent="0" rank="0" text="" dxfId="1">
      <formula>AND($F46="No")</formula>
    </cfRule>
  </conditionalFormatting>
  <conditionalFormatting sqref="J52">
    <cfRule type="expression" priority="33" aboveAverage="0" equalAverage="0" bottom="0" percent="0" rank="0" text="" dxfId="0">
      <formula>AND(#ref!="Yes")</formula>
    </cfRule>
    <cfRule type="expression" priority="34" aboveAverage="0" equalAverage="0" bottom="0" percent="0" rank="0" text="" dxfId="1">
      <formula>AND(#ref!="No")</formula>
    </cfRule>
  </conditionalFormatting>
  <conditionalFormatting sqref="J42:J43">
    <cfRule type="expression" priority="35" aboveAverage="0" equalAverage="0" bottom="0" percent="0" rank="0" text="" dxfId="0">
      <formula>AND($F42="Yes")</formula>
    </cfRule>
    <cfRule type="expression" priority="36" aboveAverage="0" equalAverage="0" bottom="0" percent="0" rank="0" text="" dxfId="1">
      <formula>AND($F42="No")</formula>
    </cfRule>
  </conditionalFormatting>
  <conditionalFormatting sqref="J32:J33 J37">
    <cfRule type="expression" priority="37" aboveAverage="0" equalAverage="0" bottom="0" percent="0" rank="0" text="" dxfId="0">
      <formula>AND($F32="Yes")</formula>
    </cfRule>
    <cfRule type="expression" priority="38" aboveAverage="0" equalAverage="0" bottom="0" percent="0" rank="0" text="" dxfId="1">
      <formula>AND($F32="No")</formula>
    </cfRule>
  </conditionalFormatting>
  <conditionalFormatting sqref="J38">
    <cfRule type="expression" priority="39" aboveAverage="0" equalAverage="0" bottom="0" percent="0" rank="0" text="" dxfId="0">
      <formula>AND(#ref!="Yes")</formula>
    </cfRule>
    <cfRule type="expression" priority="40" aboveAverage="0" equalAverage="0" bottom="0" percent="0" rank="0" text="" dxfId="1">
      <formula>AND(#ref!="No")</formula>
    </cfRule>
  </conditionalFormatting>
  <conditionalFormatting sqref="CJ171:CM171">
    <cfRule type="containsText" priority="41" operator="containsText" aboveAverage="0" equalAverage="0" bottom="0" percent="0" rank="0" text="FALSE" dxfId="2">
      <formula>NOT(ISERROR(SEARCH("FALSE",CJ171)))</formula>
    </cfRule>
  </conditionalFormatting>
  <conditionalFormatting sqref="CJ120:CM120">
    <cfRule type="containsText" priority="42" operator="containsText" aboveAverage="0" equalAverage="0" bottom="0" percent="0" rank="0" text="FALSE" dxfId="2">
      <formula>NOT(ISERROR(SEARCH("FALSE",CJ120)))</formula>
    </cfRule>
  </conditionalFormatting>
  <conditionalFormatting sqref="P18:P21">
    <cfRule type="containsText" priority="43" operator="containsText" aboveAverage="0" equalAverage="0" bottom="0" percent="0" rank="0" text="PASS" dxfId="3">
      <formula>NOT(ISERROR(SEARCH("PASS",P18)))</formula>
    </cfRule>
  </conditionalFormatting>
  <conditionalFormatting sqref="CI141:CM144">
    <cfRule type="expression" priority="44" aboveAverage="0" equalAverage="0" bottom="0" percent="0" rank="0" text="" dxfId="0">
      <formula>AND($F141="Yes")</formula>
    </cfRule>
    <cfRule type="expression" priority="45" aboveAverage="0" equalAverage="0" bottom="0" percent="0" rank="0" text="" dxfId="1">
      <formula>AND($F141="No")</formula>
    </cfRule>
  </conditionalFormatting>
  <conditionalFormatting sqref="CI136:CM138">
    <cfRule type="expression" priority="46" aboveAverage="0" equalAverage="0" bottom="0" percent="0" rank="0" text="" dxfId="0">
      <formula>AND($F136="Yes")</formula>
    </cfRule>
    <cfRule type="expression" priority="47" aboveAverage="0" equalAverage="0" bottom="0" percent="0" rank="0" text="" dxfId="1">
      <formula>AND($F136="No")</formula>
    </cfRule>
  </conditionalFormatting>
  <conditionalFormatting sqref="CC141:CG144">
    <cfRule type="expression" priority="48" aboveAverage="0" equalAverage="0" bottom="0" percent="0" rank="0" text="" dxfId="0">
      <formula>AND($F141="Yes")</formula>
    </cfRule>
    <cfRule type="expression" priority="49" aboveAverage="0" equalAverage="0" bottom="0" percent="0" rank="0" text="" dxfId="1">
      <formula>AND($F141="No")</formula>
    </cfRule>
  </conditionalFormatting>
  <conditionalFormatting sqref="CC136:CG138">
    <cfRule type="expression" priority="50" aboveAverage="0" equalAverage="0" bottom="0" percent="0" rank="0" text="" dxfId="0">
      <formula>AND($F136="Yes")</formula>
    </cfRule>
    <cfRule type="expression" priority="51" aboveAverage="0" equalAverage="0" bottom="0" percent="0" rank="0" text="" dxfId="1">
      <formula>AND($F136="No")</formula>
    </cfRule>
  </conditionalFormatting>
  <conditionalFormatting sqref="V112:CA113">
    <cfRule type="expression" priority="52" aboveAverage="0" equalAverage="0" bottom="0" percent="0" rank="0" text="" dxfId="0">
      <formula>AND($F112="Yes")</formula>
    </cfRule>
    <cfRule type="expression" priority="53" aboveAverage="0" equalAverage="0" bottom="0" percent="0" rank="0" text="" dxfId="1">
      <formula>AND($F112="No")</formula>
    </cfRule>
  </conditionalFormatting>
  <conditionalFormatting sqref="T136:CA138">
    <cfRule type="expression" priority="54" aboveAverage="0" equalAverage="0" bottom="0" percent="0" rank="0" text="" dxfId="0">
      <formula>AND($F136="Yes")</formula>
    </cfRule>
    <cfRule type="expression" priority="55" aboveAverage="0" equalAverage="0" bottom="0" percent="0" rank="0" text="" dxfId="1">
      <formula>AND($F136="No")</formula>
    </cfRule>
  </conditionalFormatting>
  <conditionalFormatting sqref="V85:CA85">
    <cfRule type="expression" priority="56" aboveAverage="0" equalAverage="0" bottom="0" percent="0" rank="0" text="" dxfId="0">
      <formula>AND($F85="Yes")</formula>
    </cfRule>
    <cfRule type="expression" priority="57" aboveAverage="0" equalAverage="0" bottom="0" percent="0" rank="0" text="" dxfId="1">
      <formula>AND($F85="No")</formula>
    </cfRule>
  </conditionalFormatting>
  <conditionalFormatting sqref="T141:CA146">
    <cfRule type="expression" priority="58" aboveAverage="0" equalAverage="0" bottom="0" percent="0" rank="0" text="" dxfId="0">
      <formula>AND($F141="Yes")</formula>
    </cfRule>
    <cfRule type="expression" priority="59" aboveAverage="0" equalAverage="0" bottom="0" percent="0" rank="0" text="" dxfId="1">
      <formula>AND($F141="No")</formula>
    </cfRule>
  </conditionalFormatting>
  <conditionalFormatting sqref="Q63:R113 Q123">
    <cfRule type="containsText" priority="60" operator="containsText" aboveAverage="0" equalAverage="0" bottom="0" percent="0" rank="0" text="Error" dxfId="2">
      <formula>NOT(ISERROR(SEARCH("Error",Q63)))</formula>
    </cfRule>
  </conditionalFormatting>
  <conditionalFormatting sqref="Q66:R90 Q92:R113 CI66:CM119 CI121:CM149">
    <cfRule type="containsText" priority="61" operator="containsText" aboveAverage="0" equalAverage="0" bottom="0" percent="0" rank="0" text="FALSE" dxfId="2">
      <formula>NOT(ISERROR(SEARCH("FALSE",Q66)))</formula>
    </cfRule>
  </conditionalFormatting>
  <conditionalFormatting sqref="L136:P138">
    <cfRule type="expression" priority="62" aboveAverage="0" equalAverage="0" bottom="0" percent="0" rank="0" text="" dxfId="0">
      <formula>AND($F136="Yes")</formula>
    </cfRule>
    <cfRule type="expression" priority="63" aboveAverage="0" equalAverage="0" bottom="0" percent="0" rank="0" text="" dxfId="1">
      <formula>AND($F136="No")</formula>
    </cfRule>
  </conditionalFormatting>
  <conditionalFormatting sqref="Q117:R117">
    <cfRule type="containsText" priority="64" operator="containsText" aboveAverage="0" equalAverage="0" bottom="0" percent="0" rank="0" text="Error" dxfId="2">
      <formula>NOT(ISERROR(SEARCH("Error",Q117)))</formula>
    </cfRule>
    <cfRule type="containsText" priority="65" operator="containsText" aboveAverage="0" equalAverage="0" bottom="0" percent="0" rank="0" text="FALSE" dxfId="2">
      <formula>NOT(ISERROR(SEARCH("FALSE",Q117)))</formula>
    </cfRule>
  </conditionalFormatting>
  <conditionalFormatting sqref="I96:K96">
    <cfRule type="expression" priority="66" aboveAverage="0" equalAverage="0" bottom="0" percent="0" rank="0" text="" dxfId="0">
      <formula>AND($F96="Yes")</formula>
    </cfRule>
    <cfRule type="expression" priority="67" aboveAverage="0" equalAverage="0" bottom="0" percent="0" rank="0" text="" dxfId="1">
      <formula>AND($F96="No")</formula>
    </cfRule>
  </conditionalFormatting>
  <conditionalFormatting sqref="I104:K104">
    <cfRule type="expression" priority="68" aboveAverage="0" equalAverage="0" bottom="0" percent="0" rank="0" text="" dxfId="0">
      <formula>AND($F104="Yes")</formula>
    </cfRule>
    <cfRule type="expression" priority="69" aboveAverage="0" equalAverage="0" bottom="0" percent="0" rank="0" text="" dxfId="1">
      <formula>AND($F104="No")</formula>
    </cfRule>
  </conditionalFormatting>
  <conditionalFormatting sqref="E71:E75 E79:E83 E99:E103 F6:G6 I66:J67 I71:J75 I79:J83 I94:J95 I99:J103 I107:J111 J18:J21 J29 L66:P67 L71:P75 L79:P83 L94:P96 L99:P104 L107:P113 L126:P129 L141:P146 T66:CA68 T71:CA76 T94:CA96 T99:CA104 T107:CA113 T126:CA129 CC66:CG68 CC71:CG76 CC79:CG86 CC94:CG96 CC99:CG104 CC107:CG113 CC126:CG128 CI66:CM68 CI71:CM76 CI79:CM86 CI94:CM96 CI99:CM104 CI107:CM113 CI126:CM128">
    <cfRule type="expression" priority="70" aboveAverage="0" equalAverage="0" bottom="0" percent="0" rank="0" text="" dxfId="0">
      <formula>AND($F6="Yes")</formula>
    </cfRule>
    <cfRule type="expression" priority="71" aboveAverage="0" equalAverage="0" bottom="0" percent="0" rank="0" text="" dxfId="1">
      <formula>AND($F6="No")</formula>
    </cfRule>
  </conditionalFormatting>
  <conditionalFormatting sqref="E97">
    <cfRule type="expression" priority="72" aboveAverage="0" equalAverage="0" bottom="0" percent="0" rank="0" text="" dxfId="4">
      <formula>AND($F97="Yes")</formula>
    </cfRule>
    <cfRule type="expression" priority="73" aboveAverage="0" equalAverage="0" bottom="0" percent="0" rank="0" text="" dxfId="5">
      <formula>AND($F97="No")</formula>
    </cfRule>
  </conditionalFormatting>
  <conditionalFormatting sqref="E114">
    <cfRule type="expression" priority="74" aboveAverage="0" equalAverage="0" bottom="0" percent="0" rank="0" text="" dxfId="4">
      <formula>AND($F114="Yes")</formula>
    </cfRule>
    <cfRule type="expression" priority="75" aboveAverage="0" equalAverage="0" bottom="0" percent="0" rank="0" text="" dxfId="5">
      <formula>AND($F114="No")</formula>
    </cfRule>
  </conditionalFormatting>
  <conditionalFormatting sqref="I68:P68">
    <cfRule type="expression" priority="76" aboveAverage="0" equalAverage="0" bottom="0" percent="0" rank="0" text="" dxfId="0">
      <formula>AND($F68="Yes")</formula>
    </cfRule>
    <cfRule type="expression" priority="77" aboveAverage="0" equalAverage="0" bottom="0" percent="0" rank="0" text="" dxfId="1">
      <formula>AND($F68="No")</formula>
    </cfRule>
  </conditionalFormatting>
  <conditionalFormatting sqref="D136:D137 E69 E132">
    <cfRule type="expression" priority="78" aboveAverage="0" equalAverage="0" bottom="0" percent="0" rank="0" text="" dxfId="4">
      <formula>AND($F69="Yes")</formula>
    </cfRule>
    <cfRule type="expression" priority="79" aboveAverage="0" equalAverage="0" bottom="0" percent="0" rank="0" text="" dxfId="5">
      <formula>AND($F69="No")</formula>
    </cfRule>
  </conditionalFormatting>
  <conditionalFormatting sqref="I76:P76">
    <cfRule type="expression" priority="80" aboveAverage="0" equalAverage="0" bottom="0" percent="0" rank="0" text="" dxfId="0">
      <formula>AND($F76="Yes")</formula>
    </cfRule>
    <cfRule type="expression" priority="81" aboveAverage="0" equalAverage="0" bottom="0" percent="0" rank="0" text="" dxfId="1">
      <formula>AND($F76="No")</formula>
    </cfRule>
  </conditionalFormatting>
  <conditionalFormatting sqref="E87">
    <cfRule type="expression" priority="82" aboveAverage="0" equalAverage="0" bottom="0" percent="0" rank="0" text="" dxfId="4">
      <formula>AND($F87="Yes")</formula>
    </cfRule>
    <cfRule type="expression" priority="83" aboveAverage="0" equalAverage="0" bottom="0" percent="0" rank="0" text="" dxfId="5">
      <formula>AND($F87="No")</formula>
    </cfRule>
  </conditionalFormatting>
  <conditionalFormatting sqref="G167 J24:J25">
    <cfRule type="expression" priority="84" aboveAverage="0" equalAverage="0" bottom="0" percent="0" rank="0" text="" dxfId="0">
      <formula>AND(#ref!="Yes")</formula>
    </cfRule>
    <cfRule type="expression" priority="85" aboveAverage="0" equalAverage="0" bottom="0" percent="0" rank="0" text="" dxfId="1">
      <formula>AND(#ref!="No")</formula>
    </cfRule>
  </conditionalFormatting>
  <printOptions headings="false" gridLines="false" gridLinesSet="true" horizontalCentered="true" verticalCentered="false"/>
  <pageMargins left="0.25" right="0.25" top="0.75" bottom="0.75" header="0.3" footer="0.3"/>
  <pageSetup paperSize="1" scale="27" fitToWidth="1" fitToHeight="1" pageOrder="downThenOver" orientation="portrait" blackAndWhite="false" draft="false" cellComments="none" horizontalDpi="300" verticalDpi="300" copies="1"/>
  <headerFooter differentFirst="false" differentOddEven="false">
    <oddHeader>&amp;CSTRICTLY CONFIDENTIAL</oddHeader>
    <oddFooter>&amp;R&amp;P/&amp;N</oddFooter>
  </headerFooter>
  <rowBreaks count="1" manualBreakCount="1">
    <brk id="119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Rocío Eiriz</dc:creator>
  <dc:description/>
  <dc:language>en-US</dc:language>
  <cp:lastModifiedBy>Parth Bahl</cp:lastModifiedBy>
  <dcterms:modified xsi:type="dcterms:W3CDTF">2026-08-31T10:49:03Z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0x010100DE6A7A104E3FD24B966A32B28867FD57</vt:lpwstr>
  </property>
  <property fmtid="{D5CDD505-2E9C-101B-9397-08002B2CF9AE}" pid="3" name="MSIP_Label_83303d7c-e5a3-4cc8-90eb-69bfd7570ac4_ActionId">
    <vt:lpwstr>75c3313a-a215-4397-b1fb-5e09aa931d0b</vt:lpwstr>
  </property>
  <property fmtid="{D5CDD505-2E9C-101B-9397-08002B2CF9AE}" pid="4" name="MSIP_Label_83303d7c-e5a3-4cc8-90eb-69bfd7570ac4_ContentBits">
    <vt:lpwstr>0</vt:lpwstr>
  </property>
  <property fmtid="{D5CDD505-2E9C-101B-9397-08002B2CF9AE}" pid="5" name="MSIP_Label_83303d7c-e5a3-4cc8-90eb-69bfd7570ac4_Enabled">
    <vt:lpwstr>true</vt:lpwstr>
  </property>
  <property fmtid="{D5CDD505-2E9C-101B-9397-08002B2CF9AE}" pid="6" name="MSIP_Label_83303d7c-e5a3-4cc8-90eb-69bfd7570ac4_Method">
    <vt:lpwstr>Standard</vt:lpwstr>
  </property>
  <property fmtid="{D5CDD505-2E9C-101B-9397-08002B2CF9AE}" pid="7" name="MSIP_Label_83303d7c-e5a3-4cc8-90eb-69bfd7570ac4_Name">
    <vt:lpwstr>Client Confidential Information-SLV1</vt:lpwstr>
  </property>
  <property fmtid="{D5CDD505-2E9C-101B-9397-08002B2CF9AE}" pid="8" name="MSIP_Label_83303d7c-e5a3-4cc8-90eb-69bfd7570ac4_SetDate">
    <vt:lpwstr>2026-08-12T14:24:48Z</vt:lpwstr>
  </property>
  <property fmtid="{D5CDD505-2E9C-101B-9397-08002B2CF9AE}" pid="9" name="MSIP_Label_83303d7c-e5a3-4cc8-90eb-69bfd7570ac4_SiteId">
    <vt:lpwstr>cc8936bc-9382-4fff-87cb-6f55999549e7</vt:lpwstr>
  </property>
  <property fmtid="{D5CDD505-2E9C-101B-9397-08002B2CF9AE}" pid="10" name="MSIP_Label_83303d7c-e5a3-4cc8-90eb-69bfd7570ac4_Tag">
    <vt:lpwstr>10, 3, 0, 1</vt:lpwstr>
  </property>
  <property fmtid="{D5CDD505-2E9C-101B-9397-08002B2CF9AE}" pid="11" name="MediaServiceImageTags">
    <vt:lpwstr/>
  </property>
  <property fmtid="{D5CDD505-2E9C-101B-9397-08002B2CF9AE}" pid="12" name="_dlc_DocIdItemGuid">
    <vt:lpwstr>f4d9cd27-ac07-4b04-815e-88422d881bf2</vt:lpwstr>
  </property>
</Properties>
</file>